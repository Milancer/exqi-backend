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experttechmichael-my.sharepoint.com/personal/michael_botha_experttech_com/Documents/Documents/EXPERTTECH/EXQi/Documents/"/>
    </mc:Choice>
  </mc:AlternateContent>
  <xr:revisionPtr revIDLastSave="5" documentId="8_{AF61305B-CAC3-4431-9F2D-74A156213C9D}" xr6:coauthVersionLast="47" xr6:coauthVersionMax="47" xr10:uidLastSave="{B1DF5C8D-B8D2-4227-B828-9C26E571BCE1}"/>
  <bookViews>
    <workbookView xWindow="735" yWindow="525" windowWidth="18780" windowHeight="14385" tabRatio="964" firstSheet="2" activeTab="4" xr2:uid="{9E2DBA44-4589-1842-9216-9059DBD7258C}"/>
  </bookViews>
  <sheets>
    <sheet name="Inventory" sheetId="20" r:id="rId1"/>
    <sheet name="Template (Standard)" sheetId="31" r:id="rId2"/>
    <sheet name="Sub-Process Status" sheetId="30" r:id="rId3"/>
    <sheet name="Process mapping status" sheetId="59" r:id="rId4"/>
    <sheet name="M1" sheetId="4" r:id="rId5"/>
    <sheet name="M2" sheetId="3" r:id="rId6"/>
    <sheet name="M3" sheetId="8" r:id="rId7"/>
    <sheet name="M4" sheetId="36" r:id="rId8"/>
    <sheet name="M5" sheetId="38" r:id="rId9"/>
    <sheet name="M6" sheetId="39" r:id="rId10"/>
    <sheet name="M7" sheetId="12" r:id="rId11"/>
    <sheet name="M8" sheetId="41" r:id="rId12"/>
    <sheet name="C10" sheetId="51" r:id="rId13"/>
    <sheet name="C9" sheetId="50" r:id="rId14"/>
    <sheet name="C8" sheetId="49" r:id="rId15"/>
    <sheet name="C7" sheetId="48" r:id="rId16"/>
    <sheet name="C6" sheetId="47" r:id="rId17"/>
    <sheet name="C5" sheetId="46" r:id="rId18"/>
    <sheet name="C4" sheetId="45" r:id="rId19"/>
    <sheet name="C3" sheetId="44" r:id="rId20"/>
    <sheet name="C2" sheetId="43" r:id="rId21"/>
    <sheet name="C1" sheetId="42" r:id="rId22"/>
    <sheet name="Template (Channels" sheetId="35" r:id="rId23"/>
    <sheet name="EM6" sheetId="27" state="hidden" r:id="rId24"/>
    <sheet name="E1" sheetId="13" r:id="rId25"/>
    <sheet name="S1 Fin" sheetId="60" r:id="rId26"/>
    <sheet name="S2_HCM" sheetId="34" r:id="rId27"/>
    <sheet name="S3 SCM" sheetId="53" r:id="rId28"/>
    <sheet name="S4_IIT&amp;EUC (OCIO)" sheetId="37" r:id="rId29"/>
    <sheet name="S5 Facilities" sheetId="57" r:id="rId30"/>
    <sheet name="S6 Security" sheetId="58" r:id="rId31"/>
    <sheet name="S7 MK" sheetId="56" r:id="rId32"/>
    <sheet name="S9 Legal" sheetId="55" r:id="rId33"/>
  </sheets>
  <definedNames>
    <definedName name="_xlnm._FilterDatabase" localSheetId="25" hidden="1">'S1 Fin'!$A$2:$L$2</definedName>
    <definedName name="_xlnm._FilterDatabase" localSheetId="2" hidden="1">'Sub-Process Status'!$A$8:$P$8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2" i="59" l="1"/>
  <c r="C248" i="59"/>
  <c r="C242" i="59"/>
  <c r="C235" i="59"/>
  <c r="C220" i="59"/>
  <c r="C210" i="59"/>
  <c r="C201" i="59"/>
  <c r="C183" i="59"/>
  <c r="C170" i="59"/>
  <c r="C161" i="59"/>
  <c r="C152" i="59"/>
  <c r="C137" i="59"/>
  <c r="C126" i="59"/>
  <c r="C113" i="59"/>
  <c r="C102" i="59"/>
  <c r="C94" i="59"/>
  <c r="C86" i="59"/>
  <c r="C73" i="59"/>
  <c r="C66" i="59"/>
  <c r="C57" i="59"/>
  <c r="C45" i="59"/>
  <c r="C40" i="59"/>
  <c r="C34" i="59"/>
  <c r="C21" i="59"/>
  <c r="C16" i="59"/>
  <c r="C11" i="59"/>
  <c r="C3" i="59"/>
  <c r="H28" i="30"/>
  <c r="H40" i="30"/>
  <c r="H41" i="30"/>
  <c r="H42" i="30"/>
  <c r="H218" i="30"/>
  <c r="H219" i="30"/>
  <c r="H220" i="30"/>
  <c r="H221" i="30"/>
  <c r="H215" i="30"/>
  <c r="H216" i="30"/>
  <c r="H217" i="30"/>
  <c r="H208" i="30"/>
  <c r="H209" i="30"/>
  <c r="E40" i="20"/>
  <c r="E2" i="20"/>
  <c r="E10" i="20"/>
  <c r="E16" i="20"/>
  <c r="E23" i="20"/>
  <c r="E34" i="20"/>
  <c r="E46" i="20"/>
  <c r="E59" i="20"/>
  <c r="H39" i="30"/>
  <c r="H38" i="30"/>
  <c r="H37" i="30"/>
  <c r="H36" i="30"/>
  <c r="H35" i="30"/>
  <c r="H34" i="30"/>
  <c r="H33" i="30"/>
  <c r="H32" i="30"/>
  <c r="H31" i="30"/>
  <c r="H30" i="30"/>
  <c r="H241" i="30"/>
  <c r="H242" i="30"/>
  <c r="H236" i="30"/>
  <c r="H237" i="30"/>
  <c r="H238" i="30"/>
  <c r="H239" i="30"/>
  <c r="H240" i="30"/>
  <c r="H243" i="30"/>
  <c r="H244" i="30"/>
  <c r="H281" i="30"/>
  <c r="H282" i="30"/>
  <c r="H283" i="30"/>
  <c r="H284" i="30"/>
  <c r="H285" i="30"/>
  <c r="H225" i="30"/>
  <c r="H226" i="30"/>
  <c r="H227" i="30"/>
  <c r="H228" i="30"/>
  <c r="H229" i="30"/>
  <c r="H230" i="30"/>
  <c r="H198" i="30"/>
  <c r="H199" i="30"/>
  <c r="H200" i="30"/>
  <c r="H201" i="30"/>
  <c r="H202" i="30"/>
  <c r="H203" i="30"/>
  <c r="H222" i="30"/>
  <c r="H287" i="30"/>
  <c r="H286" i="30"/>
  <c r="H280" i="30"/>
  <c r="H279" i="30"/>
  <c r="H278" i="30"/>
  <c r="H277" i="30"/>
  <c r="H276" i="30"/>
  <c r="H275" i="30"/>
  <c r="H274" i="30"/>
  <c r="H273" i="30"/>
  <c r="H272" i="30"/>
  <c r="H271" i="30"/>
  <c r="H270" i="30"/>
  <c r="H269" i="30"/>
  <c r="H268" i="30"/>
  <c r="H267" i="30"/>
  <c r="H266" i="30"/>
  <c r="H265" i="30"/>
  <c r="H264" i="30"/>
  <c r="H263" i="30"/>
  <c r="H262" i="30"/>
  <c r="H261" i="30"/>
  <c r="H260" i="30"/>
  <c r="H259" i="30"/>
  <c r="H258" i="30"/>
  <c r="H250" i="30"/>
  <c r="H249" i="30"/>
  <c r="H248" i="30"/>
  <c r="H247" i="30"/>
  <c r="H246" i="30"/>
  <c r="H245" i="30"/>
  <c r="H235" i="30"/>
  <c r="H234" i="30"/>
  <c r="H233" i="30"/>
  <c r="H232" i="30"/>
  <c r="H231" i="30"/>
  <c r="H224" i="30"/>
  <c r="H223" i="30"/>
  <c r="H214" i="30"/>
  <c r="H213" i="30"/>
  <c r="H212" i="30"/>
  <c r="H211" i="30"/>
  <c r="H210" i="30"/>
  <c r="H207" i="30"/>
  <c r="H206" i="30"/>
  <c r="H205" i="30"/>
  <c r="H204" i="30"/>
  <c r="H197" i="30"/>
  <c r="H196" i="30"/>
  <c r="H195" i="30"/>
  <c r="H194" i="30"/>
  <c r="H193" i="30"/>
  <c r="H192" i="30"/>
  <c r="H191" i="30"/>
  <c r="H190" i="30"/>
  <c r="H189" i="30"/>
  <c r="H188" i="30"/>
  <c r="H186" i="30"/>
  <c r="H185" i="30"/>
  <c r="H184" i="30"/>
  <c r="H183" i="30"/>
  <c r="H181" i="30"/>
  <c r="H180" i="30"/>
  <c r="H179" i="30"/>
  <c r="H177" i="30"/>
  <c r="H176" i="30"/>
  <c r="H175" i="30"/>
  <c r="H174" i="30"/>
  <c r="H173" i="30"/>
  <c r="H172" i="30"/>
  <c r="H171" i="30"/>
  <c r="H170" i="30"/>
  <c r="H169" i="30"/>
  <c r="H168" i="30"/>
  <c r="H167" i="30"/>
  <c r="H166" i="30"/>
  <c r="H165" i="30"/>
  <c r="H164" i="30"/>
  <c r="H163" i="30"/>
  <c r="H162" i="30"/>
  <c r="H161" i="30"/>
  <c r="H160" i="30"/>
  <c r="H159" i="30"/>
  <c r="H158" i="30"/>
  <c r="H157" i="30"/>
  <c r="H156" i="30"/>
  <c r="H155" i="30"/>
  <c r="H154" i="30"/>
  <c r="H153" i="30"/>
  <c r="H152" i="30"/>
  <c r="H151" i="30"/>
  <c r="H150" i="30"/>
  <c r="H149" i="30"/>
  <c r="H148" i="30"/>
  <c r="H147" i="30"/>
  <c r="H146" i="30"/>
  <c r="H145" i="30"/>
  <c r="H144" i="30"/>
  <c r="H143" i="30"/>
  <c r="H142" i="30"/>
  <c r="H141" i="30"/>
  <c r="H140" i="30"/>
  <c r="H139" i="30"/>
  <c r="H138" i="30"/>
  <c r="H137" i="30"/>
  <c r="H136" i="30"/>
  <c r="H135" i="30"/>
  <c r="H134" i="30"/>
  <c r="H133" i="30"/>
  <c r="H132" i="30"/>
  <c r="H131" i="30"/>
  <c r="H130" i="30"/>
  <c r="H129" i="30"/>
  <c r="H128" i="30"/>
  <c r="H127" i="30"/>
  <c r="H126" i="30"/>
  <c r="H125" i="30"/>
  <c r="H124" i="30"/>
  <c r="H123" i="30"/>
  <c r="H122" i="30"/>
  <c r="H121" i="30"/>
  <c r="H120" i="30"/>
  <c r="H119" i="30"/>
  <c r="H118" i="30"/>
  <c r="H117" i="30"/>
  <c r="H116" i="30"/>
  <c r="H115" i="30"/>
  <c r="H114" i="30"/>
  <c r="H113" i="30"/>
  <c r="H112" i="30"/>
  <c r="H111" i="30"/>
  <c r="H110" i="30"/>
  <c r="H109" i="30"/>
  <c r="H107" i="30"/>
  <c r="H106" i="30"/>
  <c r="H105" i="30"/>
  <c r="H104" i="30"/>
  <c r="H103" i="30"/>
  <c r="H102" i="30"/>
  <c r="H100" i="30"/>
  <c r="H99" i="30"/>
  <c r="H98" i="30"/>
  <c r="H97" i="30"/>
  <c r="H96" i="30"/>
  <c r="H95" i="30"/>
  <c r="H94" i="30"/>
  <c r="H93" i="30"/>
  <c r="H92" i="30"/>
  <c r="H91" i="30"/>
  <c r="H90" i="30"/>
  <c r="H89" i="30"/>
  <c r="H88" i="30"/>
  <c r="H87" i="30"/>
  <c r="H86" i="30"/>
  <c r="H85" i="30"/>
  <c r="H84" i="30"/>
  <c r="H83" i="30"/>
  <c r="H82" i="30"/>
  <c r="H81" i="30"/>
  <c r="H79" i="30"/>
  <c r="H78" i="30"/>
  <c r="H77" i="30"/>
  <c r="H76" i="30"/>
  <c r="H75" i="30"/>
  <c r="H74" i="30"/>
  <c r="H73" i="30"/>
  <c r="H72" i="30"/>
  <c r="H71" i="30"/>
  <c r="C71" i="30" s="1"/>
  <c r="H70" i="30"/>
  <c r="H69" i="30"/>
  <c r="H68" i="30"/>
  <c r="H67" i="30"/>
  <c r="H66" i="30"/>
  <c r="H65" i="30"/>
  <c r="H63" i="30"/>
  <c r="H62" i="30"/>
  <c r="H61" i="30"/>
  <c r="H60" i="30"/>
  <c r="H59" i="30"/>
  <c r="H58" i="30"/>
  <c r="H57" i="30"/>
  <c r="H56" i="30"/>
  <c r="H55" i="30"/>
  <c r="H54" i="30"/>
  <c r="H53" i="30"/>
  <c r="H52" i="30"/>
  <c r="H51" i="30"/>
  <c r="H50" i="30"/>
  <c r="H49" i="30"/>
  <c r="H48" i="30"/>
  <c r="H47" i="30"/>
  <c r="H46" i="30"/>
  <c r="H45" i="30"/>
  <c r="H44" i="30"/>
  <c r="H43" i="30"/>
  <c r="H29" i="30"/>
  <c r="H27" i="30"/>
  <c r="H26" i="30"/>
  <c r="H25" i="30"/>
  <c r="H24" i="30"/>
  <c r="H23" i="30"/>
  <c r="H22" i="30"/>
  <c r="H21" i="30"/>
  <c r="H20" i="30"/>
  <c r="H19" i="30"/>
  <c r="H18" i="30"/>
  <c r="H17" i="30"/>
  <c r="C17" i="30" s="1"/>
  <c r="H16" i="30"/>
  <c r="H15" i="30"/>
  <c r="H14" i="30"/>
  <c r="H13" i="30"/>
  <c r="H12" i="30"/>
  <c r="H11" i="30"/>
  <c r="H10" i="30"/>
  <c r="H9" i="30"/>
  <c r="O17" i="20"/>
  <c r="O13" i="20"/>
  <c r="O47" i="20"/>
  <c r="O26" i="20"/>
  <c r="O39" i="20"/>
  <c r="O51" i="20"/>
  <c r="O56" i="20"/>
  <c r="O2" i="20"/>
  <c r="J20" i="20"/>
  <c r="J10" i="20"/>
  <c r="J42" i="20"/>
  <c r="J57" i="20"/>
  <c r="J29" i="20"/>
  <c r="J52" i="20"/>
  <c r="J46" i="20"/>
  <c r="J16" i="20"/>
  <c r="J2" i="20"/>
  <c r="C50" i="30" l="1"/>
  <c r="C89" i="30"/>
  <c r="C168" i="30"/>
  <c r="C81" i="30"/>
  <c r="C278" i="30"/>
  <c r="C30" i="30"/>
  <c r="C273" i="30"/>
  <c r="C153" i="30"/>
  <c r="C267" i="30"/>
  <c r="C110" i="30"/>
  <c r="C223" i="30"/>
  <c r="C244" i="30"/>
  <c r="C232" i="30"/>
  <c r="C102" i="30"/>
  <c r="C23" i="30"/>
  <c r="C205" i="30"/>
  <c r="C142" i="30"/>
  <c r="C177" i="30"/>
  <c r="C57" i="30"/>
  <c r="C129" i="30"/>
  <c r="C259" i="30"/>
  <c r="C188" i="30"/>
  <c r="C9" i="30"/>
  <c r="C118" i="30"/>
  <c r="C43" i="30"/>
</calcChain>
</file>

<file path=xl/sharedStrings.xml><?xml version="1.0" encoding="utf-8"?>
<sst xmlns="http://schemas.openxmlformats.org/spreadsheetml/2006/main" count="9731" uniqueCount="4941">
  <si>
    <t>Owner</t>
  </si>
  <si>
    <t>Manage ICT</t>
  </si>
  <si>
    <t>Manage Strategy</t>
  </si>
  <si>
    <t>Manage Finance</t>
  </si>
  <si>
    <t>Process</t>
  </si>
  <si>
    <t>Sub-Process</t>
  </si>
  <si>
    <t>Procedure</t>
  </si>
  <si>
    <t>Task</t>
  </si>
  <si>
    <t>Tasks</t>
  </si>
  <si>
    <t>Manage GRC</t>
  </si>
  <si>
    <t>Collect Revenue</t>
  </si>
  <si>
    <t>Manage Budget</t>
  </si>
  <si>
    <t>Manage Working Capital</t>
  </si>
  <si>
    <t>Manage Treasury</t>
  </si>
  <si>
    <t>Manage IT infrastructure</t>
  </si>
  <si>
    <t>Manage Business Systems Infrastructure</t>
  </si>
  <si>
    <t>Manage ICT Security</t>
  </si>
  <si>
    <t>Manage Data Governance</t>
  </si>
  <si>
    <t>E1.1 Manage Budget</t>
  </si>
  <si>
    <t>E1.2 Manage Financial Accounting</t>
  </si>
  <si>
    <t>E1.3 Manage Working Capital</t>
  </si>
  <si>
    <t>E1.4 Manage Management Accounting</t>
  </si>
  <si>
    <t>E1.6 Manage Tax</t>
  </si>
  <si>
    <t>E1.7 manage Financial Support Services</t>
  </si>
  <si>
    <t>E1. Manage Finance</t>
  </si>
  <si>
    <t>E1.5.1 Manage debt</t>
  </si>
  <si>
    <t>E1.5.2 Manage investments</t>
  </si>
  <si>
    <t>E1.5.3 Manage cash</t>
  </si>
  <si>
    <t>E1.5.4 Manage bank accounts</t>
  </si>
  <si>
    <t>E1.5.6 Manage international funds</t>
  </si>
  <si>
    <t>E1.2.1 Create chart of accounts</t>
  </si>
  <si>
    <t>E1.2.2 Maintain general ledger</t>
  </si>
  <si>
    <t>E1.2.3 Maintain balance sheet</t>
  </si>
  <si>
    <t>E1.2.4 Reconcile accounts</t>
  </si>
  <si>
    <t>E1.2.6 Perform month end</t>
  </si>
  <si>
    <t>E1.2.7 Manage payroll and reimbursements</t>
  </si>
  <si>
    <t>E1.2.8 Generate financial statements</t>
  </si>
  <si>
    <t>E1.5 Manage Treasury</t>
  </si>
  <si>
    <t>E1.8 Manage creditors</t>
  </si>
  <si>
    <t>E1.8.1 Maintain creditors</t>
  </si>
  <si>
    <t>E1.8.3 Process payment</t>
  </si>
  <si>
    <t>E1.3.1 Acquire assets</t>
  </si>
  <si>
    <t>E1.3.2 Manage asset register</t>
  </si>
  <si>
    <t>E1.3.3 Process and record fixed assets</t>
  </si>
  <si>
    <t>E1.3.4 Manage assets</t>
  </si>
  <si>
    <t>E1.3.5 Verify assets</t>
  </si>
  <si>
    <t>E1.3.6 Dispose assets</t>
  </si>
  <si>
    <t>E1.1.1 Manage budget process</t>
  </si>
  <si>
    <t>E1.6.1 Calculate tax</t>
  </si>
  <si>
    <t>E1.6.2 Process company tax</t>
  </si>
  <si>
    <t>E1.6.3 Process PAYE</t>
  </si>
  <si>
    <t>E1.6.4 Process VAT</t>
  </si>
  <si>
    <t>E1.6.5 Manage tax enquiries</t>
  </si>
  <si>
    <t xml:space="preserve">E1.7.1 </t>
  </si>
  <si>
    <t>x</t>
  </si>
  <si>
    <t>EM6. Manage Culture and Change</t>
  </si>
  <si>
    <t>Manage Employee Relations</t>
  </si>
  <si>
    <t>Manage Employee Wellness</t>
  </si>
  <si>
    <t>Manage Performance</t>
  </si>
  <si>
    <t>EM6.1 Manage Ideal Culture</t>
  </si>
  <si>
    <t>EM6.2.1 Manage change methodology</t>
  </si>
  <si>
    <t>EM6.2 Manage Change</t>
  </si>
  <si>
    <t>EM6.2.1.1 Maintain in-house change capability vision</t>
  </si>
  <si>
    <t>EM6.2.1.2 Maintain change management framework</t>
  </si>
  <si>
    <t>EM6.2.1.3 Maintain change management methodology</t>
  </si>
  <si>
    <t>EM6.2.1.4 Maintain technology change management approach</t>
  </si>
  <si>
    <t>EM6.2.1.5 Maintain business process change management approach</t>
  </si>
  <si>
    <t>EM6.2.1.6 Maintain structure change management approach</t>
  </si>
  <si>
    <t>EM6.2.1.7 Maintain culture driver change management approach</t>
  </si>
  <si>
    <t>EM6.2.1.8 Maintain strategy adjustment change management approach</t>
  </si>
  <si>
    <t>EM6.2.1.9 Maintain appropriate tools and templates</t>
  </si>
  <si>
    <t>EM6.2.2 Maintain change capability</t>
  </si>
  <si>
    <t>EM6.2.3 Embed change management</t>
  </si>
  <si>
    <t>EM6.2.4 Plan Change</t>
  </si>
  <si>
    <t>EM6.2.5 Facilitate Change</t>
  </si>
  <si>
    <t>EM6.2.2.1 Define capability requirement</t>
  </si>
  <si>
    <t>EM6.2.2.2 Monitor capabilities</t>
  </si>
  <si>
    <t>EM6.2.2.3 Secure adequate resources</t>
  </si>
  <si>
    <t>EM6.2.2.4 Provide training on change management framework</t>
  </si>
  <si>
    <t>EM6.2.2.5 Provide training on change management approaches</t>
  </si>
  <si>
    <t>EM6.2.2.6 Provide training on change management tools</t>
  </si>
  <si>
    <t>EM6.2.2.7 Maintain change champions compliment (throughout organisation)</t>
  </si>
  <si>
    <t>EM6.2.2.8 Train change champions</t>
  </si>
  <si>
    <t>EM6.2.2.9 Manage documents</t>
  </si>
  <si>
    <t>EM6.2.2.10 Enable process automation</t>
  </si>
  <si>
    <t>EM6.2.2.11 Establish reporting capability</t>
  </si>
  <si>
    <t>EM6.2.3.1 Ensure project management change</t>
  </si>
  <si>
    <t>EM6.2.3.2 Incorporate into strategy planning</t>
  </si>
  <si>
    <t>EM6.2.3.4 Evaluate change management impact on financial performance</t>
  </si>
  <si>
    <t>EM6.2.3.5 Evaluate change management impact on risks mitigation</t>
  </si>
  <si>
    <t>EM6.2.3.3 Incorporate into risk management</t>
  </si>
  <si>
    <t>EM6.2.3.6 Evaluate change management impact on productivity</t>
  </si>
  <si>
    <t>EM6.2.3.7 Analyse results</t>
  </si>
  <si>
    <t>EM6.2.3.8 Communicate results</t>
  </si>
  <si>
    <t>EM6.2.3.9 Communicate required adjustments</t>
  </si>
  <si>
    <t>EM6.2.4.1 Define case for change</t>
  </si>
  <si>
    <t>EM6.2.4.2 Define the change gap</t>
  </si>
  <si>
    <t>EM6.2.4.3 Define change management vision</t>
  </si>
  <si>
    <t>EM6.2.4.4 Identify impact</t>
  </si>
  <si>
    <t>EM6.2.4.5 Analyse stakeholders</t>
  </si>
  <si>
    <t>EM6.2.4.6 Identify readiness</t>
  </si>
  <si>
    <t xml:space="preserve">EM6.2.4.7 Define Change Management Strategy </t>
  </si>
  <si>
    <t>EM6.2.4.8 Plan change interventions</t>
  </si>
  <si>
    <t>EM6.2.4.9 On-board change champions</t>
  </si>
  <si>
    <t>EM6.2.4.10 Communicate process</t>
  </si>
  <si>
    <t>EM6.2.5.1 Celebrate Success</t>
  </si>
  <si>
    <t>EM6.2.5.2 Manage change project team</t>
  </si>
  <si>
    <t>EM6.2.5.3 Manage progress reporting</t>
  </si>
  <si>
    <t>EM6.2.5.4 Coordinate change interventions</t>
  </si>
  <si>
    <t>EM6.2.5.5 Facilitate change related communication</t>
  </si>
  <si>
    <t>EM6.2.5.6 Align leadership</t>
  </si>
  <si>
    <t>EM6.2.5.7 Facilitate change related training</t>
  </si>
  <si>
    <t>EM6.2.6 Monitor Change</t>
  </si>
  <si>
    <t>EM6.2.6.1 Collect &amp; Analyse Feedback</t>
  </si>
  <si>
    <t>EM6.2.6.2 Monitor change impact</t>
  </si>
  <si>
    <t xml:space="preserve">EM6.2.6.3 Monitor &amp; Control Resistance </t>
  </si>
  <si>
    <t>E1.1.2 Develop group budget</t>
  </si>
  <si>
    <t>E1.1.3 Develop divisional budgets</t>
  </si>
  <si>
    <t>E1.1.4 Consolidate group budget</t>
  </si>
  <si>
    <t>E1.1.5 Monitor divisional budget</t>
  </si>
  <si>
    <t>E1.1.6 Monitor group budget</t>
  </si>
  <si>
    <t>E1.1.7 Report variance</t>
  </si>
  <si>
    <t>E1.4.1 Evaluate financial performance</t>
  </si>
  <si>
    <t>E1.4.2 Conduct content / service costing</t>
  </si>
  <si>
    <t>E1.4.3 Conduct cashflow forecasting</t>
  </si>
  <si>
    <t>E1.4.4 Conduct working capital forecast</t>
  </si>
  <si>
    <t>E1.4.5 Conduct business case &amp; ROI</t>
  </si>
  <si>
    <t>Manage Creditors</t>
  </si>
  <si>
    <t>Plan Channel Marketing Strategy</t>
  </si>
  <si>
    <t>Plan Content Marketing Strategy</t>
  </si>
  <si>
    <t>Run Marketing Campaigns</t>
  </si>
  <si>
    <t>Manage Promotions</t>
  </si>
  <si>
    <t>Monitor Impact &amp; ROI</t>
  </si>
  <si>
    <t>EM6.1.1 Maintain ideal culture definition</t>
  </si>
  <si>
    <t>Monitor culture lever status</t>
  </si>
  <si>
    <t>EM6.1.3 Nurture ideal culture</t>
  </si>
  <si>
    <t>Maintain culture definition</t>
  </si>
  <si>
    <t>Maintain ideal behaviour definitions</t>
  </si>
  <si>
    <t>Maintain vision essential values</t>
  </si>
  <si>
    <t>Monitor ideal culture consistency  (ideal vs day to day experience)</t>
  </si>
  <si>
    <t>Plan interventions</t>
  </si>
  <si>
    <t>Prioritise key culture lever interventions (strategy, leadership, people, structure, IT, process)</t>
  </si>
  <si>
    <t>Maintain culture lever inventory (strategy, leadership, people, structure, IT, process)</t>
  </si>
  <si>
    <t>Coordinate implementation</t>
  </si>
  <si>
    <t>Prioritise ideal culture gaps (values and culture levers)</t>
  </si>
  <si>
    <t>Monitor values impact on strategy</t>
  </si>
  <si>
    <t>Report culture consistency &amp; impact</t>
  </si>
  <si>
    <t>EM6.1.2 Monitor ideal culture health (consistency and impact)</t>
  </si>
  <si>
    <t>Report impact and consistency improvements</t>
  </si>
  <si>
    <t>E1.8.2 Process invoices</t>
  </si>
  <si>
    <t>E1.2.5 Generate Trial Balance</t>
  </si>
  <si>
    <t>E1.5.5 Reconcile bank</t>
  </si>
  <si>
    <t>Manage Sales</t>
  </si>
  <si>
    <t>Generate Leads</t>
  </si>
  <si>
    <t>Develop Proposals</t>
  </si>
  <si>
    <t>Negotiate and Contract</t>
  </si>
  <si>
    <t>Build Client Relationship</t>
  </si>
  <si>
    <t>Create Value</t>
  </si>
  <si>
    <t>Validate Specifications</t>
  </si>
  <si>
    <t>Design Equipment</t>
  </si>
  <si>
    <t>Manufacture</t>
  </si>
  <si>
    <t>Procure Materials</t>
  </si>
  <si>
    <t>Deliver</t>
  </si>
  <si>
    <t>Manage Client Relationships (CRM)</t>
  </si>
  <si>
    <t>Manage HR</t>
  </si>
  <si>
    <t>Plan Capacity</t>
  </si>
  <si>
    <t>Administer Project</t>
  </si>
  <si>
    <t>Manage Strategic Sourcing</t>
  </si>
  <si>
    <t>Manage Demand &amp; Procurement Schedule</t>
  </si>
  <si>
    <t xml:space="preserve">Manage Travel </t>
  </si>
  <si>
    <t>Procure Inventory</t>
  </si>
  <si>
    <t>Manage Climate and engagement</t>
  </si>
  <si>
    <t>Manage Talent</t>
  </si>
  <si>
    <t>Manage Compensation</t>
  </si>
  <si>
    <t>Manage Learning and Development</t>
  </si>
  <si>
    <t>Manage HR administration</t>
  </si>
  <si>
    <t>Manage Methodology</t>
  </si>
  <si>
    <t>Plan Project</t>
  </si>
  <si>
    <t>Manage Project</t>
  </si>
  <si>
    <t>Monitor Project</t>
  </si>
  <si>
    <t>Develop Market</t>
  </si>
  <si>
    <t>Finalise Manufacturing Design</t>
  </si>
  <si>
    <t>Manage Safety</t>
  </si>
  <si>
    <t>Manage Health</t>
  </si>
  <si>
    <t>Manage Environment</t>
  </si>
  <si>
    <t>Definition</t>
  </si>
  <si>
    <t>Develop and schedule content to engage target audiences and promote products through relevant channels.</t>
  </si>
  <si>
    <t>Execute multi-channel campaigns, monitor progress, and optimize messaging to drive leads and conversions.</t>
  </si>
  <si>
    <t>Measure the effectiveness of marketing initiatives, calculate return on investment, and refine future campaigns.</t>
  </si>
  <si>
    <t>Identify and qualify potential customers through networking, marketing efforts, and referrals.</t>
  </si>
  <si>
    <t>Prepare detailed, customized proposals addressing client needs, specifications, and budgets</t>
  </si>
  <si>
    <t>Discuss terms with clients, finalize agreements, and secure signed contracts to close deals</t>
  </si>
  <si>
    <t>Develop long-term strategies for key accounts to maximize value and sustain relationships</t>
  </si>
  <si>
    <t>Foster trust and maintain consistent communication with key clients to ensure satisfaction</t>
  </si>
  <si>
    <t>Identify opportunities to provide additional products or services that enhance client outcomes</t>
  </si>
  <si>
    <t>Review client-provided requirements to ensure feasibility and compatibility with internal capabilities.</t>
  </si>
  <si>
    <t>Create initial equipment designs incorporating technical specifications and client needs.</t>
  </si>
  <si>
    <t>Refine and finalize the design for manufacturing, ensuring all technical details are accurate.</t>
  </si>
  <si>
    <t>Present final design to stakeholders for approval and integrate feedback before production.</t>
  </si>
  <si>
    <t>Define the production approach, workflows, and standards for manufacturing processes.</t>
  </si>
  <si>
    <t>Develop a detailed project plan for manufacturing, including timelines, resources, and milestones.</t>
  </si>
  <si>
    <t>Assess and allocate production capacity to meet current and future demand efficiently.</t>
  </si>
  <si>
    <t>Oversee project execution to ensure alignment with goals, timelines, and budgets.</t>
  </si>
  <si>
    <t>Coordinate project documentation, reporting, and communication among stakeholders.</t>
  </si>
  <si>
    <t>Track progress against the plan, identify risks, and implement corrective actions as necessary.</t>
  </si>
  <si>
    <t>Execute the manufacturing process according to design specifications and production plans.</t>
  </si>
  <si>
    <t>Conduct quality checks during production to ensure compliance with specifications.</t>
  </si>
  <si>
    <t>Arrange for the transportation and delivery of finished products to clients.</t>
  </si>
  <si>
    <t>Collect Feedback</t>
  </si>
  <si>
    <t>Address Issues</t>
  </si>
  <si>
    <t>Provide Update</t>
  </si>
  <si>
    <t>Maintain Database</t>
  </si>
  <si>
    <t>Gather client feedback through surveys, meetings, and reviews to assess satisfaction.</t>
  </si>
  <si>
    <t>Log, resolve, and track client issues in a centralized system to maintain relationships.</t>
  </si>
  <si>
    <t>Share updates on product development, delivery status, and future plans with clients.</t>
  </si>
  <si>
    <t>Develop loyalty programs and initiatives to strengthen client retention and trust.</t>
  </si>
  <si>
    <t>Issue Invoice</t>
  </si>
  <si>
    <t>Track payments</t>
  </si>
  <si>
    <t>Manage Disputes</t>
  </si>
  <si>
    <t>Reconcile Accounts</t>
  </si>
  <si>
    <t>Generate Revenue Report</t>
  </si>
  <si>
    <t>Optimse Collection Process</t>
  </si>
  <si>
    <t>Prepare and send invoices to clients based on agreed contract terms.</t>
  </si>
  <si>
    <t>Monitor accounts receivable to ensure timely payment and follow up on overdue invoices.</t>
  </si>
  <si>
    <t>Address and resolve billing disputes with clients to maintain trust and revenue flow.</t>
  </si>
  <si>
    <t>Match payments received with invoices to ensure accuracy in financial records.</t>
  </si>
  <si>
    <t>Create periodic revenue reports to analyze trends and identify areas for improvement.</t>
  </si>
  <si>
    <t>Implement strategies to improve cash flow and reduce payment delays.</t>
  </si>
  <si>
    <t>CEO</t>
  </si>
  <si>
    <t>CFO</t>
  </si>
  <si>
    <t>HR</t>
  </si>
  <si>
    <t xml:space="preserve">Manage Tax </t>
  </si>
  <si>
    <t xml:space="preserve">Manage Financial Compliance </t>
  </si>
  <si>
    <t>Manage Financial Risk</t>
  </si>
  <si>
    <t>Manage Capital Structure and expenditure</t>
  </si>
  <si>
    <t>Manage Legal</t>
  </si>
  <si>
    <t>Manage Legal Documents (Agreements)</t>
  </si>
  <si>
    <t>LM</t>
  </si>
  <si>
    <t>Manage SEC</t>
  </si>
  <si>
    <t>Manage Board (Reporting)</t>
  </si>
  <si>
    <t>Manage development and maintenance of Applications</t>
  </si>
  <si>
    <t>HROD</t>
  </si>
  <si>
    <t>Manage Compliace (HR)</t>
  </si>
  <si>
    <t>Manage expediting process (Consumables)</t>
  </si>
  <si>
    <t>GM's</t>
  </si>
  <si>
    <t>Manage Supplier Performance (yard)</t>
  </si>
  <si>
    <t>Define strategies to target the key decision makers who can affect sales. OEM/End User/Sales Partners</t>
  </si>
  <si>
    <t>BD</t>
  </si>
  <si>
    <t>Design and implement relevenat publications and events to increase brand visibility and showcase capabilities.</t>
  </si>
  <si>
    <t>GM</t>
  </si>
  <si>
    <t>Estimating</t>
  </si>
  <si>
    <t>Calcualte total cost of sales and leadtime. Labour/Material/Consu</t>
  </si>
  <si>
    <t>Resource planning/Lead-time</t>
  </si>
  <si>
    <t>Manage Key Accounts</t>
  </si>
  <si>
    <t>Maintain account Strategies</t>
  </si>
  <si>
    <t>PM</t>
  </si>
  <si>
    <t>Document Control</t>
  </si>
  <si>
    <t>Manage flow of communication between Client and Business</t>
  </si>
  <si>
    <t>Ensuring actual costs (lab/material/cons….) are withing planned budget</t>
  </si>
  <si>
    <t>Process improvements, technoooigy improvements, welder qualification</t>
  </si>
  <si>
    <t>OPS Man</t>
  </si>
  <si>
    <t>Manufacturing</t>
  </si>
  <si>
    <t>Quality Control</t>
  </si>
  <si>
    <t>Ensure effective operation of plant and equipment</t>
  </si>
  <si>
    <t>FIN</t>
  </si>
  <si>
    <t>GM/PM</t>
  </si>
  <si>
    <t>Manage contract change</t>
  </si>
  <si>
    <t>Manage contractual changes</t>
  </si>
  <si>
    <t>Manage design change</t>
  </si>
  <si>
    <t>Design &amp; Verify Design</t>
  </si>
  <si>
    <t>Approve Construction Design</t>
  </si>
  <si>
    <t>Manage design changes post approval in a standard manner (Before and after AFC)</t>
  </si>
  <si>
    <t>Finalise BOQ/BOM</t>
  </si>
  <si>
    <t>Prepare and calculate the manufacturing material and specifications required as input into procurement</t>
  </si>
  <si>
    <t>Confirm BOM accuracy n&amp; drawing detail</t>
  </si>
  <si>
    <t>Manage RFQ</t>
  </si>
  <si>
    <t>Issue RFQ, adjudicate, select and contract</t>
  </si>
  <si>
    <t>Expedite and Receive</t>
  </si>
  <si>
    <t>Manage the supplier performance, expediting delivery, receiving and inspecting, approval and or rejection. (If rejected repeat the process)</t>
  </si>
  <si>
    <t>Review and ensure quantlity of material is accurate and detailed drawings reflect requirements. (If not send back to design)</t>
  </si>
  <si>
    <t xml:space="preserve">SHEQ </t>
  </si>
  <si>
    <t>Sales</t>
  </si>
  <si>
    <t>Manage Welding Capability</t>
  </si>
  <si>
    <t>Manage Facilities</t>
  </si>
  <si>
    <t>Manage security and access controls (Business Model).</t>
  </si>
  <si>
    <t>Manage facility maintenance (Business Model). </t>
  </si>
  <si>
    <t>Manage workspace allocation and optimisation  (Business Model). </t>
  </si>
  <si>
    <t>Manage facility lease, contract negotiation and SLA (Business Model)</t>
  </si>
  <si>
    <t>Manage Management Accounting &amp; Forecasting</t>
  </si>
  <si>
    <t xml:space="preserve">Monitor and report profitability (product, client, project, team, unit, material, artisan type, facility, equipment) </t>
  </si>
  <si>
    <t xml:space="preserve">Manage operational budgeting and compliance </t>
  </si>
  <si>
    <t xml:space="preserve">Monitor and report efficiencies (process, procedure, project, methodology, workflow, individual / team / shift / artisan type productivity, supplier agreement etc.) </t>
  </si>
  <si>
    <t>Maintenan Equipment</t>
  </si>
  <si>
    <t xml:space="preserve">Manage Financial Accounting </t>
  </si>
  <si>
    <t xml:space="preserve">Manage Procurement </t>
  </si>
  <si>
    <t>Manage SHE</t>
  </si>
  <si>
    <t>Maintaining accurate financial records, preparing statements, and ensuring adherence to accounting standards.</t>
  </si>
  <si>
    <t>Managing short-term assets and liabilities to maintain liquidity and operational efficiency.</t>
  </si>
  <si>
    <t>Overseeing cash flow, investment strategies, and risk management to ensure financial stability.</t>
  </si>
  <si>
    <t>Ensuring compliance with tax regulations, optimizing tax liabilities, and managing filings and audits.</t>
  </si>
  <si>
    <t>Ensuring adherence to financial regulations, policies, and internal controls to mitigate risks.</t>
  </si>
  <si>
    <t>Managing supplier payments and accounts payable processes to maintain good relationships and financial stability.</t>
  </si>
  <si>
    <t>Identifying, assessing, and mitigating financial risks to protect organizational assets and interests.</t>
  </si>
  <si>
    <t>Planning and optimizing the organization’s financial structure and managing capital investments.</t>
  </si>
  <si>
    <t>Drafting, reviewing, and maintaining contracts and agreements to ensure legal and operational clarity.</t>
  </si>
  <si>
    <t>Ensuring compliance with regulatory filings and disclosures required by the Securities and Exchange Commission (SEC) or equivalent.</t>
  </si>
  <si>
    <t>Preparing and delivering reports to the board to support governance and decision-making.</t>
  </si>
  <si>
    <t>Ensuring the availability, reliability, and scalability of hardware, networks, and systems.</t>
  </si>
  <si>
    <t>Overseeing enterprise software and platforms to support organizational processes.</t>
  </si>
  <si>
    <t>Creating and maintaining software applications to meet business needs.</t>
  </si>
  <si>
    <t>Implementing measures to protect data, systems, and networks from cyber threats and unauthorized access.</t>
  </si>
  <si>
    <t>Streamlining workflows by integrating automated solutions to enhance efficiency and accuracy.</t>
  </si>
  <si>
    <t>Establishing policies and procedures to ensure data integrity, security, and compliance.</t>
  </si>
  <si>
    <t>Fostering a positive organizational culture and employee engagement through regular assessments and initiatives.</t>
  </si>
  <si>
    <t>Attracting, hiring, and retaining skilled employees to meet organizational needs.</t>
  </si>
  <si>
    <t>Ensuring harmonious workplace relationships and resolving conflicts effectively.</t>
  </si>
  <si>
    <t>Designing and administering fair and competitive remuneration structures.</t>
  </si>
  <si>
    <t>Implementing programs to support employee physical and mental well-being.</t>
  </si>
  <si>
    <t>Providing training and development opportunities to enhance employee skills and performance.</t>
  </si>
  <si>
    <t>Establishing performance metrics, conducting evaluations, and managing rewards.</t>
  </si>
  <si>
    <t>Handling HR operations, including records management and policy implementation.</t>
  </si>
  <si>
    <t>Ensuring HR policies and practices adhere to legal and regulatory standards.</t>
  </si>
  <si>
    <t>Identifying and selecting suppliers to align with long-term organizational goals.</t>
  </si>
  <si>
    <t>Planning and scheduling procurement activities to meet operational needs.</t>
  </si>
  <si>
    <t>Acquiring and managing inventory levels to ensure availability and cost-efficiency.</t>
  </si>
  <si>
    <t>Ensuring timely delivery of consumable supplies to support operations.</t>
  </si>
  <si>
    <t>Monitoring and optimizing supply chain efficiency for consumables.</t>
  </si>
  <si>
    <t>Evaluating and improving supplier performance to enhance supply chain reliability.</t>
  </si>
  <si>
    <t>Coordinating organizational travel arrangements and expenses effectively.</t>
  </si>
  <si>
    <t>Implementing measures to ensure workplace safety and prevent accidents.</t>
  </si>
  <si>
    <t>Promoting employee health and well-being through policies and programs.</t>
  </si>
  <si>
    <t>Ensuring compliance with environmental regulations and implementing sustainable practices.</t>
  </si>
  <si>
    <t>Overseeing lease agreements and service level agreements to optimize facilities management.</t>
  </si>
  <si>
    <t>Ensuring the upkeep and functionality of facilities to support business operations.</t>
  </si>
  <si>
    <t>Allocating and optimizing workspace to meet current and future organizational needs.</t>
  </si>
  <si>
    <t>Implementing measures to safeguard facilities and control access to restricted areas.</t>
  </si>
  <si>
    <t>Planning, monitoring, and ensuring compliance with operational budgets.</t>
  </si>
  <si>
    <t>Analyzing financial performance across products, clients, projects, and teams to identify profitability trends.</t>
  </si>
  <si>
    <t>Evaluating and reporting on operational efficiencies across processes, projects, and methodologies.</t>
  </si>
  <si>
    <t>Manage IT solution implementation and integration</t>
  </si>
  <si>
    <t>Business Process</t>
  </si>
  <si>
    <t>SITA BUSINESS PROCESS INVENTORY</t>
  </si>
  <si>
    <t>M1</t>
  </si>
  <si>
    <t>M1.1</t>
  </si>
  <si>
    <t>M1.2</t>
  </si>
  <si>
    <t>M1.3</t>
  </si>
  <si>
    <t>M1.4</t>
  </si>
  <si>
    <t>M1.5</t>
  </si>
  <si>
    <t>M2</t>
  </si>
  <si>
    <t>M2.1</t>
  </si>
  <si>
    <t>M2.2</t>
  </si>
  <si>
    <t>M2.3</t>
  </si>
  <si>
    <t>M2.4</t>
  </si>
  <si>
    <t>M2.5</t>
  </si>
  <si>
    <t>M3</t>
  </si>
  <si>
    <t>M3.1</t>
  </si>
  <si>
    <t>M3.2</t>
  </si>
  <si>
    <t>M3.3</t>
  </si>
  <si>
    <t>M3.4</t>
  </si>
  <si>
    <t>M4</t>
  </si>
  <si>
    <t>M4.1</t>
  </si>
  <si>
    <t>M4.2</t>
  </si>
  <si>
    <t>M4.3</t>
  </si>
  <si>
    <t>M4.4</t>
  </si>
  <si>
    <t>M4.5</t>
  </si>
  <si>
    <t>M4.6</t>
  </si>
  <si>
    <t>M4.7</t>
  </si>
  <si>
    <t>M5</t>
  </si>
  <si>
    <t>M5.1</t>
  </si>
  <si>
    <t>M5.2</t>
  </si>
  <si>
    <t>M5.3</t>
  </si>
  <si>
    <t>M5.4</t>
  </si>
  <si>
    <t>M5.5</t>
  </si>
  <si>
    <t>M6</t>
  </si>
  <si>
    <t>M6.1</t>
  </si>
  <si>
    <t>M6.2</t>
  </si>
  <si>
    <t>M6.3</t>
  </si>
  <si>
    <t>C1</t>
  </si>
  <si>
    <t>C1.1</t>
  </si>
  <si>
    <t>C1.2</t>
  </si>
  <si>
    <t>C1.3</t>
  </si>
  <si>
    <t>C1.4</t>
  </si>
  <si>
    <t>C1.5</t>
  </si>
  <si>
    <t>C2</t>
  </si>
  <si>
    <t>C2.1</t>
  </si>
  <si>
    <t>C2.2</t>
  </si>
  <si>
    <t>C2.3</t>
  </si>
  <si>
    <t>C2.4</t>
  </si>
  <si>
    <t>C2.5</t>
  </si>
  <si>
    <t>C3</t>
  </si>
  <si>
    <t>C3.1</t>
  </si>
  <si>
    <t>C3.2</t>
  </si>
  <si>
    <t>C3.3</t>
  </si>
  <si>
    <t>C4</t>
  </si>
  <si>
    <t>C4.1</t>
  </si>
  <si>
    <t>C4.2</t>
  </si>
  <si>
    <t>C4.3</t>
  </si>
  <si>
    <t>C4.4</t>
  </si>
  <si>
    <t>C4.5</t>
  </si>
  <si>
    <t>C4.6</t>
  </si>
  <si>
    <t>C5</t>
  </si>
  <si>
    <t>C5.1</t>
  </si>
  <si>
    <t>C5.2</t>
  </si>
  <si>
    <t>C5.3</t>
  </si>
  <si>
    <t>C5.4</t>
  </si>
  <si>
    <t>C5.5</t>
  </si>
  <si>
    <t>C5.6</t>
  </si>
  <si>
    <t>C5.7</t>
  </si>
  <si>
    <t>C5.8</t>
  </si>
  <si>
    <t>C5.9</t>
  </si>
  <si>
    <t>C6</t>
  </si>
  <si>
    <t>C6.1</t>
  </si>
  <si>
    <t>C6.2</t>
  </si>
  <si>
    <t>C6.3</t>
  </si>
  <si>
    <t>C7</t>
  </si>
  <si>
    <t>C7.1</t>
  </si>
  <si>
    <t>C7.2</t>
  </si>
  <si>
    <t>C7.3</t>
  </si>
  <si>
    <t>C7.4</t>
  </si>
  <si>
    <t>C7.5</t>
  </si>
  <si>
    <t>C8</t>
  </si>
  <si>
    <t>C8.1</t>
  </si>
  <si>
    <t>C8.2</t>
  </si>
  <si>
    <t>C8.3</t>
  </si>
  <si>
    <t>C8.4</t>
  </si>
  <si>
    <t>C9</t>
  </si>
  <si>
    <t>C9.1</t>
  </si>
  <si>
    <t>C9.2</t>
  </si>
  <si>
    <t>C9.3</t>
  </si>
  <si>
    <t>C9.4</t>
  </si>
  <si>
    <t>C9.5</t>
  </si>
  <si>
    <t>C9.6</t>
  </si>
  <si>
    <t>S1</t>
  </si>
  <si>
    <t>S1.1</t>
  </si>
  <si>
    <t>S1.2</t>
  </si>
  <si>
    <t>S1.3</t>
  </si>
  <si>
    <t>S1.4</t>
  </si>
  <si>
    <t>S1.5</t>
  </si>
  <si>
    <t>S1.6</t>
  </si>
  <si>
    <t>S1.7</t>
  </si>
  <si>
    <t>S1.8</t>
  </si>
  <si>
    <t>S2</t>
  </si>
  <si>
    <t>S2.1</t>
  </si>
  <si>
    <t>S2.2</t>
  </si>
  <si>
    <t>S2.3</t>
  </si>
  <si>
    <t>S3</t>
  </si>
  <si>
    <t>S3.1</t>
  </si>
  <si>
    <t>S3.2</t>
  </si>
  <si>
    <t>S3.3</t>
  </si>
  <si>
    <t>S3.4</t>
  </si>
  <si>
    <t>S3.5</t>
  </si>
  <si>
    <t>S3.6</t>
  </si>
  <si>
    <t>S4</t>
  </si>
  <si>
    <t>S4.1</t>
  </si>
  <si>
    <t>S4.2</t>
  </si>
  <si>
    <t>S4.3</t>
  </si>
  <si>
    <t>S4.4</t>
  </si>
  <si>
    <t>S4.5</t>
  </si>
  <si>
    <t>S4.6</t>
  </si>
  <si>
    <t>S4.7</t>
  </si>
  <si>
    <t>S4.8</t>
  </si>
  <si>
    <t>S4.9</t>
  </si>
  <si>
    <t>S5</t>
  </si>
  <si>
    <t>S5.1</t>
  </si>
  <si>
    <t>S5.2</t>
  </si>
  <si>
    <t>S5.3</t>
  </si>
  <si>
    <t>S5.4</t>
  </si>
  <si>
    <t>S5.5</t>
  </si>
  <si>
    <t>S5.6</t>
  </si>
  <si>
    <t>S5.7</t>
  </si>
  <si>
    <t>S6</t>
  </si>
  <si>
    <t>S6.1</t>
  </si>
  <si>
    <t>S6.2</t>
  </si>
  <si>
    <t>S6.3</t>
  </si>
  <si>
    <t>S7</t>
  </si>
  <si>
    <t>S7.1</t>
  </si>
  <si>
    <t>S7.2</t>
  </si>
  <si>
    <t>S7.3</t>
  </si>
  <si>
    <t>S7.4</t>
  </si>
  <si>
    <t>S8</t>
  </si>
  <si>
    <t>S8.1</t>
  </si>
  <si>
    <t>S8.2</t>
  </si>
  <si>
    <t>S8.3</t>
  </si>
  <si>
    <t>Instructions</t>
  </si>
  <si>
    <t>1. Review BP definitions</t>
  </si>
  <si>
    <t>2. Confirm completeness of Sub-process inventory</t>
  </si>
  <si>
    <t>3. Select the current execution status for each sub-process in general (excluding exceptions)</t>
  </si>
  <si>
    <t>Hosting, End User + Infrastructure environments in SITA.  Service Management / Operations Management - we need to see whether this is covered.</t>
  </si>
  <si>
    <t xml:space="preserve">4. Inndicate the negative status contributors (Capability, Capacity, Resources, Structure, Automation or Outsource) for each process rated "partly" and "ineffective". Use bullet point format. </t>
  </si>
  <si>
    <t>Procurement, cyber security - missing?</t>
  </si>
  <si>
    <t>5. Select (and describe in bullet format) any additional automation or outsourcing opportunities for any other sub-process</t>
  </si>
  <si>
    <t>#</t>
  </si>
  <si>
    <r>
      <t xml:space="preserve">Status </t>
    </r>
    <r>
      <rPr>
        <sz val="11"/>
        <color rgb="FFFF0000"/>
        <rFont val="Calibri"/>
        <family val="2"/>
      </rPr>
      <t>(do not change)</t>
    </r>
  </si>
  <si>
    <t>Indicative Sub-Processes (L2)</t>
  </si>
  <si>
    <r>
      <t xml:space="preserve">Execution Status </t>
    </r>
    <r>
      <rPr>
        <sz val="11"/>
        <color rgb="FFFF0000"/>
        <rFont val="Calibri"/>
        <family val="2"/>
      </rPr>
      <t>(Select from dropdown list)</t>
    </r>
  </si>
  <si>
    <r>
      <t xml:space="preserve">Capability: </t>
    </r>
    <r>
      <rPr>
        <i/>
        <sz val="11"/>
        <color theme="1"/>
        <rFont val="Calibri"/>
        <family val="2"/>
      </rPr>
      <t>(Skills, Competence, Experience amongst current staff - under, adequate, over)</t>
    </r>
  </si>
  <si>
    <r>
      <t xml:space="preserve">Capacity: </t>
    </r>
    <r>
      <rPr>
        <i/>
        <sz val="11"/>
        <color theme="1"/>
        <rFont val="Calibri"/>
        <family val="2"/>
      </rPr>
      <t>(Number of available staff to execute)</t>
    </r>
  </si>
  <si>
    <r>
      <t xml:space="preserve"> Resources: (</t>
    </r>
    <r>
      <rPr>
        <i/>
        <sz val="11"/>
        <color theme="1"/>
        <rFont val="Calibri"/>
        <family val="2"/>
      </rPr>
      <t>Equipment / facilities / information / funding)</t>
    </r>
  </si>
  <si>
    <r>
      <t>Org Structure: (</t>
    </r>
    <r>
      <rPr>
        <i/>
        <sz val="11"/>
        <color theme="1"/>
        <rFont val="Calibri"/>
        <family val="2"/>
      </rPr>
      <t>Duplication, Non / wrong allocation, Process ownership, Coordination authority)</t>
    </r>
  </si>
  <si>
    <r>
      <t xml:space="preserve">Automation Opportunity </t>
    </r>
    <r>
      <rPr>
        <sz val="10"/>
        <rFont val="Arial"/>
        <family val="2"/>
      </rPr>
      <t>(Integration, new automation, AI, BI,  utilisation discipline etc)</t>
    </r>
  </si>
  <si>
    <r>
      <t xml:space="preserve">Outsource  Opportunity </t>
    </r>
    <r>
      <rPr>
        <sz val="10"/>
        <rFont val="Arial"/>
        <family val="2"/>
      </rPr>
      <t>(panel, retainers, perrmanent)</t>
    </r>
  </si>
  <si>
    <t>Other Comments</t>
  </si>
  <si>
    <t>M1. Manage Corporate Strategy &amp; Planning</t>
  </si>
  <si>
    <t xml:space="preserve">Drive enterprise-wide strategic direction, culture health, business model sustainability, portfolio prioritisation and resource allocation to deliver measurable customer experience improvements, scalable digital platforms, revenue growth, operational efficiency, AI readiness, and strengthened governance in alignment with the 2030 Strategic Pillars and Corporate Balanced Scorecard.  </t>
  </si>
  <si>
    <t>Manage organisational culture health</t>
  </si>
  <si>
    <t>Ineffective</t>
  </si>
  <si>
    <t>Monitor internal and external environment / trends</t>
  </si>
  <si>
    <t>Not executed</t>
  </si>
  <si>
    <t>Manage business model health</t>
  </si>
  <si>
    <t>No capability, capacity and resources Internally currently.</t>
  </si>
  <si>
    <t>Manage business concept &amp; long-term vision definition</t>
  </si>
  <si>
    <t>Effective</t>
  </si>
  <si>
    <t>Develop corporate strategy and related plans</t>
  </si>
  <si>
    <t>M1.6</t>
  </si>
  <si>
    <t>Manage strategy implementation, review and adjustments</t>
  </si>
  <si>
    <t>Partly</t>
  </si>
  <si>
    <t>Internal capability, cannot outsource.</t>
  </si>
  <si>
    <t>M1.7</t>
  </si>
  <si>
    <t>M1.8</t>
  </si>
  <si>
    <t>M2. Manage Enterprise Digital Governance and Architecture</t>
  </si>
  <si>
    <t>Governs SITA’s internal digital governance systems, including internal enterprise architecture principles, internal interoperability standards, internal data governance, internal sovereign data compliance, and internal technology innovation alignment. Ensures SITA’s internal technology landscape is standardised, compliant, secure, efficient and scalable.</t>
  </si>
  <si>
    <t>Govern enterprise architecture standards and technology reference models</t>
  </si>
  <si>
    <t>Govern enterprise interoperability and data architecture</t>
  </si>
  <si>
    <t>Govern enterprise sovereign data and internal data compliance</t>
  </si>
  <si>
    <t>Manage internal data quality and integrity</t>
  </si>
  <si>
    <t>Capability at an infancy level. Defining a Standard currently.  Non centralised currently.</t>
  </si>
  <si>
    <t>M2.6</t>
  </si>
  <si>
    <t>Manage internal corporate communications</t>
  </si>
  <si>
    <t>Efficient &amp; Effective</t>
  </si>
  <si>
    <t>Need to unpack duplication in the teams to clarify RACI.  Comms vs CRM.  Sometimes not clear who looks after which external segment.</t>
  </si>
  <si>
    <t>Manage shareholder and ministry relations</t>
  </si>
  <si>
    <t>M3.5</t>
  </si>
  <si>
    <t>M3.6</t>
  </si>
  <si>
    <t>Governs SITA’s internal risk management, regulatory compliance, internal audit, governance oversight, statutory governance facilitation and assurance mechanisms. Ensures SITA meets its legal obligations, maintains controls, manages risks and demonstrates transparent governance.</t>
  </si>
  <si>
    <t>Manage business resiliency</t>
  </si>
  <si>
    <t>Manage enterprise risk governance</t>
  </si>
  <si>
    <t>Manage ICT risks</t>
  </si>
  <si>
    <t>Manage compliance governance and monitoring</t>
  </si>
  <si>
    <t>Provide integrity management</t>
  </si>
  <si>
    <t>Manage enterprise policy review and internal alignment</t>
  </si>
  <si>
    <t>Manage remediation efforts</t>
  </si>
  <si>
    <t>M4.8</t>
  </si>
  <si>
    <t>Manage internal audit and assurance</t>
  </si>
  <si>
    <t>IA bottleneck currently.  Much cheaper to outsource.  R40m average.  There is an opportunity.  Question whether IA should be at level 1 standalone.</t>
  </si>
  <si>
    <t>M4.9</t>
  </si>
  <si>
    <t>Manage corporate governance and secretariat assurance</t>
  </si>
  <si>
    <t>Lots of current instability in the office of the CoSec.  Non Perm currently.</t>
  </si>
  <si>
    <t>M4.10</t>
  </si>
  <si>
    <t>M4.11</t>
  </si>
  <si>
    <t>M5. Manage Business Performance, Monitoring and Evaluation</t>
  </si>
  <si>
    <t>Design and manage enterprise (strategic and operational) performance management frameworks and models and manage the coordinated monitoring, consolidation, evaluation and reporting of business performance against strategic, legislative and execution targets across all business domains</t>
  </si>
  <si>
    <t>Manage CPM planning and governance</t>
  </si>
  <si>
    <t>Manage  corporate performance alignment &amp; infrastructure</t>
  </si>
  <si>
    <t>Need to insource.  Lots of spreadsheets.</t>
  </si>
  <si>
    <t>Manage corporate performance benchmarking</t>
  </si>
  <si>
    <t>Manage operating model, internal systems and internal governance alignment</t>
  </si>
  <si>
    <t>Manage CPM monitoring, reporting and analytics</t>
  </si>
  <si>
    <t>M5.6</t>
  </si>
  <si>
    <t>M5.7</t>
  </si>
  <si>
    <t>M6. Manage Partnership Ecosystem Development</t>
  </si>
  <si>
    <t>Develop, structure and optimise strategic commercial partnerships with industry leaders, SMEs, hyperscalers and innovation partners to accelerate digital product delivery, expand monetised infrastructure services, drive innovation, and diversify revenue streams. (Note: partnerships management is not supplier relationships)</t>
  </si>
  <si>
    <t>Identify and formalise strategic partners (Industry leaders, SMEs, Hyperscalers, Innovation)</t>
  </si>
  <si>
    <t>It is a new capability.</t>
  </si>
  <si>
    <t>Build investor relationships</t>
  </si>
  <si>
    <t>Monitor partner performance (product delivery, expanded monetisation, innovation, revenue diversification)</t>
  </si>
  <si>
    <t>M6.4</t>
  </si>
  <si>
    <t>Optimise strategic partnerships (for accelarated product delivery, expanded monetised infrastructure services, innovation ROI, Revenue diversification, Service cost)</t>
  </si>
  <si>
    <t>It is a new capability.  If it is a Vendor, it will be a different process.</t>
  </si>
  <si>
    <t>M6.5</t>
  </si>
  <si>
    <t>M6.6</t>
  </si>
  <si>
    <t>M7</t>
  </si>
  <si>
    <t>M7. Manage Innovation and  Portfolio Execution (EPMO)</t>
  </si>
  <si>
    <t>Manages SITA’s innovation management, R&amp;D,  portfolio management and Agile project execution methodologies  and Governs SITA’s idea generation, portfolio governance, research execution, programme and project oversight, prioritisation frameworks, phase-gate governance, portfolio controls, programme monitoring and project governance. Ensures alignment with strategy, risk mitigation and governance compliance.</t>
  </si>
  <si>
    <t>M7.1</t>
  </si>
  <si>
    <t>Manage EPMO methodologies and governance (Govern internal innovation framework for enterprise &amp; technology improvement)</t>
  </si>
  <si>
    <t>Split EPMO and Innovation Framework.  Decision has been made that all PMOs to be "centralised" - currently different PMOs for internal and external customers.</t>
  </si>
  <si>
    <t>M7.2</t>
  </si>
  <si>
    <t>Manage idea generation, feasibilities / proof of concept and prioritisation</t>
  </si>
  <si>
    <t>Not clear between participants whether this exists.  Been stop/start due to people leaving the team.  Some of this capability sitis in regions.</t>
  </si>
  <si>
    <t>M7.3</t>
  </si>
  <si>
    <t>Manage concept processing</t>
  </si>
  <si>
    <t>M7.4</t>
  </si>
  <si>
    <t xml:space="preserve">Manage EPMO portfolios </t>
  </si>
  <si>
    <t>M7.5</t>
  </si>
  <si>
    <t xml:space="preserve">Conduct research </t>
  </si>
  <si>
    <t>The amount of money SITA invests in research, but there is no ROI.  Should we not outsource?</t>
  </si>
  <si>
    <t>M7.6</t>
  </si>
  <si>
    <t>Manage proof of concept</t>
  </si>
  <si>
    <t>M7.7</t>
  </si>
  <si>
    <t>Manage applied research</t>
  </si>
  <si>
    <t>M7.8</t>
  </si>
  <si>
    <t xml:space="preserve">Manage EPMO programmes </t>
  </si>
  <si>
    <t>Capability is scattered across organisation, not centrally governed.</t>
  </si>
  <si>
    <t>M7.9</t>
  </si>
  <si>
    <t>Manage EPMO project governance and gating</t>
  </si>
  <si>
    <t>M7.10</t>
  </si>
  <si>
    <t>Manage portfolio performance and reporting</t>
  </si>
  <si>
    <t>M7.11</t>
  </si>
  <si>
    <t>Manage project benefit realisation</t>
  </si>
  <si>
    <t>M7.12</t>
  </si>
  <si>
    <t>Manage Innovation Management methodologies and governance (Govern internal framework for enterprise &amp; technology improvement)</t>
  </si>
  <si>
    <t>Innovation across organisation, then internal vs external PMO, but needs to be centrally governed.</t>
  </si>
  <si>
    <t>M7.13</t>
  </si>
  <si>
    <t>M7.14</t>
  </si>
  <si>
    <t>M8</t>
  </si>
  <si>
    <t>M8. Manage Business Process Optimisation and Quality Assurance (BPMS &amp; EQMS)</t>
  </si>
  <si>
    <t>Governs SITA’s integrated internal quality and business process optimisation frameworks, internal quality audits, quality assurance, business process architecture, business process management, monitoring, non-conformance management and business process optimisation</t>
  </si>
  <si>
    <t>M8.1</t>
  </si>
  <si>
    <t>Manage enterprise quality and business process frameworks</t>
  </si>
  <si>
    <t>Fragmented, and often project based.  Busy consolidating the Business Process Architecture currently.</t>
  </si>
  <si>
    <t>M8.2</t>
  </si>
  <si>
    <t>Implement and manage EQMS and BPMS</t>
  </si>
  <si>
    <t>M8.3</t>
  </si>
  <si>
    <t>Define &amp; maintain business processes (including quality, volume, cost, speed, availability indicators)</t>
  </si>
  <si>
    <t>Not seen as a prioritised organisational capability as yet.</t>
  </si>
  <si>
    <t>M8.4</t>
  </si>
  <si>
    <t>Confirm and benchmark quality requirements (for all business processes: client facing and non-client facing, digitised and manual, insourced and outsourced))</t>
  </si>
  <si>
    <t>M8.5</t>
  </si>
  <si>
    <t>Evaluate process &amp; quality performance</t>
  </si>
  <si>
    <t>Evaluating against ISO standards, whether findings are being managed and implemented is a different question.  Still at infancy stage, not measuring efficiency, just measuring compliance at the moment.</t>
  </si>
  <si>
    <t>M8.6</t>
  </si>
  <si>
    <t>Manage non-conformance</t>
  </si>
  <si>
    <t xml:space="preserve">WIP, isolated and fragmented.  </t>
  </si>
  <si>
    <t>M8.7</t>
  </si>
  <si>
    <t>Improve business processes (to improve enterprise quality performance)</t>
  </si>
  <si>
    <t>M8.8</t>
  </si>
  <si>
    <t>M8.9</t>
  </si>
  <si>
    <t>C1. Sense and Research Digital Demand (Government and Commercial)</t>
  </si>
  <si>
    <t>Senses, researches and prioritises digital demand from departments, other public institutions, citizens and non-government/commercial customers. Provides an evidence base for which products, platforms and services SITA should design, enhance or retire.</t>
  </si>
  <si>
    <t>C1.1 Analyse &amp; prioritise departmental digital demand</t>
  </si>
  <si>
    <t>Have a demand management area as part of SCM.  Demands from Government and SITA internally only.  Engage with CRMs to get demand from clients.  Confusion and lack of clarity regarding where this capability sits and who is looking at this holistically.  Partial and fragmented - TCS through consulting, ITSM, Procurement.  Also reactive, not proactive.</t>
  </si>
  <si>
    <t>C1.2 Analyse &amp; prioritise citizen and end-user expectations</t>
  </si>
  <si>
    <t>CRMs and Customer Advocates need to action.  Various government departments identify citizen needs.  SITA identifies, but don't implement.</t>
  </si>
  <si>
    <t>C1.3 Conduct demand forecasting and modelling</t>
  </si>
  <si>
    <t>C1.4 Prioritise digital demand based on capacity, constraints and impact</t>
  </si>
  <si>
    <t>Funding raised again, but we will be partnering and consulting proactively going forward. Focus on value propositions.</t>
  </si>
  <si>
    <t>C1.5 Monitor / scanning non-government and regional market potential</t>
  </si>
  <si>
    <t>C1.6</t>
  </si>
  <si>
    <t>C1.6 Conduct stakeholder research and market intelligence.</t>
  </si>
  <si>
    <t>Question whether this should be a process or merely a task / action?</t>
  </si>
  <si>
    <t>C1.7</t>
  </si>
  <si>
    <t>C1.8</t>
  </si>
  <si>
    <t>C2. Design, Develop &amp; Engineer Products, Services and Delivery Channels</t>
  </si>
  <si>
    <t>Designs, engineers, builds and tests SITA’s reusable, standardised products, services and delivery channels that form part of the enterprise service catalogue, creating and maintaining the approved product baseline independent of any single client implementation.</t>
  </si>
  <si>
    <t>Define product strategy and roadmap</t>
  </si>
  <si>
    <t>Part of what PSS does.  But seems to be a gap.</t>
  </si>
  <si>
    <t>Define product and service architecture</t>
  </si>
  <si>
    <t>Done seperately per line of business or client.  Centralised, then decentralised.</t>
  </si>
  <si>
    <t>Define delivery channel architecture</t>
  </si>
  <si>
    <t>Engineer reusable product platforms</t>
  </si>
  <si>
    <t>DevOps</t>
  </si>
  <si>
    <t>Develop integration and interoperability components</t>
  </si>
  <si>
    <t>Confused.  Seems that integration is being done, but not successfully.</t>
  </si>
  <si>
    <t>C2.6</t>
  </si>
  <si>
    <t>Develop marketplace-enabled product constructs</t>
  </si>
  <si>
    <t>Theoretically.</t>
  </si>
  <si>
    <t>C2.7</t>
  </si>
  <si>
    <t>Develop cloud and infrastructure product capabilities</t>
  </si>
  <si>
    <t>C2.8</t>
  </si>
  <si>
    <t>C2.9</t>
  </si>
  <si>
    <t>Conduct engineering testing and quality validation</t>
  </si>
  <si>
    <t>C2.10</t>
  </si>
  <si>
    <t>Package and release product baseline</t>
  </si>
  <si>
    <t>C2.11</t>
  </si>
  <si>
    <t>Maintain product baseline and version control</t>
  </si>
  <si>
    <t>C2.12</t>
  </si>
  <si>
    <t>Works with PSS and Marketing to GTM.  Fragmented.  Marketing of products are not being done by PSS.  Unclear - is it the Sales area doing the marketing and how effective is this currently?</t>
  </si>
  <si>
    <t>C2.13</t>
  </si>
  <si>
    <t>Position, promote and differentiate SITA’s digital products, managed services and platform offerings to increase customer acquisition, Strengthen brand trust, improve retention and expand commercial revenue streams. manages brand positioning and monitors market-level customer satisfaction and perception.</t>
  </si>
  <si>
    <t>Develop and execute marketing strategies</t>
  </si>
  <si>
    <t>Not at a product level.</t>
  </si>
  <si>
    <t>Manage and optimise marketing channels</t>
  </si>
  <si>
    <t>Develop service and product messaging and positioning</t>
  </si>
  <si>
    <t>C3.4</t>
  </si>
  <si>
    <t>Launch new digital products and services</t>
  </si>
  <si>
    <t>Activations.  Fragmented, but Sales colleagues drive this.  GovTech, haccathons.</t>
  </si>
  <si>
    <t>C3.5</t>
  </si>
  <si>
    <t>Manage brand visibility and digital presence</t>
  </si>
  <si>
    <t>C3.6</t>
  </si>
  <si>
    <t>Manage customer satisfaction tracking (marketing lens):</t>
  </si>
  <si>
    <t>Not sure about from a customer perspective.</t>
  </si>
  <si>
    <t>C3.7</t>
  </si>
  <si>
    <r>
      <t xml:space="preserve">Manage business development advisory services </t>
    </r>
    <r>
      <rPr>
        <i/>
        <sz val="11"/>
        <color theme="1"/>
        <rFont val="Calibri"/>
        <family val="2"/>
      </rPr>
      <t>(all advisory consulting aiming at marketing and creatng awareness through decision maker exposure)</t>
    </r>
  </si>
  <si>
    <t>Not sure about from a customer perspective.  Over-promise, under deliver.  Output needs to flow into another job/area.</t>
  </si>
  <si>
    <t>C3.8</t>
  </si>
  <si>
    <t>Governs the full commercial, performance and structural lifecycle of products, services and delivery channels from launch approval through enhancement, optimisation and retirement, ensuring sustained value realisation, cost efficiency, risk control and strategic alignment</t>
  </si>
  <si>
    <t>Authorise product and service launch</t>
  </si>
  <si>
    <t>Manage service catalogue governance</t>
  </si>
  <si>
    <t>Monitor service performance and adoption</t>
  </si>
  <si>
    <t>Not all the lines of  business have capacity.</t>
  </si>
  <si>
    <t>Manage service financial performance</t>
  </si>
  <si>
    <t>Govern service enhancement pipeline</t>
  </si>
  <si>
    <t>Problem with the delivery side and there is no visible pipeline.  Work with lines of business as part of PSS process - new, retire and refreshed.</t>
  </si>
  <si>
    <t>Manage benefits realisation tracking</t>
  </si>
  <si>
    <t>C4.7</t>
  </si>
  <si>
    <t>Optimise service portfolio mix</t>
  </si>
  <si>
    <t>Not sure about the "mix".  Decentralised.</t>
  </si>
  <si>
    <t>C4.8</t>
  </si>
  <si>
    <t>Govern service retirement and decommissioning</t>
  </si>
  <si>
    <t>Converts designed and marketed offerings into revenue by finding customers, shaping opportunities, selling projects and services, and securing contractual commitments on sustainable commercial terms.</t>
  </si>
  <si>
    <t>Identify and target prospective customers</t>
  </si>
  <si>
    <t>Manage and optimise sales and contracting channels</t>
  </si>
  <si>
    <t>Manage sales pipeline and opportunity management</t>
  </si>
  <si>
    <t>Manually being done, although automated.</t>
  </si>
  <si>
    <t>Pitch, propose and close deals for digital solutions</t>
  </si>
  <si>
    <t>Close deals - takes 2 years.</t>
  </si>
  <si>
    <t>Sell productised services (DPI, cloud, cyber, integration, analytics, etc.)– Sell catalogue-based services and subscriptions. </t>
  </si>
  <si>
    <t>Sell marketplace facilitation services</t>
  </si>
  <si>
    <t>Manage customer-specific commercial negotiations</t>
  </si>
  <si>
    <t>Track and manage revenue forecasts</t>
  </si>
  <si>
    <t>Monitor client satisfaction (commercial perspective)</t>
  </si>
  <si>
    <t>C5.10</t>
  </si>
  <si>
    <t>Request fulfilment process (Proposal Development)</t>
  </si>
  <si>
    <t>Process can be refined.  Challenge is that the capturing of client requirements are an issue.</t>
  </si>
  <si>
    <t>C5.11</t>
  </si>
  <si>
    <r>
      <t xml:space="preserve">Operate and govern a compliant, secure and scalable digital marketplace platform that brokers ecosystem solutions, manages partner offerings and enables transparent, value-for-money products &amp; services procurement. </t>
    </r>
    <r>
      <rPr>
        <b/>
        <sz val="11"/>
        <color theme="1"/>
        <rFont val="Calibri"/>
        <family val="2"/>
      </rPr>
      <t>Note:</t>
    </r>
    <r>
      <rPr>
        <sz val="10"/>
        <rFont val="Arial"/>
        <family val="2"/>
      </rPr>
      <t xml:space="preserve"> Procurement as a service in a financially profitable manner.</t>
    </r>
  </si>
  <si>
    <t>Conduct marketplace procurement for customers</t>
  </si>
  <si>
    <t>Marketplace still needs to be put in place. Need OM and Business Model as well.</t>
  </si>
  <si>
    <t>Conduct bespoke procurement for specialised digital solutions</t>
  </si>
  <si>
    <t>Only done for software licensing.</t>
  </si>
  <si>
    <t>Conduct procurement for DPI and platform enhancements</t>
  </si>
  <si>
    <t>C6.4</t>
  </si>
  <si>
    <t>Manage procurement contracting and compliance for customers</t>
  </si>
  <si>
    <t>C6.5</t>
  </si>
  <si>
    <t>Onboard and register digital providers</t>
  </si>
  <si>
    <t>C6.6</t>
  </si>
  <si>
    <t>Accredit and assure provider quality</t>
  </si>
  <si>
    <t>C6.7</t>
  </si>
  <si>
    <t>Manage marketplace digital service catalogue </t>
  </si>
  <si>
    <t>C6.8</t>
  </si>
  <si>
    <t>Facilitate customer–provider matching and brokerage</t>
  </si>
  <si>
    <t>C6.9</t>
  </si>
  <si>
    <t>Manage marketplace pricing and revenue flows</t>
  </si>
  <si>
    <t>C6.10</t>
  </si>
  <si>
    <t>Facilitate provider transition and service activation</t>
  </si>
  <si>
    <t>C6.11</t>
  </si>
  <si>
    <t>Monitor provider performance and marketplace analytics</t>
  </si>
  <si>
    <t>C6.12</t>
  </si>
  <si>
    <t>C6.13</t>
  </si>
  <si>
    <t>C7. Manage Public Services (Sovereign Data and Public Infrastructure)</t>
  </si>
  <si>
    <t xml:space="preserve">Secure, manage and optimise national digital public assets including national-scale digital public infrastructure (DPI) platforms and shared digital building blocks and  identity, citizen data, cloud infrastructure and transversal systems while ensuring cybersecurity resilience, data sovereignty and AI-readiness as a public service funded by treasury subvention. </t>
  </si>
  <si>
    <t>Operate digital identity services</t>
  </si>
  <si>
    <t>Process ownership: IOC (Senior Manager: IOC). Execution via Managers (Service Desk/Incident) and Specialists (Apps/DC/LAN/Facilities/Environmental).</t>
  </si>
  <si>
    <t>ITSM + Observability integrations; AIOps for event correlation; DR/runbook automation as applicable.</t>
  </si>
  <si>
    <t>FTC surge capacity for agents/advanced ops; panel providers for specialised integrations (recoverable).</t>
  </si>
  <si>
    <t>Owned by SDM per approved structure; recruitment to follow recoverability gate and unit motivation.</t>
  </si>
  <si>
    <t>Operate data exchange services:</t>
  </si>
  <si>
    <t>same as above</t>
  </si>
  <si>
    <t>Operate digital payments services</t>
  </si>
  <si>
    <t>Operate citizen digital channels:</t>
  </si>
  <si>
    <t>Maintain DPI technology roadmaps and upgrades</t>
  </si>
  <si>
    <t>C7.6</t>
  </si>
  <si>
    <t>Manage DPI service data quality and integrity</t>
  </si>
  <si>
    <t>C7.7</t>
  </si>
  <si>
    <t>Operate hosting and infrastructure services</t>
  </si>
  <si>
    <t>C7.8</t>
  </si>
  <si>
    <t>Maintain client infrastructure availability</t>
  </si>
  <si>
    <t>C7.9</t>
  </si>
  <si>
    <t>Recover and restore client infrastructure services environments.</t>
  </si>
  <si>
    <t>C7.10</t>
  </si>
  <si>
    <t>Maintain client Server Availability</t>
  </si>
  <si>
    <t>C7.11</t>
  </si>
  <si>
    <t xml:space="preserve">C8. Deliver Products and Services </t>
  </si>
  <si>
    <t>Implements, configures, integrates and delivers approved and launched products and services within client environments and production environments, including client-specific solution implementation, operational service delivery and third-party supplier performance management to achieve agreed service levels.</t>
  </si>
  <si>
    <t>Manage commercial advisory services (for profit, not for marketing)</t>
  </si>
  <si>
    <t>Process ownership: A&amp;D (Service Technologies, Data Warehouse, Service Performance Reporting, SAM).</t>
  </si>
  <si>
    <t>Data Warehouse KPIs; usage-to-billing integration; CMDB/Discovery sync; APM/Telephony automation.</t>
  </si>
  <si>
    <t>Project-based specialists for APM/Discovery/Telephony; BI backlog augmentation (time-boxed).</t>
  </si>
  <si>
    <t>Core business, thus no outsourcing opportunity.</t>
  </si>
  <si>
    <t>Manage client solution scoping and mobilisation</t>
  </si>
  <si>
    <t>Manage client-specific configuration and integration</t>
  </si>
  <si>
    <t>Manage client deployment and transition-to-run</t>
  </si>
  <si>
    <t>C8.5</t>
  </si>
  <si>
    <t>Deliver managed services in steady state (Ongoing support)</t>
  </si>
  <si>
    <t>C8.6</t>
  </si>
  <si>
    <t>Manage IT service management processes (managed application services)</t>
  </si>
  <si>
    <t>C8.7</t>
  </si>
  <si>
    <t>Provide digital / cyber security services</t>
  </si>
  <si>
    <t>C8.8</t>
  </si>
  <si>
    <t>Manage supplier performance and SLA compliance (Commercial suppliers)</t>
  </si>
  <si>
    <t>C8.9.1</t>
  </si>
  <si>
    <r>
      <t>Manage field support</t>
    </r>
    <r>
      <rPr>
        <strike/>
        <sz val="11"/>
        <color rgb="FFFF0000"/>
        <rFont val="Calibri"/>
        <family val="2"/>
      </rPr>
      <t xml:space="preserve"> </t>
    </r>
    <r>
      <rPr>
        <sz val="11"/>
        <color rgb="FFFF0000"/>
        <rFont val="Calibri"/>
        <family val="2"/>
      </rPr>
      <t>(National)</t>
    </r>
  </si>
  <si>
    <r>
      <t>Manage field support</t>
    </r>
    <r>
      <rPr>
        <sz val="11"/>
        <color rgb="FFFF0000"/>
        <rFont val="Calibri"/>
        <family val="2"/>
      </rPr>
      <t>(Regional)</t>
    </r>
  </si>
  <si>
    <t>C8.9.2</t>
  </si>
  <si>
    <r>
      <t>Manage</t>
    </r>
    <r>
      <rPr>
        <strike/>
        <sz val="11"/>
        <color rgb="FFFF0000"/>
        <rFont val="Calibri"/>
        <family val="2"/>
      </rPr>
      <t xml:space="preserve"> </t>
    </r>
    <r>
      <rPr>
        <sz val="11"/>
        <color rgb="FF000000"/>
        <rFont val="Calibri"/>
        <family val="2"/>
      </rPr>
      <t>service desk</t>
    </r>
  </si>
  <si>
    <t>C8.10</t>
  </si>
  <si>
    <t>Manage regional delivery pods and integration</t>
  </si>
  <si>
    <t>C8.11</t>
  </si>
  <si>
    <t>Manage operational service reporting</t>
  </si>
  <si>
    <t>C8.12</t>
  </si>
  <si>
    <t>Manage and optimise service delivery channels (Efficacy and efficiency to ensure profitability and low cost of service)</t>
  </si>
  <si>
    <t>C8.13</t>
  </si>
  <si>
    <t>C9. Manage Commercial Transactions</t>
  </si>
  <si>
    <t>Manages billing, collections, revenue assurance and commercial performance (profitability of products, channels, clients and regions) to ensure SITA’s core processes operate as true profit centres.</t>
  </si>
  <si>
    <t>Manage and optimise revenue collection channels (Optimise impact and cost)</t>
  </si>
  <si>
    <t>Automation and outsourcing opportunity for C9.</t>
  </si>
  <si>
    <t>Bill digital services and platform subscriptions: Bill customers for platforms, DPI and productised services.</t>
  </si>
  <si>
    <t>Bill marketplace transactions</t>
  </si>
  <si>
    <t>Assure revenue integrity and collections</t>
  </si>
  <si>
    <t>Conduct customer billing engagements</t>
  </si>
  <si>
    <t>Monitor product and service profitability</t>
  </si>
  <si>
    <t>C9.7</t>
  </si>
  <si>
    <t>Monitor delivery channel cost efficiency</t>
  </si>
  <si>
    <t>C9.8</t>
  </si>
  <si>
    <t>Monitor client and regional profitability</t>
  </si>
  <si>
    <t>C9.9</t>
  </si>
  <si>
    <t>C10</t>
  </si>
  <si>
    <t>C10. Manage Client Relationships and Account Growth</t>
  </si>
  <si>
    <t>C10.1</t>
  </si>
  <si>
    <t>Automation to be investigate for C10.</t>
  </si>
  <si>
    <t>C10.2</t>
  </si>
  <si>
    <t>Manage and optimise CRM channels (optimise impact and cost)</t>
  </si>
  <si>
    <t>C10.3</t>
  </si>
  <si>
    <t>C10.4</t>
  </si>
  <si>
    <t>Monitor and improve client relationship satisfaction</t>
  </si>
  <si>
    <t>C10.5</t>
  </si>
  <si>
    <t>C10.6</t>
  </si>
  <si>
    <t>Manage ongoing customer support escalation and advocacy</t>
  </si>
  <si>
    <t>C10.7</t>
  </si>
  <si>
    <t>C10.8</t>
  </si>
  <si>
    <t>C10.9</t>
  </si>
  <si>
    <t>C10.10</t>
  </si>
  <si>
    <t>S1. Manage Finance</t>
  </si>
  <si>
    <t>Manage financial planning, platform profitability analysis, cost optimisation, revenue forecasting and capital allocation to sustain innovation investments and secure long-term financial resilience.</t>
  </si>
  <si>
    <t>S1.9</t>
  </si>
  <si>
    <t>S1.10</t>
  </si>
  <si>
    <t>S1.11</t>
  </si>
  <si>
    <t>S2. Manage Human Capital</t>
  </si>
  <si>
    <t>S2.4</t>
  </si>
  <si>
    <t>S2.5</t>
  </si>
  <si>
    <t>S2.6</t>
  </si>
  <si>
    <t>S2.7</t>
  </si>
  <si>
    <t>S2.8</t>
  </si>
  <si>
    <t>S2.9</t>
  </si>
  <si>
    <t>S2.10</t>
  </si>
  <si>
    <t>S2.11</t>
  </si>
  <si>
    <t>S2.12</t>
  </si>
  <si>
    <t>S2.13</t>
  </si>
  <si>
    <t>S3. Manage Internal Procurement and Contracting</t>
  </si>
  <si>
    <t>Procures internal goods and services, manages internal contracts, ensures internal supplier compliance and supports internal procurement governance.</t>
  </si>
  <si>
    <t>S4. Manage Internal ICT and BI Services</t>
  </si>
  <si>
    <t>Provide secure, automated and data-enabled internal digital capabilities, business intelligence platforms and cybersecurity controls that support agile decision-making and operational excellence.</t>
  </si>
  <si>
    <t>S5.2 Manage facilities, construction / modifications</t>
  </si>
  <si>
    <t>S5.5 Manage hospitality</t>
  </si>
  <si>
    <t>S5.6 Manage facilities disposal</t>
  </si>
  <si>
    <t>S5.8</t>
  </si>
  <si>
    <t>S6. Manage Physical Security (Internal)</t>
  </si>
  <si>
    <t>Provides internal physical security services, access control, surveillance, security incident response and security compliance.</t>
  </si>
  <si>
    <t>S6.1 Develop security strategy</t>
  </si>
  <si>
    <t>S6.2 Protect enterprise assets</t>
  </si>
  <si>
    <t>S6.3 Manage access control</t>
  </si>
  <si>
    <t>S6.4</t>
  </si>
  <si>
    <t>S6.4 Manage security operations</t>
  </si>
  <si>
    <t>S6.5</t>
  </si>
  <si>
    <t>S6.5 Manage employee protection &amp; safety</t>
  </si>
  <si>
    <t>S6.6</t>
  </si>
  <si>
    <t>S6.6 Manage hospitality and event security</t>
  </si>
  <si>
    <t>S6.7</t>
  </si>
  <si>
    <t>S6.8</t>
  </si>
  <si>
    <t>S7. Manage Knowledge, Records and Information Governance</t>
  </si>
  <si>
    <t>S7.5</t>
  </si>
  <si>
    <t>S7.6</t>
  </si>
  <si>
    <t>S8. Manage Administration and Support Services</t>
  </si>
  <si>
    <t>Provide efficient, automated administrative services that reduce operational friction, support executive governance processes and enhance internal service delivery efficiency.</t>
  </si>
  <si>
    <t>S8.4</t>
  </si>
  <si>
    <t>S8.5</t>
  </si>
  <si>
    <t>S9</t>
  </si>
  <si>
    <t>S9 Manage Corporate Legal Support</t>
  </si>
  <si>
    <t>Provide legal governance, digital contract structuring, AI policy advisory, data protection compliance and regulatory oversight to safeguard platform expansion and sovereign digital transformation.</t>
  </si>
  <si>
    <t>S9.1</t>
  </si>
  <si>
    <t>S9.2</t>
  </si>
  <si>
    <t>S9.3</t>
  </si>
  <si>
    <t>S9.4</t>
  </si>
  <si>
    <t>S9.5</t>
  </si>
  <si>
    <t>S9.6</t>
  </si>
  <si>
    <t>Govern SITA’s internal and external corporate communication, institutional stakeholder engagement, shareholder communication, brand and reputation management to ensure coherent organisational messaging, credibility and alignment with national digital governance priorities.</t>
  </si>
  <si>
    <t>Manage client relationship governance forums:</t>
  </si>
  <si>
    <t>Manage structured client relationships across their lifecycle including governing client engagement forums, maintaining relationship communication channels, monitoring client satisfaction, consolidating Voice of the Customer insights across client segments, coordinating escalation resolution and advocating for client interests to ensure sustainable and trusted government client partnerships.</t>
  </si>
  <si>
    <t>Collect and interpret "Voice of the Customer" insights</t>
  </si>
  <si>
    <t xml:space="preserve">Identify cross-sell and up-sell opportunities </t>
  </si>
  <si>
    <t>M6.7</t>
  </si>
  <si>
    <t>M1.3.1 Conduct regular value proposition audits</t>
  </si>
  <si>
    <t>M1.3.2 Benchmark business model components with competitors</t>
  </si>
  <si>
    <t>M1.3.3 Update business model canvas annually</t>
  </si>
  <si>
    <t>M1.3.4 Integrate business model with performance KPIs</t>
  </si>
  <si>
    <t>M1.3.5 Assess partner ecosystem impact on model</t>
  </si>
  <si>
    <t>M1.3.6 Conduct scenario planning for business continuity</t>
  </si>
  <si>
    <t>M1.3.7 Align financial model with service offerings</t>
  </si>
  <si>
    <t>Procedure Comments</t>
  </si>
  <si>
    <t>M1 Manage Strategy</t>
  </si>
  <si>
    <t>M1.1.3 Benchmark strategic capabilities against key competitors.</t>
  </si>
  <si>
    <t>M1.1.4 Facilitate external stakeholder workshops to identify emerging trends.</t>
  </si>
  <si>
    <t>M1.1.5 Update environmental scanning data repositories quarterly.</t>
  </si>
  <si>
    <t>M1.2.4 Prepare strategic execution roadmap (annual &amp; quarterly milestones).</t>
  </si>
  <si>
    <t>M1.2.5 Track initiative progress through quarterly Exco reviews.</t>
  </si>
  <si>
    <t>Facilitate regular values alignment workshops. Embed cultural values into onboarding programs</t>
  </si>
  <si>
    <t>Integrate cultural alignment metrics into performance reviews. Maintain a cultural ambassador network across departments</t>
  </si>
  <si>
    <t>Strategy deployment methodology aligns goals top-down</t>
  </si>
  <si>
    <t>Deploy digital dashboards for strategy performance</t>
  </si>
  <si>
    <t>M1.1.1</t>
  </si>
  <si>
    <t>M1.1.2</t>
  </si>
  <si>
    <t>M1.1.3</t>
  </si>
  <si>
    <t>M1.1.4</t>
  </si>
  <si>
    <t>M1.1.5</t>
  </si>
  <si>
    <t>M1.1.6</t>
  </si>
  <si>
    <t>M1.2.1</t>
  </si>
  <si>
    <t>M1.2.2</t>
  </si>
  <si>
    <t>M1.2.3</t>
  </si>
  <si>
    <t>M1.2.4</t>
  </si>
  <si>
    <t>M1.2.5</t>
  </si>
  <si>
    <t>M1.3.1</t>
  </si>
  <si>
    <t>M1.3.2</t>
  </si>
  <si>
    <t>M1.3.3</t>
  </si>
  <si>
    <t>M1.3.4</t>
  </si>
  <si>
    <t>M1.3.5</t>
  </si>
  <si>
    <t>M1.3.6</t>
  </si>
  <si>
    <t>M1.3.7</t>
  </si>
  <si>
    <t>M1.4.1.4</t>
  </si>
  <si>
    <t>M1.4.1.5</t>
  </si>
  <si>
    <t>M1.6.1</t>
  </si>
  <si>
    <t>M1.6.2</t>
  </si>
  <si>
    <t>M1.6.3</t>
  </si>
  <si>
    <t>M1.6.4</t>
  </si>
  <si>
    <t>M1.6.5</t>
  </si>
  <si>
    <t>M1.6.6</t>
  </si>
  <si>
    <t>M1.6.7</t>
  </si>
  <si>
    <t>M1.1 Manage Organisational Culture Health</t>
  </si>
  <si>
    <t>M1.2 Monitor / Analyse Business Environment (Internal &amp; External)</t>
  </si>
  <si>
    <t xml:space="preserve">Manage Corporate Strategy </t>
  </si>
  <si>
    <t>Manage Business Model Health</t>
  </si>
  <si>
    <t>Manage Strategy Implementation</t>
  </si>
  <si>
    <t>M1.5.1.1</t>
  </si>
  <si>
    <t>M1.5.1.2</t>
  </si>
  <si>
    <t>M1.5.1.3</t>
  </si>
  <si>
    <t>M1.5.1.4</t>
  </si>
  <si>
    <t>M1.5.1.5</t>
  </si>
  <si>
    <t>M1.6.8</t>
  </si>
  <si>
    <t>M1.6.9</t>
  </si>
  <si>
    <t>M1.7.1</t>
  </si>
  <si>
    <t>M1.7.2</t>
  </si>
  <si>
    <t>M1.7.3</t>
  </si>
  <si>
    <t>M1.7.4</t>
  </si>
  <si>
    <t>M1.7.5</t>
  </si>
  <si>
    <t>M1.7.6</t>
  </si>
  <si>
    <t>M1.7.7</t>
  </si>
  <si>
    <t xml:space="preserve">Manage strategy implementation, </t>
  </si>
  <si>
    <t>Manage strategy monitoring, review &amp; adjustment</t>
  </si>
  <si>
    <t>Translate corporate scorecard into functional-level objectives.</t>
  </si>
  <si>
    <t>Align departmental KPIs &amp; targets to strategic objectives</t>
  </si>
  <si>
    <t>Allocate strategic imitatiatives</t>
  </si>
  <si>
    <t>Cascade targets and initiatives to lowest level teams.</t>
  </si>
  <si>
    <t>Facilitate strategy alignment workshops</t>
  </si>
  <si>
    <t>Collect and consolidate (bottom-up) monthloy strategic performance data</t>
  </si>
  <si>
    <t>Reviews of strategic performance. (Executive team against dashboard)</t>
  </si>
  <si>
    <t>Review strategic initiative reviews (Executive team against initiative targets)</t>
  </si>
  <si>
    <t xml:space="preserve">Manage strategic issue resolution </t>
  </si>
  <si>
    <t>Manage strategic adjustments</t>
  </si>
  <si>
    <t>Verify &amp; contract functional strategic alignment. (each line manager ensures next level alignment)</t>
  </si>
  <si>
    <t xml:space="preserve">Manage Strategy Monitoring &amp; Review &amp; adjstments </t>
  </si>
  <si>
    <t xml:space="preserve">M2.1 </t>
  </si>
  <si>
    <t xml:space="preserve">M2.2 </t>
  </si>
  <si>
    <t xml:space="preserve">M2.3 </t>
  </si>
  <si>
    <t xml:space="preserve">M2.4 </t>
  </si>
  <si>
    <t xml:space="preserve">M2.5 </t>
  </si>
  <si>
    <t>M2.1.1</t>
  </si>
  <si>
    <t>M2.1.2</t>
  </si>
  <si>
    <t>M2.1.3</t>
  </si>
  <si>
    <t>M2.1.4</t>
  </si>
  <si>
    <t>M2.1.5</t>
  </si>
  <si>
    <t>M2.1.6</t>
  </si>
  <si>
    <t>M2.2.1</t>
  </si>
  <si>
    <t>M2.2.2</t>
  </si>
  <si>
    <t>M2.2.3</t>
  </si>
  <si>
    <t>M2.2.4</t>
  </si>
  <si>
    <t>M2.2.5</t>
  </si>
  <si>
    <t>M2.2.6</t>
  </si>
  <si>
    <t>M2.3.1</t>
  </si>
  <si>
    <t>M2.3.2</t>
  </si>
  <si>
    <t>M2.3.3</t>
  </si>
  <si>
    <t>M2.3.4</t>
  </si>
  <si>
    <t>M2.3.5</t>
  </si>
  <si>
    <t>M2.3.6</t>
  </si>
  <si>
    <t>M2.4.1</t>
  </si>
  <si>
    <t>M2.4.2</t>
  </si>
  <si>
    <t>M2.4.3</t>
  </si>
  <si>
    <t>M2.4.4</t>
  </si>
  <si>
    <t>M2.4.5</t>
  </si>
  <si>
    <t>M2.5.1</t>
  </si>
  <si>
    <t>M2.5.2</t>
  </si>
  <si>
    <t>M2.5.3</t>
  </si>
  <si>
    <t>M2.5.4</t>
  </si>
  <si>
    <t>M2.4.6</t>
  </si>
  <si>
    <t xml:space="preserve">M3.1 </t>
  </si>
  <si>
    <t>M3.1.1</t>
  </si>
  <si>
    <t>M3.1.2</t>
  </si>
  <si>
    <t>M3.1.3</t>
  </si>
  <si>
    <t>M3.1.4</t>
  </si>
  <si>
    <t>M3.1.5</t>
  </si>
  <si>
    <t>M3.1.6</t>
  </si>
  <si>
    <t xml:space="preserve">M3.2 </t>
  </si>
  <si>
    <t>M3.2.1</t>
  </si>
  <si>
    <t>M3.2.2</t>
  </si>
  <si>
    <t>M3.2.3</t>
  </si>
  <si>
    <t>M3.2.4</t>
  </si>
  <si>
    <t>M3.2.5</t>
  </si>
  <si>
    <t>M3.2.6</t>
  </si>
  <si>
    <t xml:space="preserve">M3.3 </t>
  </si>
  <si>
    <t>M3.3.1</t>
  </si>
  <si>
    <t>M3.3.2</t>
  </si>
  <si>
    <t>M3.3.3</t>
  </si>
  <si>
    <t>M3.3.4</t>
  </si>
  <si>
    <t>M3.3.5</t>
  </si>
  <si>
    <t>M3.3.6</t>
  </si>
  <si>
    <t xml:space="preserve">M3.4 </t>
  </si>
  <si>
    <t>M3.4.1</t>
  </si>
  <si>
    <t>M3.4.2</t>
  </si>
  <si>
    <t>M3.4.3</t>
  </si>
  <si>
    <t>M3.4.4</t>
  </si>
  <si>
    <t>M3.4.5</t>
  </si>
  <si>
    <t>M3.4.6</t>
  </si>
  <si>
    <t xml:space="preserve">M3.5 </t>
  </si>
  <si>
    <t>M3.5.1</t>
  </si>
  <si>
    <t>M3.5.2</t>
  </si>
  <si>
    <t>M3.5.3</t>
  </si>
  <si>
    <t>M3.5.4</t>
  </si>
  <si>
    <t>M4.1.1</t>
  </si>
  <si>
    <t>M4.1.2</t>
  </si>
  <si>
    <t>M4.1.3</t>
  </si>
  <si>
    <t>M4.1.4</t>
  </si>
  <si>
    <t>M4.1.5</t>
  </si>
  <si>
    <t>M4.1.6</t>
  </si>
  <si>
    <t>M4.2.1</t>
  </si>
  <si>
    <t>M4.2.2</t>
  </si>
  <si>
    <t>M4.2.3</t>
  </si>
  <si>
    <t>M4.2.4</t>
  </si>
  <si>
    <t>M4.2.5</t>
  </si>
  <si>
    <t>M4.2.6</t>
  </si>
  <si>
    <t>M4.2.7</t>
  </si>
  <si>
    <t>Execution Status</t>
  </si>
  <si>
    <t>Comments</t>
  </si>
  <si>
    <t>Level 3 Procedure</t>
  </si>
  <si>
    <t>Level 2 Sub-Process</t>
  </si>
  <si>
    <t>Level 1 Business Process</t>
  </si>
  <si>
    <t>M3.1.1.1</t>
  </si>
  <si>
    <t>M3.1.1.2</t>
  </si>
  <si>
    <t>M3.1.1.3</t>
  </si>
  <si>
    <t>M3.2.1.1</t>
  </si>
  <si>
    <t>M3.2.1.2</t>
  </si>
  <si>
    <t>M3.2.1.3</t>
  </si>
  <si>
    <t>L3#</t>
  </si>
  <si>
    <t>L2#</t>
  </si>
  <si>
    <t>L4#</t>
  </si>
  <si>
    <t xml:space="preserve">Mx. 
</t>
  </si>
  <si>
    <t xml:space="preserve">Mx.1 </t>
  </si>
  <si>
    <t>Mx.1.1</t>
  </si>
  <si>
    <t>Mx.1.1.1</t>
  </si>
  <si>
    <t>Mx.1.1.2</t>
  </si>
  <si>
    <t>Mx.1.1.3</t>
  </si>
  <si>
    <t>Mx.1.2</t>
  </si>
  <si>
    <t>Mx.2.1.1</t>
  </si>
  <si>
    <t>Mx.2.1.2</t>
  </si>
  <si>
    <t>Mx.2.1.3</t>
  </si>
  <si>
    <t>Mx.1.3</t>
  </si>
  <si>
    <t>Mx.1.4</t>
  </si>
  <si>
    <t>Mx.1.5</t>
  </si>
  <si>
    <t>Mx.1.6</t>
  </si>
  <si>
    <t xml:space="preserve">Mx.2 </t>
  </si>
  <si>
    <t>Mx.2.1</t>
  </si>
  <si>
    <t>Mx.2.2</t>
  </si>
  <si>
    <t>Mx.2.3</t>
  </si>
  <si>
    <t>Mx.2.4</t>
  </si>
  <si>
    <t>Mx.2.5</t>
  </si>
  <si>
    <t>Mx.2.6</t>
  </si>
  <si>
    <t xml:space="preserve">Mx.3 </t>
  </si>
  <si>
    <t>Mx.3.1</t>
  </si>
  <si>
    <t>Mx.3.2</t>
  </si>
  <si>
    <t>Mx.3.3</t>
  </si>
  <si>
    <t>Mx.3.4</t>
  </si>
  <si>
    <t>Mx.3.5</t>
  </si>
  <si>
    <t>Mx.3.6</t>
  </si>
  <si>
    <t xml:space="preserve">Mx.4 </t>
  </si>
  <si>
    <t>Mx.4.1</t>
  </si>
  <si>
    <t>Mx.4.2</t>
  </si>
  <si>
    <t>Mx.4.3</t>
  </si>
  <si>
    <t>Mx.4.4</t>
  </si>
  <si>
    <t>Mx.4.5</t>
  </si>
  <si>
    <t>Mx.4.6</t>
  </si>
  <si>
    <t xml:space="preserve">Mx.5 </t>
  </si>
  <si>
    <t>Mx.5.1</t>
  </si>
  <si>
    <t>Mx.5.2</t>
  </si>
  <si>
    <t>Mx.5.3</t>
  </si>
  <si>
    <t>Mx.5.4</t>
  </si>
  <si>
    <t>Mx.6</t>
  </si>
  <si>
    <t>Mx.7</t>
  </si>
  <si>
    <t>Mx.5.5</t>
  </si>
  <si>
    <t>Mx.5.6</t>
  </si>
  <si>
    <t>Mx.6.1</t>
  </si>
  <si>
    <t>Mx.6.2</t>
  </si>
  <si>
    <t>Mx.6.3</t>
  </si>
  <si>
    <t>Mx.6.4</t>
  </si>
  <si>
    <t>Mx.6.5</t>
  </si>
  <si>
    <t>Mx.6.6</t>
  </si>
  <si>
    <t>Mx.7.1</t>
  </si>
  <si>
    <t>Mx.7.2</t>
  </si>
  <si>
    <t>Mx.7.3</t>
  </si>
  <si>
    <t>Mx.7.4</t>
  </si>
  <si>
    <t>Mx.7.5</t>
  </si>
  <si>
    <t>Mx.7.6</t>
  </si>
  <si>
    <t>Mx.8.1</t>
  </si>
  <si>
    <t>Mx.8.2</t>
  </si>
  <si>
    <t>Mx.8.3</t>
  </si>
  <si>
    <t>Mx.8.4</t>
  </si>
  <si>
    <t>Mx.8.5</t>
  </si>
  <si>
    <t>Mx.8.6</t>
  </si>
  <si>
    <t>Mx.8</t>
  </si>
  <si>
    <t>M3.5.5</t>
  </si>
  <si>
    <t>M3.5.6</t>
  </si>
  <si>
    <t>M3.6.1</t>
  </si>
  <si>
    <t>M3.6.2</t>
  </si>
  <si>
    <t>M3.6.3</t>
  </si>
  <si>
    <t>M3.6.4</t>
  </si>
  <si>
    <t>M3.6.5</t>
  </si>
  <si>
    <t>M3.6.6</t>
  </si>
  <si>
    <t>M3.7</t>
  </si>
  <si>
    <t>M3.7.1</t>
  </si>
  <si>
    <t>M3.7.2</t>
  </si>
  <si>
    <t>M3.7.3</t>
  </si>
  <si>
    <t>M3.7.4</t>
  </si>
  <si>
    <t>M3.7.5</t>
  </si>
  <si>
    <t>M3.7.6</t>
  </si>
  <si>
    <t>M3.8</t>
  </si>
  <si>
    <t>M3.8.1</t>
  </si>
  <si>
    <t>M3.8.2</t>
  </si>
  <si>
    <t>M3.8.3</t>
  </si>
  <si>
    <t>M3.8.4</t>
  </si>
  <si>
    <t>M3.8.5</t>
  </si>
  <si>
    <t>M3.8.6</t>
  </si>
  <si>
    <t>Manage government alignment and stakeholder relations</t>
  </si>
  <si>
    <t>Manage strategic communications</t>
  </si>
  <si>
    <t>Manage brand (positioning, governance, compliace, consistecy)</t>
  </si>
  <si>
    <t>Manage strategic communications (Public awareness, PR)</t>
  </si>
  <si>
    <t xml:space="preserve">S2. 
</t>
  </si>
  <si>
    <t xml:space="preserve">S2.1 </t>
  </si>
  <si>
    <t>S2.1.1</t>
  </si>
  <si>
    <t>S2.1.1.1</t>
  </si>
  <si>
    <t>S2.1.1.2</t>
  </si>
  <si>
    <t>S2.1.1.3</t>
  </si>
  <si>
    <t>S2.1.2</t>
  </si>
  <si>
    <t>S2.2.1.1</t>
  </si>
  <si>
    <t>S2.2.1.2</t>
  </si>
  <si>
    <t>S2.2.1.3</t>
  </si>
  <si>
    <t>S2.1.3</t>
  </si>
  <si>
    <t>S2.1.4</t>
  </si>
  <si>
    <t>S2.1.5</t>
  </si>
  <si>
    <t>S2.1.6</t>
  </si>
  <si>
    <t xml:space="preserve">S2.2 </t>
  </si>
  <si>
    <t>S2.2.1</t>
  </si>
  <si>
    <t>S2.2.2</t>
  </si>
  <si>
    <t>S2.2.3</t>
  </si>
  <si>
    <t>S2.2.4</t>
  </si>
  <si>
    <t>S2.2.5</t>
  </si>
  <si>
    <t>S2.2.6</t>
  </si>
  <si>
    <t xml:space="preserve">S2.3 </t>
  </si>
  <si>
    <t>S2.3.1</t>
  </si>
  <si>
    <t>S2.3.2</t>
  </si>
  <si>
    <t>S2.3.3</t>
  </si>
  <si>
    <t>S2.3.4</t>
  </si>
  <si>
    <t>S2.3.5</t>
  </si>
  <si>
    <t>S2.3.6</t>
  </si>
  <si>
    <t xml:space="preserve">S2.4 </t>
  </si>
  <si>
    <t>S2.4.1</t>
  </si>
  <si>
    <t>S2.4.2</t>
  </si>
  <si>
    <t>S2.4.3</t>
  </si>
  <si>
    <t>S2.4.4</t>
  </si>
  <si>
    <t>S2.4.5</t>
  </si>
  <si>
    <t>S2.4.6</t>
  </si>
  <si>
    <t xml:space="preserve">S2.5 </t>
  </si>
  <si>
    <t>S2.5.1</t>
  </si>
  <si>
    <t>S2.5.2</t>
  </si>
  <si>
    <t>S2.5.3</t>
  </si>
  <si>
    <t>S2.5.4</t>
  </si>
  <si>
    <t>S2.5.5</t>
  </si>
  <si>
    <t>S2.5.6</t>
  </si>
  <si>
    <t>S2.6.1</t>
  </si>
  <si>
    <t>S2.6.2</t>
  </si>
  <si>
    <t>S2.6.3</t>
  </si>
  <si>
    <t>S2.6.4</t>
  </si>
  <si>
    <t>S2.6.5</t>
  </si>
  <si>
    <t>S2.6.6</t>
  </si>
  <si>
    <t>S2.7.1</t>
  </si>
  <si>
    <t>S2.7.2</t>
  </si>
  <si>
    <t>S2.7.3</t>
  </si>
  <si>
    <t>S2.7.4</t>
  </si>
  <si>
    <t>S2.7.5</t>
  </si>
  <si>
    <t>S2.7.6</t>
  </si>
  <si>
    <t>S2.8.1</t>
  </si>
  <si>
    <t>S2.8.2</t>
  </si>
  <si>
    <t>S2.8.3</t>
  </si>
  <si>
    <t>S2.8.4</t>
  </si>
  <si>
    <t>S2.8.5</t>
  </si>
  <si>
    <t>S2.8.6</t>
  </si>
  <si>
    <t>Manage HCM planning &amp; strategy</t>
  </si>
  <si>
    <t>Manage employee wellness</t>
  </si>
  <si>
    <t>Understanding the business strategy</t>
  </si>
  <si>
    <t>Understand external environment</t>
  </si>
  <si>
    <t>Understand internal business environment</t>
  </si>
  <si>
    <t>Develop HR Strategy</t>
  </si>
  <si>
    <t>S2.3.7</t>
  </si>
  <si>
    <t>S2.3.8</t>
  </si>
  <si>
    <t>S1.3.1 Conduct current state workforce analysis (headcount  age  skills  roles)</t>
  </si>
  <si>
    <t>S1.3.2 Forecast future workforce demand (digital  AI/automation  hybrid roles)</t>
  </si>
  <si>
    <t>S1.3.3 Identify gaps in capacity  capability  diversity  and costs</t>
  </si>
  <si>
    <t>S1.3.4 Develop workforce strategy (build-buy-borrow-automate)</t>
  </si>
  <si>
    <t>S1.3.5 Implement talent sourcing  L&amp;D  and mobility solutions</t>
  </si>
  <si>
    <t>S1.3.6 Monitor (Operational  Tactical and Strategic)</t>
  </si>
  <si>
    <t>S1.3.7 Evaluate workforce plan  and adjust (to reflect market/strategy shifts)</t>
  </si>
  <si>
    <t>S1.4.3 Maintain agency network</t>
  </si>
  <si>
    <t>S1.4.4 Maintain assessment battery (per job type)</t>
  </si>
  <si>
    <t>S1.4.5 Maintain interview and selection tools and templates</t>
  </si>
  <si>
    <t xml:space="preserve">S1.4.6 Identify and define vacancies </t>
  </si>
  <si>
    <t>S1.4.7 Advertise job opportunity</t>
  </si>
  <si>
    <t>S1.4.8 Screen (Conduct reference and background checks) and shortlist</t>
  </si>
  <si>
    <t>S1.4.9 Conduct individual assessments</t>
  </si>
  <si>
    <t>S1.4.10 Plan and prepare for interviews (job specific interview guides)</t>
  </si>
  <si>
    <t>S1.4.11 Select and approve candidate</t>
  </si>
  <si>
    <t>S1.4.12 Submit offer of employment</t>
  </si>
  <si>
    <t>S1.4.13 Contract new employee</t>
  </si>
  <si>
    <t>S1.5.1 Review / update Performance Management philosophy &amp; policy</t>
  </si>
  <si>
    <t xml:space="preserve">S1.5.2 Review / update Performance Management framework </t>
  </si>
  <si>
    <t>S1.5.3 Cascade goals from strategy to team and individual level</t>
  </si>
  <si>
    <t>S1.5.4 Conduct quarterly check-ins and coaching conversations</t>
  </si>
  <si>
    <t>S1.5.5 Train managers on giving and receiving feedback effectively</t>
  </si>
  <si>
    <t>S1.5.6 Manage year-end performance evaluations and rating calibration</t>
  </si>
  <si>
    <t>S1.5.7 Integrate performance ratings (reward  development  sucession decisions)</t>
  </si>
  <si>
    <t>S1.5.8 Manage under-performance (Performance Improvement Plan)</t>
  </si>
  <si>
    <t>S1.5.9 Monitor PIP progress and conclude outcomes</t>
  </si>
  <si>
    <t>S1.5.10 Analyze performance data ( trends  bias  and improvement opportunities)</t>
  </si>
  <si>
    <t xml:space="preserve">S1.5.11 Report performance insights </t>
  </si>
  <si>
    <t>S1.6.1 Review / update Learning and Devleopment philosphy  policy and procedure</t>
  </si>
  <si>
    <t>S1.6.2 Maintain company competency framework (skills  competencies  knowledge  attributes) aligned to company strategy</t>
  </si>
  <si>
    <t>S1.6.3 Maintain competency descriptors and levels</t>
  </si>
  <si>
    <t>S1.6.4 Maintain training and development catalogue (outcomes based)</t>
  </si>
  <si>
    <t>S1.6.5 Maintain internal training and development material</t>
  </si>
  <si>
    <t>S1.6.6 Identify  source and contract external training suppliers</t>
  </si>
  <si>
    <t>S1.6.7 Plan annual company (cross functional) training and orientation</t>
  </si>
  <si>
    <t>S1.6.8 Coordinate and monitor PDP preparation execution</t>
  </si>
  <si>
    <t>S1.6.9 Manage training administration (receive  approve  arrange  pay)</t>
  </si>
  <si>
    <t>S1.6.10 Analyse and report training results</t>
  </si>
  <si>
    <t>S1.6.11 Maintain and enforce learning and devleopment ROI monitoring</t>
  </si>
  <si>
    <t xml:space="preserve">S1.6.12 Monitor PDP completion </t>
  </si>
  <si>
    <t>S1.6.13 Maintain and enforce learning and devleopment ROI monitoring</t>
  </si>
  <si>
    <t>S1.7.1 Agree talent management philisophy  policy and procedure</t>
  </si>
  <si>
    <t>S1.7.2 Maintain integrated talent identification framework using potential/performance matrix</t>
  </si>
  <si>
    <t>S1.7.3 Conduct talent classification and readiness assessment annually</t>
  </si>
  <si>
    <t>S1.7.4 Maintain careers for different professions in the business</t>
  </si>
  <si>
    <t>S1.7.5 Develop career maps and progression requirements for each career</t>
  </si>
  <si>
    <t>S7.6 Communicate career opportunitiess &amp; prepare managers for discussions</t>
  </si>
  <si>
    <t>S1.7.7 Discuss and clarify individual career parth</t>
  </si>
  <si>
    <t>S1.7.8 Agree and implement talent enrichment activities (rotation   coaching  secondments   assignments)</t>
  </si>
  <si>
    <t>S1.7.10 Prepare succession plans per critical role and report readiness gaps</t>
  </si>
  <si>
    <t>S1.7.11 Develop and implement talent retention plan</t>
  </si>
  <si>
    <t>S1.7.12 Implement talent retention strategy</t>
  </si>
  <si>
    <t xml:space="preserve">S1.7.13 Monitor (Operational  Tactical and Strategic)
</t>
  </si>
  <si>
    <t>S1.8.1 Maintain Employee Value Propositin framework</t>
  </si>
  <si>
    <t>S1.8.2 Integrate EVP into T&amp;D process</t>
  </si>
  <si>
    <t>S1.8.3 Integrate EVP into Incentives and Remuneration process</t>
  </si>
  <si>
    <t>S1.8.4 Integrate EVP into Talent management process</t>
  </si>
  <si>
    <t>S1.8.5 Integrate EVP into job design and employee engagement commitment</t>
  </si>
  <si>
    <t xml:space="preserve">S1.8.6 Plan employee engagement </t>
  </si>
  <si>
    <t>S1.8.7 Monitor and measure employee engagement</t>
  </si>
  <si>
    <t>S1.8.8 Monitor and measure employee satisfaction</t>
  </si>
  <si>
    <t>S1.8.9 Identify potential relations and engagement gaps</t>
  </si>
  <si>
    <t>S1.8.10 Reporting (Operational  Tactical  Strategy)</t>
  </si>
  <si>
    <t>S1.9.1 Maintain total reward philosophy  policy and procedure in line with Business Strategy</t>
  </si>
  <si>
    <t>S1.9.2 Maintain total reward framework</t>
  </si>
  <si>
    <t>S1.9.3 Maintain jog grades</t>
  </si>
  <si>
    <t>S1.9.4 Benchmark total reward trends</t>
  </si>
  <si>
    <t>S1.9.5 Adjust compensation quantum per job (in line with benchmarks and framework)</t>
  </si>
  <si>
    <t>S1.9.6 Adjust benefit quantum per job (in line with benchmarks and framework)</t>
  </si>
  <si>
    <t>S1.9.7 Plan incentive / bonus scheme (for specific period)</t>
  </si>
  <si>
    <t>S1.9.8 Confirm affordability and communicate incentive scheme</t>
  </si>
  <si>
    <t>S1.9.9  Calculate individual incentive (based on business and individual performance data)</t>
  </si>
  <si>
    <t>S1.9.10  Approve and confirm incentives per employee</t>
  </si>
  <si>
    <t>S1.9.11  Administer employment benefits (Leave  sick leave)</t>
  </si>
  <si>
    <t>S1.9.12  Administer pension fund contributions</t>
  </si>
  <si>
    <t>Manage organisational design</t>
  </si>
  <si>
    <t>Communicate changes and update HRIS and organograms</t>
  </si>
  <si>
    <t>Conduct job evaluation and grading based on job value and future fit</t>
  </si>
  <si>
    <t>Design job profiles including competencies and digital literacy needs</t>
  </si>
  <si>
    <t>Define and document roles  accountabilities  and reporting lines</t>
  </si>
  <si>
    <t>Develop functional structure aligned to agile  digital  and customer-centric delivery</t>
  </si>
  <si>
    <t>Review strategic priorities and digital service model structure requirements</t>
  </si>
  <si>
    <t>Manage Workforce Plan</t>
  </si>
  <si>
    <t>Manage Employee Acquisition and Onboarding</t>
  </si>
  <si>
    <t>S2.5.7</t>
  </si>
  <si>
    <t>S2.5.8</t>
  </si>
  <si>
    <t>S2.5.9</t>
  </si>
  <si>
    <t>S2.5.10</t>
  </si>
  <si>
    <t>S2.5.11</t>
  </si>
  <si>
    <t>S2.5.12</t>
  </si>
  <si>
    <t>S2.5.13</t>
  </si>
  <si>
    <t>S2.4.7</t>
  </si>
  <si>
    <t>S2.4.8</t>
  </si>
  <si>
    <t>S2.4.9</t>
  </si>
  <si>
    <t>S2.4.10</t>
  </si>
  <si>
    <t>S2.4.11</t>
  </si>
  <si>
    <t>S2.4.12</t>
  </si>
  <si>
    <t>S2.4.13</t>
  </si>
  <si>
    <t>S2.4.14</t>
  </si>
  <si>
    <t>S2.4.15</t>
  </si>
  <si>
    <t>S1.4.1 Maintain Acquisition philosophy &amp; policy</t>
  </si>
  <si>
    <t>S1.4.2 Maintain talent acquisition strategy based on business requirements</t>
  </si>
  <si>
    <t>Monitor probation outcomes and escalate early warning signs</t>
  </si>
  <si>
    <t>Conduct on-boarding and probation contracting</t>
  </si>
  <si>
    <t>Plan on-boarding</t>
  </si>
  <si>
    <t>Manage &amp; Facilitate Employee Performance management</t>
  </si>
  <si>
    <t>Manage Talent and Development</t>
  </si>
  <si>
    <t>S2.6.7</t>
  </si>
  <si>
    <t>S2.6.8</t>
  </si>
  <si>
    <t>S2.6.9</t>
  </si>
  <si>
    <t>S2.6.10</t>
  </si>
  <si>
    <t>S2.6.11</t>
  </si>
  <si>
    <t>S2.6.12</t>
  </si>
  <si>
    <t>S2.6.13</t>
  </si>
  <si>
    <t>S2.6.14</t>
  </si>
  <si>
    <t xml:space="preserve">Manage Talent and Career </t>
  </si>
  <si>
    <t>S2.7.7</t>
  </si>
  <si>
    <t>S2.7.8</t>
  </si>
  <si>
    <t>S2.7.9</t>
  </si>
  <si>
    <t>S2.7.10</t>
  </si>
  <si>
    <t>S2.7.11</t>
  </si>
  <si>
    <t>S2.7.12</t>
  </si>
  <si>
    <t>S2.7.13</t>
  </si>
  <si>
    <t xml:space="preserve">Monitor talent pool development and update records </t>
  </si>
  <si>
    <t>S2.8.7</t>
  </si>
  <si>
    <t>S2.8.8</t>
  </si>
  <si>
    <t>S2.8.9</t>
  </si>
  <si>
    <t>S2.8.10</t>
  </si>
  <si>
    <t>S2.8.11</t>
  </si>
  <si>
    <t>Manage employee engagement</t>
  </si>
  <si>
    <t>S2.9.1</t>
  </si>
  <si>
    <t>Manage employee Reward and compensation</t>
  </si>
  <si>
    <t>Administer payroll</t>
  </si>
  <si>
    <t>Administer benefits</t>
  </si>
  <si>
    <t>Administer employment</t>
  </si>
  <si>
    <t>Maintain staff records</t>
  </si>
  <si>
    <t>Administer leave</t>
  </si>
  <si>
    <t>S2.9.2</t>
  </si>
  <si>
    <t>S2.9.3</t>
  </si>
  <si>
    <t>S2.9.4</t>
  </si>
  <si>
    <t>S2.9.5</t>
  </si>
  <si>
    <t>S2.9.6</t>
  </si>
  <si>
    <t>S2.9.7</t>
  </si>
  <si>
    <t>S2.9.8</t>
  </si>
  <si>
    <t>S2.9.9</t>
  </si>
  <si>
    <t>S2.9.10</t>
  </si>
  <si>
    <t>S2.9.11</t>
  </si>
  <si>
    <t>S2.9.12</t>
  </si>
  <si>
    <t>S2.9.13</t>
  </si>
  <si>
    <t>S2.9.14</t>
  </si>
  <si>
    <t>S2.10.1</t>
  </si>
  <si>
    <t>S2.10.2</t>
  </si>
  <si>
    <t>S2.10.3</t>
  </si>
  <si>
    <t>S2.10.4</t>
  </si>
  <si>
    <t>S2.10.5</t>
  </si>
  <si>
    <t>S2.10.6</t>
  </si>
  <si>
    <t>S2.11.1</t>
  </si>
  <si>
    <t>S2.11.2</t>
  </si>
  <si>
    <t>S2.11.3</t>
  </si>
  <si>
    <t>S2.11.4</t>
  </si>
  <si>
    <t>S2.11.5</t>
  </si>
  <si>
    <t>S2.11.6</t>
  </si>
  <si>
    <t>Develop Integrated Wellness Strategy</t>
  </si>
  <si>
    <t>Implement Integrated Wellness Strategy</t>
  </si>
  <si>
    <t>Monitor (Operational  Tactical and Strategic)</t>
  </si>
  <si>
    <t>Report (Operational  Tactical  Strategy)</t>
  </si>
  <si>
    <t>Manage administration &amp; user support</t>
  </si>
  <si>
    <t>Provide user support and training</t>
  </si>
  <si>
    <t>Generate reports and dashboards for analytics and compliance</t>
  </si>
  <si>
    <t>Manage Industrial Relations (with HR or Legal?)</t>
  </si>
  <si>
    <t>Develop HR Strategy and Policies</t>
  </si>
  <si>
    <t>Manage Compensation and Benefits</t>
  </si>
  <si>
    <t>Manage HR Information Systems (HRIS)</t>
  </si>
  <si>
    <t>Manage Offboarding and Exit Management</t>
  </si>
  <si>
    <t>S2.14</t>
  </si>
  <si>
    <t>S2.15</t>
  </si>
  <si>
    <t>S1.12</t>
  </si>
  <si>
    <t>S1.13</t>
  </si>
  <si>
    <t>S1.14</t>
  </si>
  <si>
    <t>S1.15</t>
  </si>
  <si>
    <t>S1.16</t>
  </si>
  <si>
    <t>Manage Accounts Payable</t>
  </si>
  <si>
    <t>Source SITA services (Non-tender)</t>
  </si>
  <si>
    <t>Source SITA services (tender process)</t>
  </si>
  <si>
    <t>Monitor vendor / supplier performance (Non-commercial)</t>
  </si>
  <si>
    <t>Contract vendor (Non-commercial)</t>
  </si>
  <si>
    <t>S3.7</t>
  </si>
  <si>
    <t>S3.8</t>
  </si>
  <si>
    <t>S3.9</t>
  </si>
  <si>
    <t>Manage &amp; report procurement compliance &amp; performance against benchmarks</t>
  </si>
  <si>
    <t>Maintain procurement strategy and framework (including benchmarks)</t>
  </si>
  <si>
    <t>Draft and Review Contracts and Agreements</t>
  </si>
  <si>
    <t>Manage Litigation and Disputes</t>
  </si>
  <si>
    <t>Manage Intellectual Property Rights</t>
  </si>
  <si>
    <t>Manage External Legal Counsel Engagement</t>
  </si>
  <si>
    <t>Manage Legal Records and Documentation</t>
  </si>
  <si>
    <t>S9.7</t>
  </si>
  <si>
    <t>S9.8</t>
  </si>
  <si>
    <t>Monitor IT Service Delivery and Performance</t>
  </si>
  <si>
    <t>Manage IT Incident and Problem Management</t>
  </si>
  <si>
    <t>S4.10</t>
  </si>
  <si>
    <t>S4.11</t>
  </si>
  <si>
    <t>Maintain SITA business intelligence capability</t>
  </si>
  <si>
    <t>Manage internal IT security</t>
  </si>
  <si>
    <t>S4.12</t>
  </si>
  <si>
    <t>Manage SITA data and data analysis</t>
  </si>
  <si>
    <t>Channel</t>
  </si>
  <si>
    <t>A</t>
  </si>
  <si>
    <t>B</t>
  </si>
  <si>
    <t>C</t>
  </si>
  <si>
    <t>D</t>
  </si>
  <si>
    <t>E</t>
  </si>
  <si>
    <t>F</t>
  </si>
  <si>
    <t>G</t>
  </si>
  <si>
    <t>H</t>
  </si>
  <si>
    <t>I</t>
  </si>
  <si>
    <t>J</t>
  </si>
  <si>
    <t>K</t>
  </si>
  <si>
    <t>Manage GRC Framework</t>
  </si>
  <si>
    <t>Identify &amp; Review Corporate Governance Requirements</t>
  </si>
  <si>
    <t>Identify and Review Risk management requirements</t>
  </si>
  <si>
    <t>Identify and Review Legal Compliance and control requirements</t>
  </si>
  <si>
    <t>Review and maintain control management approach</t>
  </si>
  <si>
    <t>Review and maintain monitoring mechanisms</t>
  </si>
  <si>
    <t>Review and maintain awareness assurance mechanisms</t>
  </si>
  <si>
    <t>Manage business systems</t>
  </si>
  <si>
    <t>Manage EUC services (Internal support)</t>
  </si>
  <si>
    <t>Manage Dev Ops (Licensing, upgrades, connectivity)</t>
  </si>
  <si>
    <t>Manage IT Ops (Licensing, upgrades, connectivity)</t>
  </si>
  <si>
    <t>Manage business systems (maintain &amp; develop)</t>
  </si>
  <si>
    <t>Manage data centre (servers)</t>
  </si>
  <si>
    <t>Manage back-ups,  restorage &amp; recover</t>
  </si>
  <si>
    <t>Maintain governance policies and standards</t>
  </si>
  <si>
    <t xml:space="preserve"> Monitor data privacy compliance</t>
  </si>
  <si>
    <t>Monitor regulatory compliance</t>
  </si>
  <si>
    <t>Engage stakeholders on data governance</t>
  </si>
  <si>
    <t>Assess system requirements</t>
  </si>
  <si>
    <t>Evaluate options</t>
  </si>
  <si>
    <t>Prepare specifications</t>
  </si>
  <si>
    <t xml:space="preserve">Develop  functionality </t>
  </si>
  <si>
    <t xml:space="preserve">Configure integration </t>
  </si>
  <si>
    <t>Test functionality</t>
  </si>
  <si>
    <t>Train users</t>
  </si>
  <si>
    <t>Monitor system performance</t>
  </si>
  <si>
    <t>Optimise performance</t>
  </si>
  <si>
    <t>Customise system</t>
  </si>
  <si>
    <t>Manage business system change requests</t>
  </si>
  <si>
    <t>Conduct routine maintenance</t>
  </si>
  <si>
    <t>Manage SITA data and Security</t>
  </si>
  <si>
    <t xml:space="preserve">Monitor data quality, lineage and compliance </t>
  </si>
  <si>
    <t xml:space="preserve">Define security requirements, controls and assurance approach </t>
  </si>
  <si>
    <t xml:space="preserve">Conduct security monitoring, incident handling and escalation </t>
  </si>
  <si>
    <t xml:space="preserve">Perform security testing, reviews and continuous hardening </t>
  </si>
  <si>
    <t>Define data/interoperability requirements and standards Assess &amp; Monitor  data quality</t>
  </si>
  <si>
    <t xml:space="preserve">Control access &amp; conduct security monitoring, incident handling and escalation </t>
  </si>
  <si>
    <t>Manage Corporate Communications and Stakeholder Relations</t>
  </si>
  <si>
    <t>Manage strategy implementation</t>
  </si>
  <si>
    <t>Manage Business Performance, Monitoring and Evaluation</t>
  </si>
  <si>
    <t>Manage Partnership Ecosystem Development</t>
  </si>
  <si>
    <t>Manage Innovation and  Portfolio Execution (EPMO)</t>
  </si>
  <si>
    <t>M6.8</t>
  </si>
  <si>
    <t>M6.9</t>
  </si>
  <si>
    <t>M6.10</t>
  </si>
  <si>
    <t>M6.11</t>
  </si>
  <si>
    <t>M6.12</t>
  </si>
  <si>
    <t>Manage Business Process Optimisation and Quality Assurance (BPMS &amp; EQMS)</t>
  </si>
  <si>
    <r>
      <t xml:space="preserve">Execution Statusn </t>
    </r>
    <r>
      <rPr>
        <b/>
        <sz val="11"/>
        <color rgb="FFFF0000"/>
        <rFont val="Calibri"/>
        <family val="2"/>
      </rPr>
      <t>(Select dropdown)</t>
    </r>
  </si>
  <si>
    <r>
      <t xml:space="preserve">Execution Status </t>
    </r>
    <r>
      <rPr>
        <b/>
        <sz val="11"/>
        <color rgb="FFFF0000"/>
        <rFont val="Calibri"/>
        <family val="2"/>
      </rPr>
      <t>(Select dropdown)</t>
    </r>
  </si>
  <si>
    <r>
      <t>Level 3 Procedure</t>
    </r>
    <r>
      <rPr>
        <b/>
        <sz val="11"/>
        <color rgb="FFFF0000"/>
        <rFont val="Calibri"/>
        <family val="2"/>
      </rPr>
      <t xml:space="preserve"> (complete as well as possible)</t>
    </r>
  </si>
  <si>
    <t>Note: Hosting, End User + Infrastructure environments in SITA.  Service Management / Operations Management - we need to see whether this is covered.
Procurement, cyber security - missing?</t>
  </si>
  <si>
    <r>
      <t xml:space="preserve">Comments </t>
    </r>
    <r>
      <rPr>
        <b/>
        <sz val="11"/>
        <color rgb="FFFF0000"/>
        <rFont val="Calibri"/>
        <family val="2"/>
      </rPr>
      <t>(Clarrification of the status rating)</t>
    </r>
  </si>
  <si>
    <t>Manage Talent Sourcing and Acquisition</t>
  </si>
  <si>
    <t>S2.16</t>
  </si>
  <si>
    <t xml:space="preserve">Manage Performance Management </t>
  </si>
  <si>
    <t xml:space="preserve">Manage Career &amp; Succession </t>
  </si>
  <si>
    <t>Manage Staff Engagement and Satisfaction</t>
  </si>
  <si>
    <t>Provides Planning, Inflow management: (workforce planning, talent acquisition, onboarding), Throughflow management: (OD, Talent management, performance management, compensation and benefits, wellness, employee relations engagement and satisfaction), Optimisation &amp; Administration: (HR analytics, Employee relations, compliance and risk, workplace safety, HR administration), Outflow facilitation: (Offboarding, Exit management) and Change and Culture support.</t>
  </si>
  <si>
    <t>S2.17</t>
  </si>
  <si>
    <t>Manage Payroll (HR accountable, HR &amp; Fin responsible for different procedures)</t>
  </si>
  <si>
    <t>Manage HR services (Oracle records, support, administration)</t>
  </si>
  <si>
    <t>S2.18</t>
  </si>
  <si>
    <t>S5. Manage Facilities, Logistics and Safety</t>
  </si>
  <si>
    <t>Provide physical facilities, office accommodation, building maintenance, space management, occupational health, logistics, fleet operations and workspace services to support uninterrupted digital service delivery and disaster resilience objectives</t>
  </si>
  <si>
    <t>Manage occupational health and safety (Accountable)</t>
  </si>
  <si>
    <t>Manage HR Transformation (DEIB)</t>
  </si>
  <si>
    <t>Manage BBBEE and reporting (accountable)</t>
  </si>
  <si>
    <t>S2.19</t>
  </si>
  <si>
    <t>Manage Learning and development (including e-learning?)</t>
  </si>
  <si>
    <t>Manage Change (Technology related change)</t>
  </si>
  <si>
    <t>Sometimes people are appointed regardless of the assessment results, longer timeline for external recruitment, Input contributers do not always follow the process. Salary structure may also quality and timeliness.</t>
  </si>
  <si>
    <t>Manage Employee Onboarding (Pre board, Onboard, Post board) and Induction</t>
  </si>
  <si>
    <t>Induction improvement opportunity to incorporate digital onboarding. Job specific resources (tools) not always readily available and delays onboarding. Planning ahead is not always effective (procurement - Just in time does not always work?). Divisional induction does not consistently happen - compliance across the organisation - especially in client facing divisions.</t>
  </si>
  <si>
    <t xml:space="preserve">Manage Workforce Planning &amp; forecasting </t>
  </si>
  <si>
    <r>
      <t xml:space="preserve">Manage Organizational Development </t>
    </r>
    <r>
      <rPr>
        <sz val="11"/>
        <color rgb="FFFF0000"/>
        <rFont val="Calibri"/>
        <family val="2"/>
      </rPr>
      <t>(Including, OM, structure,  profling, evaluation, competency management, Internal Change)</t>
    </r>
  </si>
  <si>
    <t>Competency management</t>
  </si>
  <si>
    <t xml:space="preserve">External service provider to ensure confidentiality and independent access to a professional service. Resources localised at head office. Currently it is an e-mail engagement. </t>
  </si>
  <si>
    <t>Compliance to the process is inconsistent, works well where it is fully executed. Automated cascading will improve compliance. Consequence management to be constituted. Note: Leadership accountability.</t>
  </si>
  <si>
    <t>Resource dependency: Supply chain management can delay the process and training. One resource on e-learning. Need for a skills development facilitator - not currently available). Not all functions are fully automated (bursary, learning tracking)</t>
  </si>
  <si>
    <t xml:space="preserve">Currently all monitoring done manually. Inconsistent execution across the organisation. </t>
  </si>
  <si>
    <r>
      <t xml:space="preserve">Financial constraints to implement EVP processes. Currently partly outsourced and inadequate budget to engage the outsourced partner. Automate shorter and more frequent satisfaction monitoring. </t>
    </r>
    <r>
      <rPr>
        <sz val="10"/>
        <color rgb="FFFF0000"/>
        <rFont val="Arial"/>
        <family val="2"/>
      </rPr>
      <t>Closing the gap is the significant challenge.</t>
    </r>
  </si>
  <si>
    <t xml:space="preserve">Need to automate "acting allowances" mobile allowance, long service reports, rewards and recognition. </t>
  </si>
  <si>
    <t>S2.4.16</t>
  </si>
  <si>
    <t xml:space="preserve">Staff is not utilising the electronic services (partly utilised) and HR needs to think about how to improve utilisation. 1. Note: Employee prefer sending e-mails and not logging calls. 2. Staff deliverately ignore the system, managers ignore leave management functionality. Note: Dispite awareness sessions. </t>
  </si>
  <si>
    <t xml:space="preserve">upgrade to next version of ERP license to reduce errors and ultimately reduce queries. Payments are sometimes significant and material e.g. acting allowances. Note: The skills may not be fully effective. </t>
  </si>
  <si>
    <t xml:space="preserve">Data analytics capability not utilised due to non-compliance. Potential duplication with data analytics between HR and Application development and maintenance who currently is the custodian of BI systems / capability. Need an additional ERP license to access mobility capability, dashboards etc. </t>
  </si>
  <si>
    <t xml:space="preserve">the BBBEE input is time consuming. Data is not readily available on all aspects. Need to address process ownership. Making provision for disabilities - facilities not suitable, funding not available. </t>
  </si>
  <si>
    <t>Cases take long to close, some cases the buisiness partners could be utilised to do first line IR engagememt.</t>
  </si>
  <si>
    <t>Very labour intensive. Needs to be optimised and relies on various role players. Workflow may be a solution</t>
  </si>
  <si>
    <t>M4.12</t>
  </si>
  <si>
    <t>Manage ethics and corporate social responsibility</t>
  </si>
  <si>
    <t>To ensure effective corporate governance and baord operations including sound governacne systems, board administration, exco support</t>
  </si>
  <si>
    <t>Manage board governance administration</t>
  </si>
  <si>
    <t>Manage board committee governance</t>
  </si>
  <si>
    <t>Manage corporate governance framework</t>
  </si>
  <si>
    <t>Manage statutory company secretarial compliance</t>
  </si>
  <si>
    <t>Provide board advice</t>
  </si>
  <si>
    <t>Manage board efficacy</t>
  </si>
  <si>
    <t>Manage governacne reporting &amp; disclosure</t>
  </si>
  <si>
    <t>Manage ethics governacne administration</t>
  </si>
  <si>
    <t>Manage governance records</t>
  </si>
  <si>
    <t>Manage governacne communication</t>
  </si>
  <si>
    <t>manage BCM Framework &amp; Governance</t>
  </si>
  <si>
    <t>Analyst BCM business impact</t>
  </si>
  <si>
    <t>Assess BCM gaps and risks</t>
  </si>
  <si>
    <t>Monitor &amp; report BCM status</t>
  </si>
  <si>
    <t>Manage BCM awareness</t>
  </si>
  <si>
    <t>Test &amp; Maintain BCM operations?</t>
  </si>
  <si>
    <t>M4.13</t>
  </si>
  <si>
    <t>Manage IT project risk management framework</t>
  </si>
  <si>
    <t>Monitor ICT project governance risks</t>
  </si>
  <si>
    <t>Manage ICT continual risks assessment</t>
  </si>
  <si>
    <t>Manage fraud prevention</t>
  </si>
  <si>
    <t>Manage Planning and management accounting</t>
  </si>
  <si>
    <t>Manage Fixed Asset Accounting</t>
  </si>
  <si>
    <t>Manage Financial Accounting</t>
  </si>
  <si>
    <t>Manage Treasury Operations</t>
  </si>
  <si>
    <t>Manage Financial Internal Controls</t>
  </si>
  <si>
    <t>Manage Taxes</t>
  </si>
  <si>
    <t>Manage proof of concept (Technology Lab)</t>
  </si>
  <si>
    <t xml:space="preserve">Conduct ICT research </t>
  </si>
  <si>
    <t>Conduct pilots and product experimentation</t>
  </si>
  <si>
    <t xml:space="preserve">Plan Commercialization and Go-To Market </t>
  </si>
  <si>
    <t>Provide Corporate &amp; Commercial Legal Advisory Services</t>
  </si>
  <si>
    <t>Manage stakeholder relations (Non government, non-commercial)</t>
  </si>
  <si>
    <t xml:space="preserve">M3. Manage reputation and Stakeholder Relations </t>
  </si>
  <si>
    <t>Manage enterprise risk governance / consulting</t>
  </si>
  <si>
    <t>Manage risk mitigation</t>
  </si>
  <si>
    <t>Manage risk mitigation / remediation efforts</t>
  </si>
  <si>
    <t>Maintain risk audit registers</t>
  </si>
  <si>
    <t>Plan &amp; develop remediation plans</t>
  </si>
  <si>
    <t xml:space="preserve">Implement remediation </t>
  </si>
  <si>
    <t>manage expter engagement</t>
  </si>
  <si>
    <t>manage resource identification / dedication</t>
  </si>
  <si>
    <t>Report remediation results</t>
  </si>
  <si>
    <t>Manage ICT audits</t>
  </si>
  <si>
    <t>Manage SCM audits</t>
  </si>
  <si>
    <t>Manage business audits</t>
  </si>
  <si>
    <t>Conduct forensic audits</t>
  </si>
  <si>
    <t>Plan and agree internal audit schedule with Board of Directors (Align audit schedule with baord of director requirements)</t>
  </si>
  <si>
    <t>Manage code of conduct</t>
  </si>
  <si>
    <t>Manage social ethics &amp; compliance</t>
  </si>
  <si>
    <t>Identify and secreen CSR projects</t>
  </si>
  <si>
    <t>Manage CSR projects / initatives</t>
  </si>
  <si>
    <t>Manage External (ESG) reporting</t>
  </si>
  <si>
    <t>Manage employee declaration of interets</t>
  </si>
  <si>
    <t>Manage CSR strategy</t>
  </si>
  <si>
    <t xml:space="preserve">M4.1 </t>
  </si>
  <si>
    <t>M4.1.1.1</t>
  </si>
  <si>
    <t>M4.1.1.2</t>
  </si>
  <si>
    <t>M4.1.1.3</t>
  </si>
  <si>
    <t>M4.2.1.1</t>
  </si>
  <si>
    <t>M4.2.1.2</t>
  </si>
  <si>
    <t>M4.2.1.3</t>
  </si>
  <si>
    <t xml:space="preserve">M4.2 </t>
  </si>
  <si>
    <t xml:space="preserve">M4.3 </t>
  </si>
  <si>
    <t>M4.3.1</t>
  </si>
  <si>
    <t>M4.3.2</t>
  </si>
  <si>
    <t>M4.3.3</t>
  </si>
  <si>
    <t>M4.3.4</t>
  </si>
  <si>
    <t>M4.3.5</t>
  </si>
  <si>
    <t>M4.3.6</t>
  </si>
  <si>
    <t xml:space="preserve">M4.4 </t>
  </si>
  <si>
    <t>M4.4.1</t>
  </si>
  <si>
    <t>M4.4.2</t>
  </si>
  <si>
    <t>M4.4.3</t>
  </si>
  <si>
    <t>M4.4.4</t>
  </si>
  <si>
    <t>M4.4.5</t>
  </si>
  <si>
    <t>M4.4.6</t>
  </si>
  <si>
    <t xml:space="preserve">M4.5 </t>
  </si>
  <si>
    <t>M4.5.1</t>
  </si>
  <si>
    <t>M4.5.2</t>
  </si>
  <si>
    <t>M4.5.3</t>
  </si>
  <si>
    <t>M4.5.4</t>
  </si>
  <si>
    <t>M4.5.5</t>
  </si>
  <si>
    <t>M4.5.6</t>
  </si>
  <si>
    <t>M4.6.1</t>
  </si>
  <si>
    <t>M4.6.2</t>
  </si>
  <si>
    <t>M4.6.3</t>
  </si>
  <si>
    <t>M4.6.4</t>
  </si>
  <si>
    <t>M4.6.5</t>
  </si>
  <si>
    <t>M4.6.6</t>
  </si>
  <si>
    <t>M4.7.1</t>
  </si>
  <si>
    <t>M4.7.2</t>
  </si>
  <si>
    <t>M4.7.3</t>
  </si>
  <si>
    <t>M4.7.4</t>
  </si>
  <si>
    <t>M4.7.5</t>
  </si>
  <si>
    <t>M4.7.6</t>
  </si>
  <si>
    <t>M4.8.1</t>
  </si>
  <si>
    <t>M4.8.2</t>
  </si>
  <si>
    <t>M4.8.3</t>
  </si>
  <si>
    <t>M4.8.4</t>
  </si>
  <si>
    <t>M4.8.5</t>
  </si>
  <si>
    <t>M4.8.6</t>
  </si>
  <si>
    <t>M4.9.1</t>
  </si>
  <si>
    <t>M4.9.2</t>
  </si>
  <si>
    <t>M4.9.3</t>
  </si>
  <si>
    <t>M4.9.4</t>
  </si>
  <si>
    <t>M4.9.5</t>
  </si>
  <si>
    <t>M4.9.6</t>
  </si>
  <si>
    <t>M4.9.7</t>
  </si>
  <si>
    <t>M4.9.8</t>
  </si>
  <si>
    <t>M4.9.9</t>
  </si>
  <si>
    <t>M4.9.10</t>
  </si>
  <si>
    <t>M4.10.1</t>
  </si>
  <si>
    <t>M4.10.2</t>
  </si>
  <si>
    <t>M4.10.3</t>
  </si>
  <si>
    <t>M4.10.4</t>
  </si>
  <si>
    <t>M4.10.5</t>
  </si>
  <si>
    <t>M4.10.6</t>
  </si>
  <si>
    <t>M4.10.7</t>
  </si>
  <si>
    <t>M4.10.8</t>
  </si>
  <si>
    <t>M4.11.1</t>
  </si>
  <si>
    <t>M4.11.2</t>
  </si>
  <si>
    <t>M4.11.3</t>
  </si>
  <si>
    <t>M4.11.4</t>
  </si>
  <si>
    <t>M4.11.5</t>
  </si>
  <si>
    <t>M4.11.6</t>
  </si>
  <si>
    <t>M4.11.7</t>
  </si>
  <si>
    <t>M4.11.8</t>
  </si>
  <si>
    <t>M4.12.1</t>
  </si>
  <si>
    <t>M4.12.2</t>
  </si>
  <si>
    <t>M4.12.3</t>
  </si>
  <si>
    <t>M4.12.4</t>
  </si>
  <si>
    <t>M4.12.5</t>
  </si>
  <si>
    <t>M4.12.6</t>
  </si>
  <si>
    <t>M4.12.7</t>
  </si>
  <si>
    <t>M4.12.8</t>
  </si>
  <si>
    <t xml:space="preserve">M4.  Manage Enterprise Governance, Risk,  Compliance / Resiliency (GRC)
</t>
  </si>
  <si>
    <t xml:space="preserve">M3.  Manage reputation and Stakeholder Relations 
</t>
  </si>
  <si>
    <t>Manage  stakeholder relations (Non-commercial)</t>
  </si>
  <si>
    <t>Ensure policy compliance</t>
  </si>
  <si>
    <t>Revise policy and procedure</t>
  </si>
  <si>
    <t>Manage  policy  library</t>
  </si>
  <si>
    <t>Review policy &amp; determine gaps</t>
  </si>
  <si>
    <t>Communicate policy (Ensure awareness &amp; appreciation)</t>
  </si>
  <si>
    <t>Manage enterprise measurement systems model</t>
  </si>
  <si>
    <t>Profile CBSC measures</t>
  </si>
  <si>
    <t>Review / maintain CBSC from approved APP</t>
  </si>
  <si>
    <t>Manage analytical reporting</t>
  </si>
  <si>
    <t>Manage CPM</t>
  </si>
  <si>
    <t>Manage divisional BSCs</t>
  </si>
  <si>
    <t>Coordiante CBSC and APP alignment</t>
  </si>
  <si>
    <t>Report BSC alignment</t>
  </si>
  <si>
    <t>Conduct strategic performance assessment</t>
  </si>
  <si>
    <t>Manage strategic performance review discipline</t>
  </si>
  <si>
    <t>Maintain awareness and internal alignment (workshops)</t>
  </si>
  <si>
    <t>Conduct competitive benchmark (internal &amp; external)</t>
  </si>
  <si>
    <t>Conduct gap analysis (planned performance and benchmark indicators)</t>
  </si>
  <si>
    <t>Plan and implement change initatives (integrate with strategic adjustment)</t>
  </si>
  <si>
    <t>Montor strategic initiative implementation</t>
  </si>
  <si>
    <t>Collect and consolidate performance data (CPM reports)</t>
  </si>
  <si>
    <t>Conduct strategic reviews (based on performance results)</t>
  </si>
  <si>
    <t>Manage internal AOPO</t>
  </si>
  <si>
    <t xml:space="preserve">Report SITA performance </t>
  </si>
  <si>
    <t>Manage internal best practice alignment and recognition</t>
  </si>
  <si>
    <t>identify CPM lessons learned</t>
  </si>
  <si>
    <t>Track performance against goals</t>
  </si>
  <si>
    <t>Monitor business activities</t>
  </si>
  <si>
    <t>Consolidate channel, product, customer, geography profitability</t>
  </si>
  <si>
    <t>Report overall performance</t>
  </si>
  <si>
    <t>Analyse CPM &amp; consolidated profitability</t>
  </si>
  <si>
    <t xml:space="preserve">M5. Manage Business Performance, Monitoring and Evaluation
</t>
  </si>
  <si>
    <t xml:space="preserve">M5.1 </t>
  </si>
  <si>
    <t>M5.1.1</t>
  </si>
  <si>
    <t>M5.1.1.1</t>
  </si>
  <si>
    <t>M5.1.1.2</t>
  </si>
  <si>
    <t>M5.1.1.3</t>
  </si>
  <si>
    <t>M5.1.2</t>
  </si>
  <si>
    <t>M5.2.1.1</t>
  </si>
  <si>
    <t>M5.2.1.2</t>
  </si>
  <si>
    <t>M5.2.1.3</t>
  </si>
  <si>
    <t>M5.1.3</t>
  </si>
  <si>
    <t>M5.1.4</t>
  </si>
  <si>
    <t>M5.1.5</t>
  </si>
  <si>
    <t>M5.1.6</t>
  </si>
  <si>
    <t xml:space="preserve">M5.2 </t>
  </si>
  <si>
    <t>M5.2.1</t>
  </si>
  <si>
    <t>M5.2.2</t>
  </si>
  <si>
    <t>M5.2.3</t>
  </si>
  <si>
    <t>M5.2.4</t>
  </si>
  <si>
    <t>M5.2.5</t>
  </si>
  <si>
    <t>M5.2.6</t>
  </si>
  <si>
    <t xml:space="preserve">M5.3 </t>
  </si>
  <si>
    <t>M5.3.1</t>
  </si>
  <si>
    <t>M5.3.2</t>
  </si>
  <si>
    <t>M5.3.3</t>
  </si>
  <si>
    <t>M5.3.4</t>
  </si>
  <si>
    <t>M5.3.5</t>
  </si>
  <si>
    <t>M5.3.6</t>
  </si>
  <si>
    <t xml:space="preserve">M5.4 </t>
  </si>
  <si>
    <t>M5.4.1</t>
  </si>
  <si>
    <t>M5.4.2</t>
  </si>
  <si>
    <t>M5.4.3</t>
  </si>
  <si>
    <t>M5.4.4</t>
  </si>
  <si>
    <t>M5.4.5</t>
  </si>
  <si>
    <t>M5.4.6</t>
  </si>
  <si>
    <t xml:space="preserve">M5.5 </t>
  </si>
  <si>
    <t>M5.5.1</t>
  </si>
  <si>
    <t>M5.5.2</t>
  </si>
  <si>
    <t>M5.5.3</t>
  </si>
  <si>
    <t>M5.5.4</t>
  </si>
  <si>
    <t>M5.5.5</t>
  </si>
  <si>
    <t>M5.5.6</t>
  </si>
  <si>
    <t>M5.6.1</t>
  </si>
  <si>
    <t>M5.6.2</t>
  </si>
  <si>
    <t>M5.6.3</t>
  </si>
  <si>
    <t>M5.6.4</t>
  </si>
  <si>
    <t>M5.6.5</t>
  </si>
  <si>
    <t>M5.6.6</t>
  </si>
  <si>
    <t>M5.7.1</t>
  </si>
  <si>
    <t>M5.7.2</t>
  </si>
  <si>
    <t>M5.7.3</t>
  </si>
  <si>
    <t>M5.7.4</t>
  </si>
  <si>
    <t>M5.7.5</t>
  </si>
  <si>
    <t>M5.7.6</t>
  </si>
  <si>
    <t>M5.8</t>
  </si>
  <si>
    <t>M5.8.1</t>
  </si>
  <si>
    <t>M5.8.2</t>
  </si>
  <si>
    <t>M5.8.3</t>
  </si>
  <si>
    <t>M5.8.4</t>
  </si>
  <si>
    <t>M5.8.5</t>
  </si>
  <si>
    <t>M5.8.6</t>
  </si>
  <si>
    <t>Define strategic partnership priorities</t>
  </si>
  <si>
    <t>Identify target partner ecosystem segments</t>
  </si>
  <si>
    <t>Conduct partner capability and strategic fit assessments</t>
  </si>
  <si>
    <t>Conduct partner due diligence and risk assessment</t>
  </si>
  <si>
    <t>Negotiate partnership frameworks and commercial terms</t>
  </si>
  <si>
    <t>Establish partnership governance structures</t>
  </si>
  <si>
    <t>Integrate partners into SITA ecosystem architecture</t>
  </si>
  <si>
    <t>Define investment partnership strategy</t>
  </si>
  <si>
    <t>Identify potential strategic investors</t>
  </si>
  <si>
    <t>Develop investment value propositions</t>
  </si>
  <si>
    <t>Conduct investor engagement and roadshows</t>
  </si>
  <si>
    <t>Negotiate investment structures and financing models</t>
  </si>
  <si>
    <t>Formalise investment agreements</t>
  </si>
  <si>
    <t>Establish investor governance mechanisms</t>
  </si>
  <si>
    <t>Maintain investor communication and reporting frameworks</t>
  </si>
  <si>
    <t>Drive innovation collaboration programmes</t>
  </si>
  <si>
    <t>Renegotiate partnership terms where required</t>
  </si>
  <si>
    <t>Exit or restructure underperforming partnerships</t>
  </si>
  <si>
    <t>Mx.1.7</t>
  </si>
  <si>
    <t>Mx.1.8</t>
  </si>
  <si>
    <t>Mx.1.9</t>
  </si>
  <si>
    <t>Formalise strategic partnership agreements / MOUs</t>
  </si>
  <si>
    <t>Manage partnership performance frameworks</t>
  </si>
  <si>
    <t>Monitor &amp; consolidate revenue and commercial performance of partnerships</t>
  </si>
  <si>
    <t>Monitor &amp; consolidate partner service delivery performance</t>
  </si>
  <si>
    <t>Monitor &amp; consolidate innovation outcomes and technology development results</t>
  </si>
  <si>
    <t>Monitor compliance with partnership agreements (individual and collective)</t>
  </si>
  <si>
    <t>Monitor and report partner ecosyste performance (type, industry, services, financial, cost, geograqphy etc)</t>
  </si>
  <si>
    <t>Maintain partner ecosystem dashboard(s) central and regionally</t>
  </si>
  <si>
    <t>Analyse partnership value and strategic impact (type, industry, services, financial, cost, geograqphy etc)</t>
  </si>
  <si>
    <t>Identify partnership improvement or ecosystem improvement opportunities</t>
  </si>
  <si>
    <t>Manage / Optimise partner-enabled service offering portfolio (Improve SITA service quality and sustainability)</t>
  </si>
  <si>
    <t>The structured process through which SITA identifies, evaluates, selects and formalises strategic technology, innovation and ecosystem partners required to support digital service delivery, platform development, infrastructure expansion and GovTech innovation. The process includes defining partnership priorities, assessing partner capabilities and strategic alignment, conducting due diligence, negotiating commercial and governance arrangements, and establishing formal partnership agreements and collaboration frameworks.</t>
  </si>
  <si>
    <t>The process responsible for establishing and maintaining relationships with institutional investors, infrastructure financiers, and strategic capital partners to support the development and expansion of digital infrastructure, platforms and services. The process includes identifying investment opportunities, developing investment value propositions, engaging potential investors, structuring financing and partnership models, formalising investment agreements, and maintaining investor communication and governance mechanisms.</t>
  </si>
  <si>
    <t>The structured process through which SITA measures and manages the operational, commercial and strategic performance of its partnership ecosystem. The process includes defining partnership performance frameworks, monitoring service delivery and revenue contribution, tracking innovation outputs and ecosystem growth, ensuring contractual compliance, conducting periodic partner performance reviews, and managing risks associated with partnership delivery and commercial outcomes</t>
  </si>
  <si>
    <t xml:space="preserve">Mx. Manage Business Process Optimisation and Quality Assurance (BPMS &amp; EQMS)
</t>
  </si>
  <si>
    <t xml:space="preserve">M6. Manage Partnership Ecosystem Development
</t>
  </si>
  <si>
    <t xml:space="preserve">M6.1 </t>
  </si>
  <si>
    <t>M6.1.1</t>
  </si>
  <si>
    <t>M6.1.1.1</t>
  </si>
  <si>
    <t>M6.1.1.2</t>
  </si>
  <si>
    <t>M6.1.1.3</t>
  </si>
  <si>
    <t>M6.1.2</t>
  </si>
  <si>
    <t>M6.2.1.1</t>
  </si>
  <si>
    <t>M6.2.1.2</t>
  </si>
  <si>
    <t>M6.2.1.3</t>
  </si>
  <si>
    <t>M6.1.3</t>
  </si>
  <si>
    <t>M6.1.4</t>
  </si>
  <si>
    <t>M6.1.5</t>
  </si>
  <si>
    <t>M6.1.6</t>
  </si>
  <si>
    <t>M6.1.7</t>
  </si>
  <si>
    <t>M6.1.8</t>
  </si>
  <si>
    <t>M6.1.9</t>
  </si>
  <si>
    <t xml:space="preserve">M6.2 </t>
  </si>
  <si>
    <t>M6.2.1</t>
  </si>
  <si>
    <t>M6.2.2</t>
  </si>
  <si>
    <t>M6.2.3</t>
  </si>
  <si>
    <t>M6.2.4</t>
  </si>
  <si>
    <t>M6.2.5</t>
  </si>
  <si>
    <t>M6.2.6</t>
  </si>
  <si>
    <t>M6.2.7</t>
  </si>
  <si>
    <t>M6.2.8</t>
  </si>
  <si>
    <t xml:space="preserve">M6.3 </t>
  </si>
  <si>
    <t>M6.3.1</t>
  </si>
  <si>
    <t>M6.3.2</t>
  </si>
  <si>
    <t>M6.3.3</t>
  </si>
  <si>
    <t>M6.3.4</t>
  </si>
  <si>
    <t>M6.3.5</t>
  </si>
  <si>
    <t>M6.3.6</t>
  </si>
  <si>
    <t xml:space="preserve">M6.4 </t>
  </si>
  <si>
    <t>M6.4.1</t>
  </si>
  <si>
    <t>M6.4.2</t>
  </si>
  <si>
    <t>M6.4.3</t>
  </si>
  <si>
    <t>M6.4.4</t>
  </si>
  <si>
    <t>M6.4.5</t>
  </si>
  <si>
    <t>M6.4.6</t>
  </si>
  <si>
    <t xml:space="preserve">M6.5 </t>
  </si>
  <si>
    <t>M6.5.1</t>
  </si>
  <si>
    <t>M6.5.2</t>
  </si>
  <si>
    <t>M6.5.3</t>
  </si>
  <si>
    <t>M6.5.4</t>
  </si>
  <si>
    <t>M6.5.5</t>
  </si>
  <si>
    <t>M6.5.6</t>
  </si>
  <si>
    <t>M6.6.1</t>
  </si>
  <si>
    <t>M6.6.2</t>
  </si>
  <si>
    <t>M6.6.3</t>
  </si>
  <si>
    <t>M6.6.4</t>
  </si>
  <si>
    <t>M6.6.5</t>
  </si>
  <si>
    <t>M6.6.6</t>
  </si>
  <si>
    <t>M6.7.1</t>
  </si>
  <si>
    <t>M6.7.2</t>
  </si>
  <si>
    <t>M6.7.3</t>
  </si>
  <si>
    <t>M6.7.4</t>
  </si>
  <si>
    <t>M6.7.5</t>
  </si>
  <si>
    <t>M6.7.6</t>
  </si>
  <si>
    <t>M6.8.1</t>
  </si>
  <si>
    <t>M6.8.2</t>
  </si>
  <si>
    <t>M6.8.3</t>
  </si>
  <si>
    <t>M6.8.4</t>
  </si>
  <si>
    <t>M6.8.5</t>
  </si>
  <si>
    <t>M6.8.6</t>
  </si>
  <si>
    <t>M7 Manage Innovation and IP</t>
  </si>
  <si>
    <t>M7.1.1 Generate  ideas</t>
  </si>
  <si>
    <t>M7.1.2 Select ideas</t>
  </si>
  <si>
    <t>M7.1.3 Assess opportunity / feasibility (high level)</t>
  </si>
  <si>
    <t>M7.1.4 Approve complex Idea (for funding, proof of concept or project)</t>
  </si>
  <si>
    <t>M7.1.5 Execute / Implement (Just do it) Idea</t>
  </si>
  <si>
    <t>M7.1.6</t>
  </si>
  <si>
    <t>M7.1.7</t>
  </si>
  <si>
    <t>M7.5.1 Manage project transition &amp; knowledge transfer</t>
  </si>
  <si>
    <t>M7.5.2 Manage initial  audience / user engagement</t>
  </si>
  <si>
    <t>M7.5.3 Monitor revenue against business case</t>
  </si>
  <si>
    <t xml:space="preserve">M7.5.4 Identify / submit enhancements </t>
  </si>
  <si>
    <t>M7.5.5 Report revenue and benefits</t>
  </si>
  <si>
    <t>M7.5.6 Conduct final project evaluation / learning</t>
  </si>
  <si>
    <t>M7.5.7</t>
  </si>
  <si>
    <t>M7.6.7</t>
  </si>
  <si>
    <t>Manage process &amp; quality governance approach</t>
  </si>
  <si>
    <t>Maintain process management tools &amp; templates</t>
  </si>
  <si>
    <t>Mainting quality management tools and templates</t>
  </si>
  <si>
    <t>Assign process ownership</t>
  </si>
  <si>
    <t>Manage enterprise quality and business process governance</t>
  </si>
  <si>
    <t>Maintain process architecture &amp; framework</t>
  </si>
  <si>
    <t>Mx.1.10</t>
  </si>
  <si>
    <t>Maintain process &amp; quality management governance structures (process improvement groups, quality circles etc.)</t>
  </si>
  <si>
    <t>Mainting quality and process improvement framework (who, how, when, what etc.)</t>
  </si>
  <si>
    <t>Scope business processes</t>
  </si>
  <si>
    <t>Analyse business processes</t>
  </si>
  <si>
    <t>Mx.3.7</t>
  </si>
  <si>
    <t>Define and maintain quality controls</t>
  </si>
  <si>
    <t>Define &amp; maintain cirtical to quality characteristics (per process)</t>
  </si>
  <si>
    <t>Finalise quality plan</t>
  </si>
  <si>
    <t>Update business processes &amp; communicate quality requirements</t>
  </si>
  <si>
    <t>Model and update business process</t>
  </si>
  <si>
    <t>Benchmark process qualty indicators</t>
  </si>
  <si>
    <t>Manage process &amp; quality performance</t>
  </si>
  <si>
    <t>Manage process training</t>
  </si>
  <si>
    <t>Manage quality assurance training</t>
  </si>
  <si>
    <t>Assess business performance (atainst quality requirements)</t>
  </si>
  <si>
    <t>Assess / analyse quality tests</t>
  </si>
  <si>
    <t>Report performacne results</t>
  </si>
  <si>
    <t>Assess non-conformance imapct</t>
  </si>
  <si>
    <t>Identify actions</t>
  </si>
  <si>
    <t>Identify root cause</t>
  </si>
  <si>
    <t>Implement corrective actions</t>
  </si>
  <si>
    <t>Identify and select improvement opportunities</t>
  </si>
  <si>
    <t>Mx.6.7</t>
  </si>
  <si>
    <t>Monitor non-conformance</t>
  </si>
  <si>
    <t>Define quality and BPM strategy</t>
  </si>
  <si>
    <t>Plan and deploy EQMS and BPM targets and goals</t>
  </si>
  <si>
    <t>Identify core EQMS and BPM processes, controls and metrics</t>
  </si>
  <si>
    <t>Develop policies, procedures, standards and measures</t>
  </si>
  <si>
    <t>Monitor systems performance</t>
  </si>
  <si>
    <t>Improve EQMS and BPMS</t>
  </si>
  <si>
    <t>manage improvement projects / initatives</t>
  </si>
  <si>
    <t>Monitor continuous quality improvement</t>
  </si>
  <si>
    <t xml:space="preserve">C3. Market  Products and Services and channels </t>
  </si>
  <si>
    <t>C4. Manage Service Life-cycle &amp; delivery channels</t>
  </si>
  <si>
    <t>C5. Sell and Contract Digital Solutions and Services (Create demand) and sales channels</t>
  </si>
  <si>
    <t>Capture departmental demand inputs</t>
  </si>
  <si>
    <t>Assess strategic relevance of demand</t>
  </si>
  <si>
    <t>Quantify service gaps and backlogs</t>
  </si>
  <si>
    <t>Segment demand by department and sphere</t>
  </si>
  <si>
    <t>Prioritise departmental demand opportunities</t>
  </si>
  <si>
    <t>Maintain departmental demand register</t>
  </si>
  <si>
    <t>Research citizen journeys and expectations</t>
  </si>
  <si>
    <t>Analyse user experience pain points</t>
  </si>
  <si>
    <t>Assess accessibility and inclusion requirements</t>
  </si>
  <si>
    <t>Analyse channel usage and service preferences</t>
  </si>
  <si>
    <t>Prioritise expectation themes for design</t>
  </si>
  <si>
    <t>Maintain citizen insight repository</t>
  </si>
  <si>
    <t>Define demand modelling assumptions</t>
  </si>
  <si>
    <t>Build demand volume scenarios</t>
  </si>
  <si>
    <t>Model capacity implications</t>
  </si>
  <si>
    <t>Model cost and revenue implications</t>
  </si>
  <si>
    <t>Stress-test forecast scenarios</t>
  </si>
  <si>
    <t>Publish demand forecast baseline</t>
  </si>
  <si>
    <t>Define prioritisation criteria</t>
  </si>
  <si>
    <t>Assess capacity and resource constraints</t>
  </si>
  <si>
    <t>Assess strategic and customer impact</t>
  </si>
  <si>
    <t>Score demand opportunities</t>
  </si>
  <si>
    <t>Approve demand prioritisation decisions</t>
  </si>
  <si>
    <t>Communicate prioritised demand pipeline</t>
  </si>
  <si>
    <t>Scan non-government market opportunities</t>
  </si>
  <si>
    <t>Assess regional demand potential</t>
  </si>
  <si>
    <t>Evaluate addressable market segments</t>
  </si>
  <si>
    <t>Assess commercial fit and risk</t>
  </si>
  <si>
    <t>Prioritise non-government opportunities</t>
  </si>
  <si>
    <t>Update opportunity watchlist</t>
  </si>
  <si>
    <t>Map stakeholder categories and needs</t>
  </si>
  <si>
    <t>Conduct competitor and benchmark scans</t>
  </si>
  <si>
    <t>Track regulatory and policy developments</t>
  </si>
  <si>
    <t>Analyse technology and partner trends</t>
  </si>
  <si>
    <t>Synthesize market intelligence insights</t>
  </si>
  <si>
    <t>Distribute research findings to product and sales teams</t>
  </si>
  <si>
    <t>Define integration standards and API patterns</t>
  </si>
  <si>
    <t>Develop interface components</t>
  </si>
  <si>
    <t>Develop data transformation components</t>
  </si>
  <si>
    <t>Configure interoperability services</t>
  </si>
  <si>
    <t>Test interoperability components</t>
  </si>
  <si>
    <t>Publish integration assets for reuse</t>
  </si>
  <si>
    <t>Define marketplace product model</t>
  </si>
  <si>
    <t>Configure provider integration patterns</t>
  </si>
  <si>
    <t>Define brokerage and settlement features</t>
  </si>
  <si>
    <t>Design marketplace onboarding artefacts</t>
  </si>
  <si>
    <t>Build marketplace-ready service wrappers</t>
  </si>
  <si>
    <t>Validate marketplace-enabled product package</t>
  </si>
  <si>
    <t>Define cloud service constructs</t>
  </si>
  <si>
    <t>Design infrastructure product standards</t>
  </si>
  <si>
    <t>Engineer automated provisioning templates</t>
  </si>
  <si>
    <t>Define resilience and recovery patterns</t>
  </si>
  <si>
    <t>Validate infrastructure product capability</t>
  </si>
  <si>
    <t>Analyse &amp; prioritise departmental digital demand</t>
  </si>
  <si>
    <t>C1.1.1</t>
  </si>
  <si>
    <t>Yes</t>
  </si>
  <si>
    <t>No</t>
  </si>
  <si>
    <t>C1.1.2</t>
  </si>
  <si>
    <t>C1.1.3</t>
  </si>
  <si>
    <t>C1.1.4</t>
  </si>
  <si>
    <t>C1.1.5</t>
  </si>
  <si>
    <t>C1.1.6</t>
  </si>
  <si>
    <t>C1.1.7</t>
  </si>
  <si>
    <t>C1.1.8</t>
  </si>
  <si>
    <t>Analyse &amp; prioritise citizen and end-user expectations</t>
  </si>
  <si>
    <t>C1.2.1</t>
  </si>
  <si>
    <t>C1.2.2</t>
  </si>
  <si>
    <t>C1.2.3</t>
  </si>
  <si>
    <t>C1.2.4</t>
  </si>
  <si>
    <t>C1.2.5</t>
  </si>
  <si>
    <t>C1.2.6</t>
  </si>
  <si>
    <t>C1.2.7</t>
  </si>
  <si>
    <t>C1.2.8</t>
  </si>
  <si>
    <t>Conduct demand forecasting and modelling</t>
  </si>
  <si>
    <t>C1.3.1</t>
  </si>
  <si>
    <t>C1.3.2</t>
  </si>
  <si>
    <t>C1.3.3</t>
  </si>
  <si>
    <t>C1.3.4</t>
  </si>
  <si>
    <t>C1.3.5</t>
  </si>
  <si>
    <t>C1.3.6</t>
  </si>
  <si>
    <t>C1.3.7</t>
  </si>
  <si>
    <t>C1.3.8</t>
  </si>
  <si>
    <t>Prioritise digital demand based on capacity, constraints and impact</t>
  </si>
  <si>
    <t>C1.4.1</t>
  </si>
  <si>
    <t>C1.4.2</t>
  </si>
  <si>
    <t>C1.4.3</t>
  </si>
  <si>
    <t>C1.4.4</t>
  </si>
  <si>
    <t>C1.4.5</t>
  </si>
  <si>
    <t>C1.4.6</t>
  </si>
  <si>
    <t>C1.4.7</t>
  </si>
  <si>
    <t>C1.4.8</t>
  </si>
  <si>
    <t>Monitor / scanning non-government and regional market potential</t>
  </si>
  <si>
    <t>C1.5.1</t>
  </si>
  <si>
    <t>C1.5.2</t>
  </si>
  <si>
    <t>C1.5.3</t>
  </si>
  <si>
    <t>C1.5.4</t>
  </si>
  <si>
    <t>C1.5.5</t>
  </si>
  <si>
    <t>Conduct stakeholder research and market intelligence.</t>
  </si>
  <si>
    <t>C1.6.1</t>
  </si>
  <si>
    <t>C1.6.2</t>
  </si>
  <si>
    <t>C1.6.3</t>
  </si>
  <si>
    <t>C1.6.4</t>
  </si>
  <si>
    <t>C1.6.5</t>
  </si>
  <si>
    <t>C1.6.6</t>
  </si>
  <si>
    <t>C1 Sense and Research Digital Demand (Government and Commercial)</t>
  </si>
  <si>
    <t>Current Procedure</t>
  </si>
  <si>
    <t>C1.5.6</t>
  </si>
  <si>
    <t>C2.1.1</t>
  </si>
  <si>
    <t>Perform customer and market intelligence analysis</t>
  </si>
  <si>
    <t>C2.1.2</t>
  </si>
  <si>
    <t>Evaluate and prioritise market opportunities</t>
  </si>
  <si>
    <t>C2.1.3</t>
  </si>
  <si>
    <t>Define product strategy objectives</t>
  </si>
  <si>
    <t>C2.1.4</t>
  </si>
  <si>
    <t>Develop product roadmap options</t>
  </si>
  <si>
    <t>C2.1.5</t>
  </si>
  <si>
    <t>Validate roadmap against strategic demand</t>
  </si>
  <si>
    <t>C2.1.6</t>
  </si>
  <si>
    <t>Approve roadmap baseline</t>
  </si>
  <si>
    <t>C2.2.1</t>
  </si>
  <si>
    <t>Define offerings &amp; value proposition</t>
  </si>
  <si>
    <t>C2.2.2</t>
  </si>
  <si>
    <t>C2.2.3</t>
  </si>
  <si>
    <t>Define and manage channel strategy</t>
  </si>
  <si>
    <t>C2.2.4</t>
  </si>
  <si>
    <t>Analyse and manage channel performance</t>
  </si>
  <si>
    <t>C2.2.5</t>
  </si>
  <si>
    <t>C2.2.6</t>
  </si>
  <si>
    <t>Define architecture principles and patterns</t>
  </si>
  <si>
    <t>C2.2.7</t>
  </si>
  <si>
    <t>Develop target architecture blueprint</t>
  </si>
  <si>
    <t>C2.2.8</t>
  </si>
  <si>
    <t>Validate security and interoperability requirements</t>
  </si>
  <si>
    <t>C2.2.9</t>
  </si>
  <si>
    <t>Review architecture compliance</t>
  </si>
  <si>
    <t>C2.2.10</t>
  </si>
  <si>
    <t>Publish approved architecture artefacts</t>
  </si>
  <si>
    <t>C2.3.1</t>
  </si>
  <si>
    <t>C2.3.2</t>
  </si>
  <si>
    <t>C2.3.3</t>
  </si>
  <si>
    <t>C2.3.4</t>
  </si>
  <si>
    <t>C2.3.5</t>
  </si>
  <si>
    <t>C2.3.6</t>
  </si>
  <si>
    <t>C2.3.7</t>
  </si>
  <si>
    <t>C2.3.8</t>
  </si>
  <si>
    <t>C2.4.1</t>
  </si>
  <si>
    <t>C2.4.2</t>
  </si>
  <si>
    <t>C2.4.3</t>
  </si>
  <si>
    <t>C2.4.4</t>
  </si>
  <si>
    <t>C2.4.5</t>
  </si>
  <si>
    <t>C2.4.6</t>
  </si>
  <si>
    <t>C2.4.7</t>
  </si>
  <si>
    <t>C2.4.8</t>
  </si>
  <si>
    <t>Engineer reusable baseline components</t>
  </si>
  <si>
    <t>Configure development environment and toolchain</t>
  </si>
  <si>
    <t>Build core modules and services</t>
  </si>
  <si>
    <t>Conduct component integration testing</t>
  </si>
  <si>
    <t>Document reusable assets for future projects</t>
  </si>
  <si>
    <t>C2.5.1</t>
  </si>
  <si>
    <t>C2.5.2</t>
  </si>
  <si>
    <t>C2.5.3</t>
  </si>
  <si>
    <t>C2.5.4</t>
  </si>
  <si>
    <t>C2.5.5</t>
  </si>
  <si>
    <t>C2.5.6</t>
  </si>
  <si>
    <t>C2.5.7</t>
  </si>
  <si>
    <t>C2.5.8</t>
  </si>
  <si>
    <t>C2.5.9</t>
  </si>
  <si>
    <t>C2.5.10</t>
  </si>
  <si>
    <t>C2.6.1</t>
  </si>
  <si>
    <t>C2.6.2</t>
  </si>
  <si>
    <t>C2.6.3</t>
  </si>
  <si>
    <t>C2.6.4</t>
  </si>
  <si>
    <t>C2.7.1</t>
  </si>
  <si>
    <t>C2.7.2</t>
  </si>
  <si>
    <t>C2.7.3</t>
  </si>
  <si>
    <t>C2.7.4</t>
  </si>
  <si>
    <t>C2.7.5</t>
  </si>
  <si>
    <t>C2.7.6</t>
  </si>
  <si>
    <t>C2.7.7</t>
  </si>
  <si>
    <t>C2.8.1</t>
  </si>
  <si>
    <t>Define pilot hypothesis and success criteria</t>
  </si>
  <si>
    <t>C2.8.2</t>
  </si>
  <si>
    <t>Select pilot participants and environments</t>
  </si>
  <si>
    <t>C2.8.3</t>
  </si>
  <si>
    <t>Execute pilot and capture learnings</t>
  </si>
  <si>
    <t>C2.8.4</t>
  </si>
  <si>
    <t>Recommend scale-up, redesign or termination</t>
  </si>
  <si>
    <t>C2.9.1</t>
  </si>
  <si>
    <t>Prepare test strategy and cases</t>
  </si>
  <si>
    <t>C2.9.2</t>
  </si>
  <si>
    <t>Execute functional testing</t>
  </si>
  <si>
    <t>C2.9.3</t>
  </si>
  <si>
    <t>Execute security and performance testing</t>
  </si>
  <si>
    <t>C2.9.4</t>
  </si>
  <si>
    <t>Log and remediate defects</t>
  </si>
  <si>
    <t>C2.9.5</t>
  </si>
  <si>
    <t>Approve quality readiness</t>
  </si>
  <si>
    <t>C2.10.1</t>
  </si>
  <si>
    <t>Package release baseline</t>
  </si>
  <si>
    <t>C2.10.2</t>
  </si>
  <si>
    <t>Manage version control and release notes</t>
  </si>
  <si>
    <t>C2.10.3</t>
  </si>
  <si>
    <t>Approve production release</t>
  </si>
  <si>
    <t>C2.10.4</t>
  </si>
  <si>
    <t>Maintain baseline configuration records</t>
  </si>
  <si>
    <t>C2.11.1</t>
  </si>
  <si>
    <t>C2.11.2</t>
  </si>
  <si>
    <t>C2.11.3</t>
  </si>
  <si>
    <t>C2.11.4</t>
  </si>
  <si>
    <t>Plan Commercialization and Go-To Market</t>
  </si>
  <si>
    <t>C2.12.1</t>
  </si>
  <si>
    <t>Define go-to-market plan</t>
  </si>
  <si>
    <t>C2.12.2</t>
  </si>
  <si>
    <t>Prepare commercial packaging and pricing inputs</t>
  </si>
  <si>
    <t>C2.12.3</t>
  </si>
  <si>
    <t>Hand-over for launch (to marketing process)</t>
  </si>
  <si>
    <t>Prepare release package</t>
  </si>
  <si>
    <t>Compile product documentation pack</t>
  </si>
  <si>
    <t>Approve release readiness</t>
  </si>
  <si>
    <t>Publish product baseline to catalogue</t>
  </si>
  <si>
    <t>Hand over release artefacts to delivery</t>
  </si>
  <si>
    <t>Communicate release contents to stakeholders</t>
  </si>
  <si>
    <t>C2.10.5</t>
  </si>
  <si>
    <t>C2.10.6</t>
  </si>
  <si>
    <t>C2.6.5</t>
  </si>
  <si>
    <t>C2.6.6</t>
  </si>
  <si>
    <t>C2 Design, Develop &amp; Engineer Products, Services and Delivery Channels</t>
  </si>
  <si>
    <t>Market  Products and Services and channels</t>
  </si>
  <si>
    <t>C3.1.1</t>
  </si>
  <si>
    <t>C3.1.2</t>
  </si>
  <si>
    <t>C3.1.3</t>
  </si>
  <si>
    <t>C3.1.4</t>
  </si>
  <si>
    <t>Define target segment and campaign objectives</t>
  </si>
  <si>
    <t>C3.1.5</t>
  </si>
  <si>
    <t>Develop campaign content and assets</t>
  </si>
  <si>
    <t>C3.1.6</t>
  </si>
  <si>
    <t>Execute campaign across channels</t>
  </si>
  <si>
    <t>C3.1.7</t>
  </si>
  <si>
    <t>Track campaign performance and conversion</t>
  </si>
  <si>
    <t>C3.1.8</t>
  </si>
  <si>
    <t>Refine channel mix based on results</t>
  </si>
  <si>
    <t>C3.2.1</t>
  </si>
  <si>
    <t>C3.2.2</t>
  </si>
  <si>
    <t>C3.2.3</t>
  </si>
  <si>
    <t>C3.2.4</t>
  </si>
  <si>
    <t>C3.2.5</t>
  </si>
  <si>
    <t>C3.2.6</t>
  </si>
  <si>
    <t>C3.2.7</t>
  </si>
  <si>
    <t>C3.2.8</t>
  </si>
  <si>
    <t>C3.3.1</t>
  </si>
  <si>
    <t>C3.3.2</t>
  </si>
  <si>
    <t>C3.3.3</t>
  </si>
  <si>
    <t>C3.3.4</t>
  </si>
  <si>
    <t>C3.3.5</t>
  </si>
  <si>
    <t>C3.3.6</t>
  </si>
  <si>
    <t>C3.3.7</t>
  </si>
  <si>
    <t>C3.3.8</t>
  </si>
  <si>
    <t>C3.3.9</t>
  </si>
  <si>
    <t>C3.4.1</t>
  </si>
  <si>
    <t>C3.4.2</t>
  </si>
  <si>
    <t>C3.4.3</t>
  </si>
  <si>
    <t>C3.4.4</t>
  </si>
  <si>
    <t>C3.4.5</t>
  </si>
  <si>
    <t>C3.4.6</t>
  </si>
  <si>
    <t>C3.4.7</t>
  </si>
  <si>
    <t>C3.4.8</t>
  </si>
  <si>
    <t>C3.4.9</t>
  </si>
  <si>
    <t>C3.5.1</t>
  </si>
  <si>
    <t>C3.5.2</t>
  </si>
  <si>
    <t>C3.5.3</t>
  </si>
  <si>
    <t>C3.5.4</t>
  </si>
  <si>
    <t>C3.5.5</t>
  </si>
  <si>
    <t>C3.5.6</t>
  </si>
  <si>
    <t>C3.5.7</t>
  </si>
  <si>
    <t>C3.5.8</t>
  </si>
  <si>
    <t>C3.5.9</t>
  </si>
  <si>
    <t>C3.6.1</t>
  </si>
  <si>
    <t>C3.6.2</t>
  </si>
  <si>
    <t>C3.6.3</t>
  </si>
  <si>
    <t>C3.6.4</t>
  </si>
  <si>
    <t>C3.6.5</t>
  </si>
  <si>
    <t>C3.6.6</t>
  </si>
  <si>
    <t>C3.6.7</t>
  </si>
  <si>
    <t>Escalate corrective actions to responsible owners</t>
  </si>
  <si>
    <t>C3.7.1</t>
  </si>
  <si>
    <t>C3.7.2</t>
  </si>
  <si>
    <t>C3.7.3</t>
  </si>
  <si>
    <t>C3.7.4</t>
  </si>
  <si>
    <t>C3.7.5</t>
  </si>
  <si>
    <t>C3.7.6</t>
  </si>
  <si>
    <t>C3.7.7</t>
  </si>
  <si>
    <t>Conduct decision-maker engagement sessions</t>
  </si>
  <si>
    <t>C3.7.8</t>
  </si>
  <si>
    <t>Capture advisory-generated opportunities</t>
  </si>
  <si>
    <t>C3.7.9</t>
  </si>
  <si>
    <t>Define advisory engagement scope</t>
  </si>
  <si>
    <t>C3.8.1</t>
  </si>
  <si>
    <t>C3.8.2</t>
  </si>
  <si>
    <t>C3.8.3</t>
  </si>
  <si>
    <t>C3.8.4</t>
  </si>
  <si>
    <t>Review strategy effectiveness</t>
  </si>
  <si>
    <t>Assess channel mix and reach</t>
  </si>
  <si>
    <t>Configure owned and paid channels</t>
  </si>
  <si>
    <t>Define channel operating standards</t>
  </si>
  <si>
    <t>Monitor channel performance</t>
  </si>
  <si>
    <t>Optimise channel spend and conversion</t>
  </si>
  <si>
    <t>Retire underperforming channels</t>
  </si>
  <si>
    <t>Define value propositions</t>
  </si>
  <si>
    <t>Develop segment-specific messaging</t>
  </si>
  <si>
    <t>Develop product positioning statements</t>
  </si>
  <si>
    <t>Validate messages with stakeholders</t>
  </si>
  <si>
    <t>Approve messaging architecture</t>
  </si>
  <si>
    <t>Maintain messaging library</t>
  </si>
  <si>
    <t>Manage digital presence and content</t>
  </si>
  <si>
    <t>Coordinate events and thought leadership</t>
  </si>
  <si>
    <t>Manage product brand visibility and digital presence</t>
  </si>
  <si>
    <t>Define product brand visibility calendar</t>
  </si>
  <si>
    <t>Monitor product brand reach and sentiment</t>
  </si>
  <si>
    <t>Refresh product brand assets</t>
  </si>
  <si>
    <t>Escalate product brand risks and issues</t>
  </si>
  <si>
    <t>Design product satisfaction measurement approach</t>
  </si>
  <si>
    <t>Analyse product satisfaction trends and drivers</t>
  </si>
  <si>
    <t>Collect product campaign satisfaction signals</t>
  </si>
  <si>
    <t>Identify decision-maker engagement opportunities</t>
  </si>
  <si>
    <t>Prepare executive advisory talking points</t>
  </si>
  <si>
    <t>Deliver advisory briefings and roadshows</t>
  </si>
  <si>
    <t>Capture opportunity signals from advisory engagements</t>
  </si>
  <si>
    <t>Convert advisory outcomes into pipeline actions</t>
  </si>
  <si>
    <t>Maintain business development engagement register</t>
  </si>
  <si>
    <t>Manage Service Life-cycle &amp; delivery channels</t>
  </si>
  <si>
    <t>C4.1.1</t>
  </si>
  <si>
    <t>Authorise service introduction</t>
  </si>
  <si>
    <t>C4.1.2</t>
  </si>
  <si>
    <t>Confirm readiness to launch service</t>
  </si>
  <si>
    <t>C4.1.3</t>
  </si>
  <si>
    <t>C4.1.4</t>
  </si>
  <si>
    <t>C4.1.5</t>
  </si>
  <si>
    <t>C4.1.6</t>
  </si>
  <si>
    <t>C4.1.7</t>
  </si>
  <si>
    <t>Activate launch checklist</t>
  </si>
  <si>
    <t>C4.1.8</t>
  </si>
  <si>
    <t>Notify dependent stakeholders</t>
  </si>
  <si>
    <t>C4.1.9</t>
  </si>
  <si>
    <t>Record launch approval</t>
  </si>
  <si>
    <t>C4.2.1</t>
  </si>
  <si>
    <t>Maintain service catalogue entry</t>
  </si>
  <si>
    <t>C4.2.2</t>
  </si>
  <si>
    <t>Control service catalogue metadata</t>
  </si>
  <si>
    <t>C4.2.3</t>
  </si>
  <si>
    <t>Approve catalogue changes</t>
  </si>
  <si>
    <t>C4.2.4</t>
  </si>
  <si>
    <t>Maintain service catalogue policy</t>
  </si>
  <si>
    <t>C4.2.5</t>
  </si>
  <si>
    <t>C4.2.6</t>
  </si>
  <si>
    <t>C4.2.7</t>
  </si>
  <si>
    <t>Approve catalogue updates</t>
  </si>
  <si>
    <t>C4.2.8</t>
  </si>
  <si>
    <t>Publish current service catalogue</t>
  </si>
  <si>
    <t>C4.2.9</t>
  </si>
  <si>
    <t>Audit catalogue accuracy and completeness</t>
  </si>
  <si>
    <t>C4.3.1</t>
  </si>
  <si>
    <t>Monitor lifecycle performance</t>
  </si>
  <si>
    <t>C4.3.2</t>
  </si>
  <si>
    <t>Analyse service adoption trends</t>
  </si>
  <si>
    <t>C4.3.3</t>
  </si>
  <si>
    <t>Escalate service performance issues</t>
  </si>
  <si>
    <t>C4.3.4</t>
  </si>
  <si>
    <t>Define lifecycle performance measures</t>
  </si>
  <si>
    <t>C4.3.5</t>
  </si>
  <si>
    <t>Monitor service usage and adoption</t>
  </si>
  <si>
    <t>C4.3.6</t>
  </si>
  <si>
    <t>Analyse performance trends and exceptions</t>
  </si>
  <si>
    <t>C4.3.7</t>
  </si>
  <si>
    <t>C4.3.8</t>
  </si>
  <si>
    <t>Escalate underperformance</t>
  </si>
  <si>
    <t>C4.3.9</t>
  </si>
  <si>
    <t>Approve corrective action plan</t>
  </si>
  <si>
    <t>C4.4.1</t>
  </si>
  <si>
    <t>Optimise service portfolio</t>
  </si>
  <si>
    <t>C4.4.2</t>
  </si>
  <si>
    <t>C4.4.3</t>
  </si>
  <si>
    <t>C4.4.4</t>
  </si>
  <si>
    <t>C4.4.5</t>
  </si>
  <si>
    <t>Analyse margin and cost-to-serve</t>
  </si>
  <si>
    <t>C4.4.6</t>
  </si>
  <si>
    <t>Review pricing and subsidy assumptions</t>
  </si>
  <si>
    <t>C4.4.7</t>
  </si>
  <si>
    <t>Identify profitability risks</t>
  </si>
  <si>
    <t>C4.4.8</t>
  </si>
  <si>
    <t>C4.4.9</t>
  </si>
  <si>
    <t>C4.5.1</t>
  </si>
  <si>
    <t>C4.5.2</t>
  </si>
  <si>
    <t>C4.5.3</t>
  </si>
  <si>
    <t>C4.5.4</t>
  </si>
  <si>
    <t>Capture service enhancement requests</t>
  </si>
  <si>
    <t>C4.5.5</t>
  </si>
  <si>
    <t>Assess enhancement business case</t>
  </si>
  <si>
    <t>C4.5.6</t>
  </si>
  <si>
    <t>Prioritise enhancement backlog</t>
  </si>
  <si>
    <t>C4.5.7</t>
  </si>
  <si>
    <t>Approve enhancement releases</t>
  </si>
  <si>
    <t>C4.5.8</t>
  </si>
  <si>
    <t>Track enhancement delivery status</t>
  </si>
  <si>
    <t>C4.5.9</t>
  </si>
  <si>
    <t>Close and communicate enhancement outcomes</t>
  </si>
  <si>
    <t>C4.6.1</t>
  </si>
  <si>
    <t>Define expected benefits and measures</t>
  </si>
  <si>
    <t>C4.6.2</t>
  </si>
  <si>
    <t>Baseline benefit assumptions</t>
  </si>
  <si>
    <t>C4.6.3</t>
  </si>
  <si>
    <t>Track realised benefits over time</t>
  </si>
  <si>
    <t>C4.6.4</t>
  </si>
  <si>
    <t>Validate benefits against evidence</t>
  </si>
  <si>
    <t>C4.6.5</t>
  </si>
  <si>
    <t>Escalate benefit shortfalls</t>
  </si>
  <si>
    <t>C4.6.6</t>
  </si>
  <si>
    <t>Refresh benefit realisation plan</t>
  </si>
  <si>
    <t>C4.7.1</t>
  </si>
  <si>
    <t>Assess portfolio composition</t>
  </si>
  <si>
    <t>C4.7.2</t>
  </si>
  <si>
    <t>Compare portfolio performance by category</t>
  </si>
  <si>
    <t>C4.7.3</t>
  </si>
  <si>
    <t>Identify duplication and overlap</t>
  </si>
  <si>
    <t>C4.7.4</t>
  </si>
  <si>
    <t>Recommend portfolio rationalisation</t>
  </si>
  <si>
    <t>C4.7.5</t>
  </si>
  <si>
    <t>Approve portfolio optimisation actions</t>
  </si>
  <si>
    <t>C4.7.6</t>
  </si>
  <si>
    <t>Monitor optimisation outcomes</t>
  </si>
  <si>
    <t>C4.8.1</t>
  </si>
  <si>
    <t>Identify retirement candidates</t>
  </si>
  <si>
    <t>C4.8.2</t>
  </si>
  <si>
    <t>Assess retirement impacts and dependencies</t>
  </si>
  <si>
    <t>C4.8.3</t>
  </si>
  <si>
    <t>Approve decommissioning decision</t>
  </si>
  <si>
    <t>C4.8.4</t>
  </si>
  <si>
    <t>Execute retirement communication plan</t>
  </si>
  <si>
    <t>C4.8.5</t>
  </si>
  <si>
    <t>Retire catalogue and technical assets</t>
  </si>
  <si>
    <t>C4.8.6</t>
  </si>
  <si>
    <t>Verify decommissioning completion</t>
  </si>
  <si>
    <t xml:space="preserve">Approve launch </t>
  </si>
  <si>
    <t>Monitor service financial performance</t>
  </si>
  <si>
    <t>Recommend financial or service / product adjustments</t>
  </si>
  <si>
    <t>C5.1.1</t>
  </si>
  <si>
    <t>Define target account universe</t>
  </si>
  <si>
    <t>C5.1.2</t>
  </si>
  <si>
    <t>Qualify prospective customers</t>
  </si>
  <si>
    <t>C5.1.3</t>
  </si>
  <si>
    <t>Map customer needs and stakeholders</t>
  </si>
  <si>
    <t>C5.1.4</t>
  </si>
  <si>
    <t>Create prospect engagement plan</t>
  </si>
  <si>
    <t>C5.1.5</t>
  </si>
  <si>
    <t>Assign opportunity ownership</t>
  </si>
  <si>
    <t>C5.1.6</t>
  </si>
  <si>
    <t>Record prospecting outcomes</t>
  </si>
  <si>
    <t>C5.2.1</t>
  </si>
  <si>
    <t>Assess sales channel options</t>
  </si>
  <si>
    <t>C5.2.2</t>
  </si>
  <si>
    <t>C5.2.3</t>
  </si>
  <si>
    <t>Set channel rules and controls</t>
  </si>
  <si>
    <t>C5.2.4</t>
  </si>
  <si>
    <t>C5.2.5</t>
  </si>
  <si>
    <t>Optimise coverage and conversion</t>
  </si>
  <si>
    <t>C5.2.6</t>
  </si>
  <si>
    <t>Retire inefficient channels</t>
  </si>
  <si>
    <t>C5.3.1</t>
  </si>
  <si>
    <t>Capture opportunities into CRM</t>
  </si>
  <si>
    <t>C5.3.2</t>
  </si>
  <si>
    <t>Qualify opportunity stage and probability</t>
  </si>
  <si>
    <t>C5.3.3</t>
  </si>
  <si>
    <t>Review pipeline progression</t>
  </si>
  <si>
    <t>C5.3.4</t>
  </si>
  <si>
    <t>C5.3.5</t>
  </si>
  <si>
    <t>Refresh pipeline forecast</t>
  </si>
  <si>
    <t>C5.3.6</t>
  </si>
  <si>
    <t>Report pipeline health</t>
  </si>
  <si>
    <t>C5.4.1</t>
  </si>
  <si>
    <t>Shape client solution proposition</t>
  </si>
  <si>
    <t>C5.4.2</t>
  </si>
  <si>
    <t>Prepare proposal and commercial pack</t>
  </si>
  <si>
    <t>C5.4.3</t>
  </si>
  <si>
    <t>Present and demonstrate solution</t>
  </si>
  <si>
    <t>C5.4.4</t>
  </si>
  <si>
    <t>Negotiate commercial and delivery terms</t>
  </si>
  <si>
    <t>C5.4.5</t>
  </si>
  <si>
    <t>C5.4.6</t>
  </si>
  <si>
    <t>Sell productised services (DPI, cloud, cyber, integration, analytics, etc.)– Sell catalogue-based services and subscriptions</t>
  </si>
  <si>
    <t>C5.5.1</t>
  </si>
  <si>
    <t>Position catalogue-based service offers</t>
  </si>
  <si>
    <t>C5.5.2</t>
  </si>
  <si>
    <t>Prepare standard offer bundles</t>
  </si>
  <si>
    <t>C5.5.3</t>
  </si>
  <si>
    <t>Configure subscription or service package</t>
  </si>
  <si>
    <t>C5.5.4</t>
  </si>
  <si>
    <t>Negotiate standard commercial terms</t>
  </si>
  <si>
    <t>C5.5.5</t>
  </si>
  <si>
    <t>Close productised service orders</t>
  </si>
  <si>
    <t>C5.5.6</t>
  </si>
  <si>
    <t>Activate sold service package</t>
  </si>
  <si>
    <t>C5.6.1</t>
  </si>
  <si>
    <t>Position marketplace brokerage offer</t>
  </si>
  <si>
    <t>C5.6.2</t>
  </si>
  <si>
    <t>Identify partner-led fulfilment opportunities</t>
  </si>
  <si>
    <t>C5.6.3</t>
  </si>
  <si>
    <t>Package marketplace facilitation scope</t>
  </si>
  <si>
    <t>C5.6.4</t>
  </si>
  <si>
    <t>Negotiate brokerage terms</t>
  </si>
  <si>
    <t>C5.6.5</t>
  </si>
  <si>
    <t>Secure customer approval to broker</t>
  </si>
  <si>
    <t>C5.6.6</t>
  </si>
  <si>
    <t>Trigger marketplace fulfilment start</t>
  </si>
  <si>
    <t>C5.7.1</t>
  </si>
  <si>
    <t>Prepare negotiation mandate</t>
  </si>
  <si>
    <t>C5.7.2</t>
  </si>
  <si>
    <t>Define pricing and SLA positions</t>
  </si>
  <si>
    <t>C5.7.3</t>
  </si>
  <si>
    <t>Negotiate risk, service and payment terms</t>
  </si>
  <si>
    <t>C5.7.4</t>
  </si>
  <si>
    <t>Resolve legal and compliance issues</t>
  </si>
  <si>
    <t>C5.7.5</t>
  </si>
  <si>
    <t>Approve negotiated terms</t>
  </si>
  <si>
    <t>C5.7.6</t>
  </si>
  <si>
    <t>C5.8.1</t>
  </si>
  <si>
    <t>Consolidate opportunity forecast inputs</t>
  </si>
  <si>
    <t>C5.8.2</t>
  </si>
  <si>
    <t>Model revenue scenarios</t>
  </si>
  <si>
    <t>C5.8.3</t>
  </si>
  <si>
    <t>Review forecast assumptions</t>
  </si>
  <si>
    <t>C5.8.4</t>
  </si>
  <si>
    <t>Adjust forecast by risk and timing</t>
  </si>
  <si>
    <t>C5.8.5</t>
  </si>
  <si>
    <t>Approve forecast baseline</t>
  </si>
  <si>
    <t>C5.8.6</t>
  </si>
  <si>
    <t>Report forecast variances</t>
  </si>
  <si>
    <t>C5.9.1</t>
  </si>
  <si>
    <t>Collect commercial satisfaction feedback</t>
  </si>
  <si>
    <t>C5.9.2</t>
  </si>
  <si>
    <t>Analyse satisfaction drivers</t>
  </si>
  <si>
    <t>C5.9.3</t>
  </si>
  <si>
    <t>Identify commercial service gaps</t>
  </si>
  <si>
    <t>C5.9.4</t>
  </si>
  <si>
    <t>Escalate commercial risks</t>
  </si>
  <si>
    <t>C5.9.5</t>
  </si>
  <si>
    <t>Recommend commercial improvements</t>
  </si>
  <si>
    <t>C5.9.6</t>
  </si>
  <si>
    <t>Track follow-up actions</t>
  </si>
  <si>
    <t>C5.10.1</t>
  </si>
  <si>
    <t>C5.10.2</t>
  </si>
  <si>
    <t>C5.10.3</t>
  </si>
  <si>
    <t>C5.10.4</t>
  </si>
  <si>
    <t>C5.10.5</t>
  </si>
  <si>
    <t>C5.10.6</t>
  </si>
  <si>
    <t>C5.1.7</t>
  </si>
  <si>
    <t>C5 Sell and Contract Digital Solutions and Services (Create demand) and sales channels</t>
  </si>
  <si>
    <t>C5.3.7</t>
  </si>
  <si>
    <t>yes</t>
  </si>
  <si>
    <t>Document final commercial agreement</t>
  </si>
  <si>
    <t>C5.7.7</t>
  </si>
  <si>
    <t>Approve and sign agreement</t>
  </si>
  <si>
    <t>Manage Digital Marketplace (Procure and Broker Customer-Facing Digital Solutions) 
SCM and procurement outside of digital marketplace is missing?</t>
  </si>
  <si>
    <t>C6.1.1</t>
  </si>
  <si>
    <t>Confirm customer procurement need</t>
  </si>
  <si>
    <t>C6.1.2</t>
  </si>
  <si>
    <t>Select marketplace sourcing route</t>
  </si>
  <si>
    <t>C6.1.3</t>
  </si>
  <si>
    <t>Issue digital procurement request</t>
  </si>
  <si>
    <t>C6.1.4</t>
  </si>
  <si>
    <t>Evaluate marketplace offers</t>
  </si>
  <si>
    <t>C6.1.5</t>
  </si>
  <si>
    <t>Recommend award decision</t>
  </si>
  <si>
    <t>C6.1.6</t>
  </si>
  <si>
    <t>Complete customer procurement record</t>
  </si>
  <si>
    <t>C6.2.1</t>
  </si>
  <si>
    <t>Define bespoke sourcing requirements</t>
  </si>
  <si>
    <t>C6.2.2</t>
  </si>
  <si>
    <t>Develop procurement strategy</t>
  </si>
  <si>
    <t>C6.2.3</t>
  </si>
  <si>
    <t>Issue specialised sourcing package</t>
  </si>
  <si>
    <t>C6.2.4</t>
  </si>
  <si>
    <t>Evaluate bids and solutions</t>
  </si>
  <si>
    <t>C6.2.5</t>
  </si>
  <si>
    <t>Recommend supplier selection</t>
  </si>
  <si>
    <t>C6.2.6</t>
  </si>
  <si>
    <t>Document bespoke procurement outcome</t>
  </si>
  <si>
    <t>C6.3.1</t>
  </si>
  <si>
    <t>Define platform enhancement sourcing scope</t>
  </si>
  <si>
    <t>C6.3.2</t>
  </si>
  <si>
    <t>Package enhancement procurement requirement</t>
  </si>
  <si>
    <t>C6.3.3</t>
  </si>
  <si>
    <t>Run enhancement supplier selection</t>
  </si>
  <si>
    <t>C6.3.4</t>
  </si>
  <si>
    <t>Approve enhancement award</t>
  </si>
  <si>
    <t>C6.3.5</t>
  </si>
  <si>
    <t>Track enhancement procurement milestones</t>
  </si>
  <si>
    <t>C6.3.6</t>
  </si>
  <si>
    <t>Close procurement action</t>
  </si>
  <si>
    <t>C6.4.1</t>
  </si>
  <si>
    <t>Prepare customer procurement contract pack</t>
  </si>
  <si>
    <t>C6.4.2</t>
  </si>
  <si>
    <t>Validate compliance requirements</t>
  </si>
  <si>
    <t>C6.4.3</t>
  </si>
  <si>
    <t>Negotiate procurement contract terms</t>
  </si>
  <si>
    <t>C6.4.4</t>
  </si>
  <si>
    <t>Approve contract award documentation</t>
  </si>
  <si>
    <t>C6.4.5</t>
  </si>
  <si>
    <t>Maintain customer contract records</t>
  </si>
  <si>
    <t>C6.4.6</t>
  </si>
  <si>
    <t>Monitor compliance obligations</t>
  </si>
  <si>
    <t>C6.5.1</t>
  </si>
  <si>
    <t>Define provider registration criteria</t>
  </si>
  <si>
    <t>C6.5.2</t>
  </si>
  <si>
    <t>Receive provider applications</t>
  </si>
  <si>
    <t>C6.5.3</t>
  </si>
  <si>
    <t>Validate provider information</t>
  </si>
  <si>
    <t>C6.5.4</t>
  </si>
  <si>
    <t>Register approved providers</t>
  </si>
  <si>
    <t>C6.5.5</t>
  </si>
  <si>
    <t>Publish provider directory status</t>
  </si>
  <si>
    <t>C6.5.6</t>
  </si>
  <si>
    <t>Maintain provider registration records</t>
  </si>
  <si>
    <t>C6.6.1</t>
  </si>
  <si>
    <t>Define provider accreditation standards</t>
  </si>
  <si>
    <t>C6.6.2</t>
  </si>
  <si>
    <t>Assess provider capability evidence</t>
  </si>
  <si>
    <t>C6.6.3</t>
  </si>
  <si>
    <t>Perform assurance reviews</t>
  </si>
  <si>
    <t>C6.6.4</t>
  </si>
  <si>
    <t>Approve or reject accreditation</t>
  </si>
  <si>
    <t>C6.6.5</t>
  </si>
  <si>
    <t>Schedule periodic re-accreditation</t>
  </si>
  <si>
    <t>C6.6.6</t>
  </si>
  <si>
    <t>Record provider quality status</t>
  </si>
  <si>
    <t>Manage marketplace digital service catalogue</t>
  </si>
  <si>
    <t>C6.7.1</t>
  </si>
  <si>
    <t>Create marketplace catalogue taxonomy</t>
  </si>
  <si>
    <t>C6.7.2</t>
  </si>
  <si>
    <t>List provider services in catalogue</t>
  </si>
  <si>
    <t>C6.7.3</t>
  </si>
  <si>
    <t>Maintain service descriptions and pricing</t>
  </si>
  <si>
    <t>C6.7.4</t>
  </si>
  <si>
    <t>C6.7.5</t>
  </si>
  <si>
    <t>Publish marketplace catalogue updates</t>
  </si>
  <si>
    <t>C6.7.6</t>
  </si>
  <si>
    <t>Audit catalogue completeness</t>
  </si>
  <si>
    <t>C6.8.1</t>
  </si>
  <si>
    <t>Capture customer demand profile</t>
  </si>
  <si>
    <t>C6.8.2</t>
  </si>
  <si>
    <t>Match demand to provider options</t>
  </si>
  <si>
    <t>C6.8.3</t>
  </si>
  <si>
    <t>Broker customer-provider engagements</t>
  </si>
  <si>
    <t>C6.8.4</t>
  </si>
  <si>
    <t>Resolve matching conflicts</t>
  </si>
  <si>
    <t>C6.8.5</t>
  </si>
  <si>
    <t>Confirm preferred provider route</t>
  </si>
  <si>
    <t>C6.8.6</t>
  </si>
  <si>
    <t>Record brokerage outcome</t>
  </si>
  <si>
    <t>C6.9.1</t>
  </si>
  <si>
    <t>Define marketplace pricing rules</t>
  </si>
  <si>
    <t>C6.9.2</t>
  </si>
  <si>
    <t>Define settlement and revenue-share logic</t>
  </si>
  <si>
    <t>C6.9.3</t>
  </si>
  <si>
    <t>Approve marketplace charge structures</t>
  </si>
  <si>
    <t>C6.9.4</t>
  </si>
  <si>
    <t>Monitor revenue flow execution</t>
  </si>
  <si>
    <t>C6.9.5</t>
  </si>
  <si>
    <t>Resolve pricing or settlement exceptions</t>
  </si>
  <si>
    <t>C6.9.6</t>
  </si>
  <si>
    <t>Report marketplace economics</t>
  </si>
  <si>
    <t>C6.10.1</t>
  </si>
  <si>
    <t>Prepare provider transition plan</t>
  </si>
  <si>
    <t>C6.10.2</t>
  </si>
  <si>
    <t>Coordinate onboarding to service environment</t>
  </si>
  <si>
    <t>C6.10.3</t>
  </si>
  <si>
    <t>Confirm activation prerequisites</t>
  </si>
  <si>
    <t>C6.10.4</t>
  </si>
  <si>
    <t>Activate provider-led service</t>
  </si>
  <si>
    <t>C6.10.5</t>
  </si>
  <si>
    <t>Track early-life support issues</t>
  </si>
  <si>
    <t>C6.10.6</t>
  </si>
  <si>
    <t>Close transition handover</t>
  </si>
  <si>
    <t>C6.11.1</t>
  </si>
  <si>
    <t>Define provider performance measures</t>
  </si>
  <si>
    <t>C6.11.2</t>
  </si>
  <si>
    <t>Monitor provider SLA outcomes</t>
  </si>
  <si>
    <t>C6.11.3</t>
  </si>
  <si>
    <t>Analyse marketplace usage and conversion</t>
  </si>
  <si>
    <t>C6.11.4</t>
  </si>
  <si>
    <t>Escalate provider underperformance</t>
  </si>
  <si>
    <t>C6.11.5</t>
  </si>
  <si>
    <t>Recommend marketplace improvements</t>
  </si>
  <si>
    <t>C6.11.6</t>
  </si>
  <si>
    <t>Report marketplace analytics</t>
  </si>
  <si>
    <t>Manage Public Services (Sovereign Data and Public Infrastructure)</t>
  </si>
  <si>
    <t>C7.1.1</t>
  </si>
  <si>
    <t>Operate identity service platform</t>
  </si>
  <si>
    <t>C7.1.2</t>
  </si>
  <si>
    <t>Provision and manage identity credentials</t>
  </si>
  <si>
    <t>C7.1.3</t>
  </si>
  <si>
    <t>Monitor authentication service availability</t>
  </si>
  <si>
    <t>C7.1.4</t>
  </si>
  <si>
    <t>Manage identity security events</t>
  </si>
  <si>
    <t>C7.1.5</t>
  </si>
  <si>
    <t>Support identity service changes</t>
  </si>
  <si>
    <t>C7.1.6</t>
  </si>
  <si>
    <t>Report identity service performance</t>
  </si>
  <si>
    <t>Operate data exchange services</t>
  </si>
  <si>
    <t>C7.2.1</t>
  </si>
  <si>
    <t>Operate data exchange platform</t>
  </si>
  <si>
    <t>C7.2.2</t>
  </si>
  <si>
    <t>Manage API and message routing</t>
  </si>
  <si>
    <t>C7.2.3</t>
  </si>
  <si>
    <t>Monitor data exchange performance</t>
  </si>
  <si>
    <t>C7.2.4</t>
  </si>
  <si>
    <t>Resolve interoperability incidents</t>
  </si>
  <si>
    <t>C7.2.5</t>
  </si>
  <si>
    <t>Protect data exchange integrity</t>
  </si>
  <si>
    <t>C7.2.6</t>
  </si>
  <si>
    <t>Report data exchange service health</t>
  </si>
  <si>
    <t>C7.3.1</t>
  </si>
  <si>
    <t>Operate payment service platform</t>
  </si>
  <si>
    <t>C7.3.2</t>
  </si>
  <si>
    <t>Manage payment routing and settlement operations</t>
  </si>
  <si>
    <t>C7.3.3</t>
  </si>
  <si>
    <t>Monitor payment service availability</t>
  </si>
  <si>
    <t>C7.3.4</t>
  </si>
  <si>
    <t>Resolve payment exceptions</t>
  </si>
  <si>
    <t>C7.3.5</t>
  </si>
  <si>
    <t>Protect payment service security</t>
  </si>
  <si>
    <t>C7.3.6</t>
  </si>
  <si>
    <t>Report payment service performance</t>
  </si>
  <si>
    <t>Operate citizen digital channels</t>
  </si>
  <si>
    <t>C7.4.1</t>
  </si>
  <si>
    <t>Operate citizen channel platforms</t>
  </si>
  <si>
    <t>C7.4.2</t>
  </si>
  <si>
    <t>Manage content and service availability</t>
  </si>
  <si>
    <t>C7.4.3</t>
  </si>
  <si>
    <t>Monitor channel performance and usage</t>
  </si>
  <si>
    <t>C7.4.4</t>
  </si>
  <si>
    <t>Resolve channel incidents</t>
  </si>
  <si>
    <t>C7.4.5</t>
  </si>
  <si>
    <t>Optimise user experience across channels</t>
  </si>
  <si>
    <t>C7.4.6</t>
  </si>
  <si>
    <t>Report channel adoption and reliability</t>
  </si>
  <si>
    <t>C7.5.1</t>
  </si>
  <si>
    <t>Maintain DPI technology roadmap</t>
  </si>
  <si>
    <t>C7.5.2</t>
  </si>
  <si>
    <t>Assess upgrade requirements</t>
  </si>
  <si>
    <t>C7.5.3</t>
  </si>
  <si>
    <t>Plan release and upgrade windows</t>
  </si>
  <si>
    <t>C7.5.4</t>
  </si>
  <si>
    <t>Approve roadmap changes</t>
  </si>
  <si>
    <t>C7.5.5</t>
  </si>
  <si>
    <t>Execute controlled upgrades</t>
  </si>
  <si>
    <t>C7.5.6</t>
  </si>
  <si>
    <t>Confirm post-upgrade stability</t>
  </si>
  <si>
    <t>C7.6.1</t>
  </si>
  <si>
    <t>Define DPI data quality rules</t>
  </si>
  <si>
    <t>C7.6.2</t>
  </si>
  <si>
    <t>Monitor data quality metrics</t>
  </si>
  <si>
    <t>C7.6.3</t>
  </si>
  <si>
    <t>Resolve data integrity issues</t>
  </si>
  <si>
    <t>C7.6.4</t>
  </si>
  <si>
    <t>Perform data reconciliation</t>
  </si>
  <si>
    <t>C7.6.5</t>
  </si>
  <si>
    <t>Approve corrective actions</t>
  </si>
  <si>
    <t>C7.6.6</t>
  </si>
  <si>
    <t>Report data quality status</t>
  </si>
  <si>
    <t>C7.7.1</t>
  </si>
  <si>
    <t>Operate hosting platforms</t>
  </si>
  <si>
    <t>C7.7.2</t>
  </si>
  <si>
    <t>Provision infrastructure services</t>
  </si>
  <si>
    <t>C7.7.3</t>
  </si>
  <si>
    <t>Monitor infrastructure availability</t>
  </si>
  <si>
    <t>C7.7.4</t>
  </si>
  <si>
    <t>Manage infrastructure capacity</t>
  </si>
  <si>
    <t>C7.7.5</t>
  </si>
  <si>
    <t>Manage backup operations</t>
  </si>
  <si>
    <t>C7.7.6</t>
  </si>
  <si>
    <t>Report infrastructure service performance</t>
  </si>
  <si>
    <t>C7.8.1</t>
  </si>
  <si>
    <t>Define availability targets</t>
  </si>
  <si>
    <t>C7.8.2</t>
  </si>
  <si>
    <t>Monitor availability performance</t>
  </si>
  <si>
    <t>C7.8.3</t>
  </si>
  <si>
    <t>Investigate availability incidents</t>
  </si>
  <si>
    <t>C7.8.4</t>
  </si>
  <si>
    <t>Coordinate recovery actions</t>
  </si>
  <si>
    <t>C7.8.5</t>
  </si>
  <si>
    <t>Approve availability improvement actions</t>
  </si>
  <si>
    <t>C7.8.6</t>
  </si>
  <si>
    <t>Report availability compliance</t>
  </si>
  <si>
    <t>Recover and restore client infrastructure services environments</t>
  </si>
  <si>
    <t>C7.9.1</t>
  </si>
  <si>
    <t>Define recovery procedures</t>
  </si>
  <si>
    <t>C7.9.2</t>
  </si>
  <si>
    <t>Maintain recovery readiness</t>
  </si>
  <si>
    <t>C7.9.3</t>
  </si>
  <si>
    <t>Execute restore activities</t>
  </si>
  <si>
    <t>C7.9.4</t>
  </si>
  <si>
    <t>Validate recovery outcomes</t>
  </si>
  <si>
    <t>C7.9.5</t>
  </si>
  <si>
    <t>Close recovery event records</t>
  </si>
  <si>
    <t>C7.9.6</t>
  </si>
  <si>
    <t>Review recovery lessons learned</t>
  </si>
  <si>
    <t>C7.10.1</t>
  </si>
  <si>
    <t>Monitor server availability</t>
  </si>
  <si>
    <t>C7.10.2</t>
  </si>
  <si>
    <t>Investigate server outages</t>
  </si>
  <si>
    <t>C7.10.3</t>
  </si>
  <si>
    <t>Coordinate server recovery</t>
  </si>
  <si>
    <t>C7.10.4</t>
  </si>
  <si>
    <t>Implement server resilience actions</t>
  </si>
  <si>
    <t>C7.10.5</t>
  </si>
  <si>
    <t>Track availability compliance</t>
  </si>
  <si>
    <t>C7.10.6</t>
  </si>
  <si>
    <t>Report server availability trends</t>
  </si>
  <si>
    <t>Deliver Products and Services</t>
  </si>
  <si>
    <t>C8.1.1</t>
  </si>
  <si>
    <t>C8.1.2</t>
  </si>
  <si>
    <t>C8.1.3</t>
  </si>
  <si>
    <t>C8.1.4</t>
  </si>
  <si>
    <t>C8.1.5</t>
  </si>
  <si>
    <t>C8.1.6</t>
  </si>
  <si>
    <t>C8.2.1</t>
  </si>
  <si>
    <t>Conduct implementation scoping workshops</t>
  </si>
  <si>
    <t>C8.2.2</t>
  </si>
  <si>
    <t>Develop implementation charter</t>
  </si>
  <si>
    <t>C8.2.3</t>
  </si>
  <si>
    <t>Assign delivery team</t>
  </si>
  <si>
    <t>C8.2.4</t>
  </si>
  <si>
    <t>C8.2.5</t>
  </si>
  <si>
    <t>C8.2.6</t>
  </si>
  <si>
    <t>C8.3.1</t>
  </si>
  <si>
    <t>Configure solution for client context</t>
  </si>
  <si>
    <t>C8.3.2</t>
  </si>
  <si>
    <t>Integrate with client systems</t>
  </si>
  <si>
    <t>C8.3.3</t>
  </si>
  <si>
    <t>Conduct client-specific UAT</t>
  </si>
  <si>
    <t>C8.3.4</t>
  </si>
  <si>
    <t>C8.3.5</t>
  </si>
  <si>
    <t>C8.3.6</t>
  </si>
  <si>
    <t>Approve integration readiness</t>
  </si>
  <si>
    <t>C8.4.1</t>
  </si>
  <si>
    <t>Execute data migration</t>
  </si>
  <si>
    <t>C8.4.2</t>
  </si>
  <si>
    <t>Conduct cutover planning</t>
  </si>
  <si>
    <t>C8.4.3</t>
  </si>
  <si>
    <t>Provide hypercare</t>
  </si>
  <si>
    <t>C8.4.4</t>
  </si>
  <si>
    <t>Complete operational handover</t>
  </si>
  <si>
    <t>C8.4.5</t>
  </si>
  <si>
    <t>Confirm service acceptance</t>
  </si>
  <si>
    <t>C8.4.6</t>
  </si>
  <si>
    <t>Close deployment phase</t>
  </si>
  <si>
    <t>C8.5.1</t>
  </si>
  <si>
    <t>Monitor service availability</t>
  </si>
  <si>
    <t>C8.5.2</t>
  </si>
  <si>
    <t>Manage service continuity</t>
  </si>
  <si>
    <t>C8.5.3</t>
  </si>
  <si>
    <t>Manage capacity</t>
  </si>
  <si>
    <t>C8.5.4</t>
  </si>
  <si>
    <t>Manage service requests</t>
  </si>
  <si>
    <t>C8.5.5</t>
  </si>
  <si>
    <t>Manage recurring service issues</t>
  </si>
  <si>
    <t>C8.5.6</t>
  </si>
  <si>
    <t>Review steady-state service performance</t>
  </si>
  <si>
    <t>C8.6.1</t>
  </si>
  <si>
    <t>Manage incident process</t>
  </si>
  <si>
    <t>C8.6.2</t>
  </si>
  <si>
    <t>Manage problem process</t>
  </si>
  <si>
    <t>C8.6.3</t>
  </si>
  <si>
    <t>Manage change process</t>
  </si>
  <si>
    <t>C8.6.4</t>
  </si>
  <si>
    <t>C8.6.5</t>
  </si>
  <si>
    <t>C8.6.6</t>
  </si>
  <si>
    <t>C8.7.1</t>
  </si>
  <si>
    <t>Monitor SOC operations</t>
  </si>
  <si>
    <t>C8.7.2</t>
  </si>
  <si>
    <t>Manage threat response</t>
  </si>
  <si>
    <t>C8.7.3</t>
  </si>
  <si>
    <t>Escalate security incidents</t>
  </si>
  <si>
    <t>C8.7.4</t>
  </si>
  <si>
    <t>Manage vulnerability remediation</t>
  </si>
  <si>
    <t>C8.7.5</t>
  </si>
  <si>
    <t>Perform security compliance monitoring</t>
  </si>
  <si>
    <t>C8.7.6</t>
  </si>
  <si>
    <t>Report cyber service performance</t>
  </si>
  <si>
    <t>C8.8.1</t>
  </si>
  <si>
    <t>Monitor vendor SLA performance</t>
  </si>
  <si>
    <t>C8.8.2</t>
  </si>
  <si>
    <t>Enforce operational contract terms</t>
  </si>
  <si>
    <t>C8.8.3</t>
  </si>
  <si>
    <t>Coordinate vendor remediation</t>
  </si>
  <si>
    <t>C8.8.4</t>
  </si>
  <si>
    <t>Review supplier service reports</t>
  </si>
  <si>
    <t>C8.8.5</t>
  </si>
  <si>
    <t>Escalate persistent underperformance</t>
  </si>
  <si>
    <t>C8.8.6</t>
  </si>
  <si>
    <t>Approve supplier improvement plans</t>
  </si>
  <si>
    <t>C8.9</t>
  </si>
  <si>
    <t>Integrate consulting, delivery and supply capabilities</t>
  </si>
  <si>
    <t>Coordinate regional accountability</t>
  </si>
  <si>
    <t>C8.9.3</t>
  </si>
  <si>
    <t>Plan pod capacity and workload</t>
  </si>
  <si>
    <t>C8.9.4</t>
  </si>
  <si>
    <t>Resolve cross-functional hand-off issues</t>
  </si>
  <si>
    <t>C8.9.5</t>
  </si>
  <si>
    <t>Review regional service outcomes</t>
  </si>
  <si>
    <t>C8.9.6</t>
  </si>
  <si>
    <t>Report pod performance by region</t>
  </si>
  <si>
    <t>C8.10.1</t>
  </si>
  <si>
    <t>Produce SLA dashboards</t>
  </si>
  <si>
    <t>C8.10.2</t>
  </si>
  <si>
    <t>Produce performance analytics</t>
  </si>
  <si>
    <t>C8.10.3</t>
  </si>
  <si>
    <t>Escalate operational risk indicators</t>
  </si>
  <si>
    <t>C8.10.4</t>
  </si>
  <si>
    <t>C8.10.5</t>
  </si>
  <si>
    <t>C8.10.6</t>
  </si>
  <si>
    <t>C8.11.1</t>
  </si>
  <si>
    <t>Assess service channel performance</t>
  </si>
  <si>
    <t>C8.11.2</t>
  </si>
  <si>
    <t>Optimise channel economics and cost-to-serve</t>
  </si>
  <si>
    <t>C8.11.3</t>
  </si>
  <si>
    <t>Adjust routing across delivery channels</t>
  </si>
  <si>
    <t>C8.11.4</t>
  </si>
  <si>
    <t>Retire inefficient channel steps</t>
  </si>
  <si>
    <t>C8.11.5</t>
  </si>
  <si>
    <t>Approve channel improvement actions</t>
  </si>
  <si>
    <t>C8.11.6</t>
  </si>
  <si>
    <t>Track channel optimisation results</t>
  </si>
  <si>
    <t>C8.12.1</t>
  </si>
  <si>
    <t>Assess technology change requests</t>
  </si>
  <si>
    <t>C8.12.2</t>
  </si>
  <si>
    <t>Review change impact and risk</t>
  </si>
  <si>
    <t>C8.12.3</t>
  </si>
  <si>
    <t>Approve scheduled changes</t>
  </si>
  <si>
    <t>C8.12.4</t>
  </si>
  <si>
    <t>Coordinate change implementation</t>
  </si>
  <si>
    <t>C8.12.5</t>
  </si>
  <si>
    <t>Validate post-change stability</t>
  </si>
  <si>
    <t>C8.12.6</t>
  </si>
  <si>
    <t>Close change records</t>
  </si>
  <si>
    <t>Manage Commercial Transactions</t>
  </si>
  <si>
    <t>C9.1.1</t>
  </si>
  <si>
    <t>Map revenue collection channels</t>
  </si>
  <si>
    <t>C9.1.2</t>
  </si>
  <si>
    <t>Optimise collection channel design</t>
  </si>
  <si>
    <t>C9.1.3</t>
  </si>
  <si>
    <t>Monitor channel conversion and cost</t>
  </si>
  <si>
    <t>C9.1.4</t>
  </si>
  <si>
    <t>Resolve collection channel issues</t>
  </si>
  <si>
    <t>C9.1.5</t>
  </si>
  <si>
    <t>C9.1.6</t>
  </si>
  <si>
    <t>Report channel effectiveness</t>
  </si>
  <si>
    <t>C9.2.1</t>
  </si>
  <si>
    <t>C9.2.2</t>
  </si>
  <si>
    <t>C9.2.3</t>
  </si>
  <si>
    <t>C9.2.4</t>
  </si>
  <si>
    <t>C9.2.5</t>
  </si>
  <si>
    <t>C9.2.6</t>
  </si>
  <si>
    <t>C9.3.1</t>
  </si>
  <si>
    <t>Capture marketplace transaction data</t>
  </si>
  <si>
    <t>C9.3.2</t>
  </si>
  <si>
    <t>Calculate marketplace fees and settlements</t>
  </si>
  <si>
    <t>C9.3.3</t>
  </si>
  <si>
    <t>Issue marketplace invoices</t>
  </si>
  <si>
    <t>C9.3.4</t>
  </si>
  <si>
    <t>Validate provider and customer charges</t>
  </si>
  <si>
    <t>C9.3.5</t>
  </si>
  <si>
    <t>Resolve transaction billing disputes</t>
  </si>
  <si>
    <t>C9.3.6</t>
  </si>
  <si>
    <t>Close billing cycle</t>
  </si>
  <si>
    <t>C9.4.1</t>
  </si>
  <si>
    <t>Validate revenue completeness</t>
  </si>
  <si>
    <t>C9.4.2</t>
  </si>
  <si>
    <t>Perform billing-to-cash reconciliations</t>
  </si>
  <si>
    <t>C9.4.3</t>
  </si>
  <si>
    <t>Monitor aged debt and collection status</t>
  </si>
  <si>
    <t>C9.4.4</t>
  </si>
  <si>
    <t>Escalate collection risks</t>
  </si>
  <si>
    <t>C9.4.5</t>
  </si>
  <si>
    <t>C9.4.6</t>
  </si>
  <si>
    <t>Report revenue assurance findings</t>
  </si>
  <si>
    <t>C9.5.1</t>
  </si>
  <si>
    <t>Communicate billing schedules and policies</t>
  </si>
  <si>
    <t>C9.5.2</t>
  </si>
  <si>
    <t>Handle billing enquiries</t>
  </si>
  <si>
    <t>C9.5.3</t>
  </si>
  <si>
    <t>Resolve invoice disputes</t>
  </si>
  <si>
    <t>C9.5.4</t>
  </si>
  <si>
    <t>Negotiate billing resolutions where authorised</t>
  </si>
  <si>
    <t>C9.5.5</t>
  </si>
  <si>
    <t>Confirm customer billing acceptance</t>
  </si>
  <si>
    <t>C9.5.6</t>
  </si>
  <si>
    <t>Record engagement outcomes</t>
  </si>
  <si>
    <t>C9.6.1</t>
  </si>
  <si>
    <t>Calculate profitability by product and service</t>
  </si>
  <si>
    <t>C9.6.2</t>
  </si>
  <si>
    <t>Analyse cost-to-serve drivers</t>
  </si>
  <si>
    <t>C9.6.3</t>
  </si>
  <si>
    <t>Identify margin leakage</t>
  </si>
  <si>
    <t>C9.6.4</t>
  </si>
  <si>
    <t>Recommend pricing or design changes</t>
  </si>
  <si>
    <t>C9.6.5</t>
  </si>
  <si>
    <t>Approve profitability improvement actions</t>
  </si>
  <si>
    <t>C9.6.6</t>
  </si>
  <si>
    <t>Report profitability trends</t>
  </si>
  <si>
    <t>C9.7.1</t>
  </si>
  <si>
    <t>Calculate channel unit cost metrics</t>
  </si>
  <si>
    <t>C9.7.2</t>
  </si>
  <si>
    <t>Compare cost efficiency across channels</t>
  </si>
  <si>
    <t>C9.7.3</t>
  </si>
  <si>
    <t>Identify channel cost drivers</t>
  </si>
  <si>
    <t>C9.7.4</t>
  </si>
  <si>
    <t>Recommend channel cost improvements</t>
  </si>
  <si>
    <t>C9.7.5</t>
  </si>
  <si>
    <t>Approve optimisation actions</t>
  </si>
  <si>
    <t>C9.7.6</t>
  </si>
  <si>
    <t>Track realised channel savings</t>
  </si>
  <si>
    <t>C9.8.1</t>
  </si>
  <si>
    <t>Calculate profitability by client and region</t>
  </si>
  <si>
    <t>C9.8.2</t>
  </si>
  <si>
    <t>Analyse client and regional margin drivers</t>
  </si>
  <si>
    <t>C9.8.3</t>
  </si>
  <si>
    <t>Identify loss-making relationships or territories</t>
  </si>
  <si>
    <t>C9.8.4</t>
  </si>
  <si>
    <t>Recommend corrective actions</t>
  </si>
  <si>
    <t>C9.8.5</t>
  </si>
  <si>
    <t>Review profitability actions with owners</t>
  </si>
  <si>
    <t>C9.8.6</t>
  </si>
  <si>
    <t>Report client and regional profitability</t>
  </si>
  <si>
    <t>Manage Client Relationships and Account Growth</t>
  </si>
  <si>
    <t>C10.1.1</t>
  </si>
  <si>
    <t>C10.1.2</t>
  </si>
  <si>
    <t>C10.1.3</t>
  </si>
  <si>
    <t>C10.1.4</t>
  </si>
  <si>
    <t>Validate insights with account teams</t>
  </si>
  <si>
    <t>C10.1.5</t>
  </si>
  <si>
    <t>Route insights to owning processes</t>
  </si>
  <si>
    <t>C10.1.6</t>
  </si>
  <si>
    <t>C10.2.1</t>
  </si>
  <si>
    <t>Define CRM channel standards</t>
  </si>
  <si>
    <t>C10.2.2</t>
  </si>
  <si>
    <t>Operate CRM engagement channels</t>
  </si>
  <si>
    <t>C10.2.3</t>
  </si>
  <si>
    <t>C10.2.4</t>
  </si>
  <si>
    <t>Monitor CRM channel usage</t>
  </si>
  <si>
    <t>C10.2.5</t>
  </si>
  <si>
    <t>Optimise CRM channel effectiveness</t>
  </si>
  <si>
    <t>C10.2.6</t>
  </si>
  <si>
    <t>Report CRM channel performance</t>
  </si>
  <si>
    <t>Manage client relationship governance forums</t>
  </si>
  <si>
    <t>C10.3.1</t>
  </si>
  <si>
    <t>Define forum cadence and membership</t>
  </si>
  <si>
    <t>C10.3.2</t>
  </si>
  <si>
    <t>Prepare governance forum agenda packs</t>
  </si>
  <si>
    <t>C10.3.3</t>
  </si>
  <si>
    <t>Facilitate client governance forums</t>
  </si>
  <si>
    <t>C10.3.4</t>
  </si>
  <si>
    <t>Track forum actions and decisions</t>
  </si>
  <si>
    <t>C10.3.5</t>
  </si>
  <si>
    <t>Escalate unresolved governance matters</t>
  </si>
  <si>
    <t>C10.3.6</t>
  </si>
  <si>
    <t>Maintain governance records</t>
  </si>
  <si>
    <t>C10.4.1</t>
  </si>
  <si>
    <t>Define relationship satisfaction measures</t>
  </si>
  <si>
    <t>C10.4.2</t>
  </si>
  <si>
    <t>Collect satisfaction feedback</t>
  </si>
  <si>
    <t>C10.4.3</t>
  </si>
  <si>
    <t>C10.4.4</t>
  </si>
  <si>
    <t>Escalate relationship health risks</t>
  </si>
  <si>
    <t>C10.4.5</t>
  </si>
  <si>
    <t>Approve improvement actions</t>
  </si>
  <si>
    <t>C10.4.6</t>
  </si>
  <si>
    <t>Track satisfaction improvement outcomes</t>
  </si>
  <si>
    <t>Identify cross-sell and up-sell opportunities</t>
  </si>
  <si>
    <t>C10.5.1</t>
  </si>
  <si>
    <t>Identify account growth opportunities</t>
  </si>
  <si>
    <t>C10.5.2</t>
  </si>
  <si>
    <t>Assess fit of additional offers</t>
  </si>
  <si>
    <t>C10.5.3</t>
  </si>
  <si>
    <t>Develop growth proposition with account owners</t>
  </si>
  <si>
    <t>C10.5.4</t>
  </si>
  <si>
    <t>Present growth options to client</t>
  </si>
  <si>
    <t>C10.5.5</t>
  </si>
  <si>
    <t>Track conversion of growth opportunities</t>
  </si>
  <si>
    <t>C10.5.6</t>
  </si>
  <si>
    <t>Report account growth pipeline</t>
  </si>
  <si>
    <t>C10.6.1</t>
  </si>
  <si>
    <t>C10.6.2</t>
  </si>
  <si>
    <t>C10.6.3</t>
  </si>
  <si>
    <t>C10.6.4</t>
  </si>
  <si>
    <t>C10.6.5</t>
  </si>
  <si>
    <t>C10.6.6</t>
  </si>
  <si>
    <t>C10.7.1</t>
  </si>
  <si>
    <t>Maintain client master records</t>
  </si>
  <si>
    <t>C10.7.2</t>
  </si>
  <si>
    <t>C10.7.3</t>
  </si>
  <si>
    <t>C10.7.4</t>
  </si>
  <si>
    <t>C10.7.5</t>
  </si>
  <si>
    <t>C10.7.6</t>
  </si>
  <si>
    <t>Montor complaints handling satisfaction</t>
  </si>
  <si>
    <t>Plan and manage customer service workstream</t>
  </si>
  <si>
    <t>Manage customer service requests</t>
  </si>
  <si>
    <t>Manage customer complaints</t>
  </si>
  <si>
    <t>Perform CRM support</t>
  </si>
  <si>
    <t>Monitor fullfillment</t>
  </si>
  <si>
    <t>Segment customers</t>
  </si>
  <si>
    <t>Manage orders</t>
  </si>
  <si>
    <t>Manage customer quality assurance / SLAs</t>
  </si>
  <si>
    <t>Handle customer queries</t>
  </si>
  <si>
    <t>Manage customer retention / loyalty</t>
  </si>
  <si>
    <t>C10.6.7</t>
  </si>
  <si>
    <t>C10.6.8</t>
  </si>
  <si>
    <t>C10.6.9</t>
  </si>
  <si>
    <t>C10.6.10</t>
  </si>
  <si>
    <t>C10.6.11</t>
  </si>
  <si>
    <t>Manage ongoing customer support escalation and advocacy (Manage ongoing customer support)</t>
  </si>
  <si>
    <t>Manage service assurance</t>
  </si>
  <si>
    <t>Identify service problems</t>
  </si>
  <si>
    <t>Correlate service problems</t>
  </si>
  <si>
    <t>Asnalyse problem impact</t>
  </si>
  <si>
    <t>Prioritise service problems</t>
  </si>
  <si>
    <t>Resolve service problems</t>
  </si>
  <si>
    <t>Manage CRM record quality</t>
  </si>
  <si>
    <t>C10.7.7</t>
  </si>
  <si>
    <t>C10.7.8</t>
  </si>
  <si>
    <t>C10.7.9</t>
  </si>
  <si>
    <t>Manage customer records access</t>
  </si>
  <si>
    <t>Initiate service delivery</t>
  </si>
  <si>
    <t>Execute service delivery</t>
  </si>
  <si>
    <t>Complete service delivery</t>
  </si>
  <si>
    <t>Manage DPI service data quality and integrity (Enterprise Information)</t>
  </si>
  <si>
    <t>Develop information and content management strategies</t>
  </si>
  <si>
    <t>manage enterprise information architecture</t>
  </si>
  <si>
    <t>manage information resources</t>
  </si>
  <si>
    <t>C7.6.7</t>
  </si>
  <si>
    <t>C7.6.8</t>
  </si>
  <si>
    <t>C7.6.9</t>
  </si>
  <si>
    <t>C8.14</t>
  </si>
  <si>
    <t>C8.15</t>
  </si>
  <si>
    <t>Receive and qualify client advisory request</t>
  </si>
  <si>
    <t>Define advisory scope and deliverables</t>
  </si>
  <si>
    <t>Develop advisory workplan and mobilisation plan</t>
  </si>
  <si>
    <t>Assign advisory resources and specialist roles</t>
  </si>
  <si>
    <t>Conduct diagnostic and requirements discovery</t>
  </si>
  <si>
    <t>Produce technical and commercial advisory outputs</t>
  </si>
  <si>
    <t>C8.1.7</t>
  </si>
  <si>
    <t>Validate recommendations with client stakeholders</t>
  </si>
  <si>
    <t>C8.1.8</t>
  </si>
  <si>
    <t>Close advisory engagement and hand over to delivery or sales owner</t>
  </si>
  <si>
    <t>Confirm client implementation scope, assumptions and dependencies</t>
  </si>
  <si>
    <t>Develop delivery work breakdown and mobilisation plan</t>
  </si>
  <si>
    <t>Confirm environment, access and readiness prerequisites</t>
  </si>
  <si>
    <t>C8.2.7</t>
  </si>
  <si>
    <t>C8.2.8</t>
  </si>
  <si>
    <t>Configure client-specific security and access profiles</t>
  </si>
  <si>
    <t>Configure data mappings and interface parameters</t>
  </si>
  <si>
    <t>Validate technical integration readiness</t>
  </si>
  <si>
    <t>C8.3.7</t>
  </si>
  <si>
    <t>Resolve configuration and integration defects</t>
  </si>
  <si>
    <t>C8.3.8</t>
  </si>
  <si>
    <t>Manage service request fulfilment process</t>
  </si>
  <si>
    <t>Manage release and deployment process</t>
  </si>
  <si>
    <t>Manage configuration and service asset records</t>
  </si>
  <si>
    <t>C8.6.7</t>
  </si>
  <si>
    <t>Manage knowledge records for support resolution</t>
  </si>
  <si>
    <t>C8.6.8</t>
  </si>
  <si>
    <t>Measure and improve ITSM process performance</t>
  </si>
  <si>
    <r>
      <t xml:space="preserve">Manage supplier performance and SLA compliance </t>
    </r>
    <r>
      <rPr>
        <sz val="10"/>
        <color rgb="FFFF0000"/>
        <rFont val="Arial"/>
        <family val="2"/>
      </rPr>
      <t>(Commercial suppliers) Refer to Partner optimisation M6)</t>
    </r>
  </si>
  <si>
    <t>Plan national field support coverage model</t>
  </si>
  <si>
    <t>Allocate national field support resources</t>
  </si>
  <si>
    <t>Dispatch national field support work orders</t>
  </si>
  <si>
    <t>Manage onsite break-fix and technical intervention activities</t>
  </si>
  <si>
    <t>Monitor national field support turnaround times</t>
  </si>
  <si>
    <t>Escalate national field support backlog and coverage gaps</t>
  </si>
  <si>
    <t>C8.10.7</t>
  </si>
  <si>
    <t>C8.10.8</t>
  </si>
  <si>
    <t>C8.10.9</t>
  </si>
  <si>
    <t>Manage service desk</t>
  </si>
  <si>
    <t>Operate service desk intake channels</t>
  </si>
  <si>
    <t>Log and classify incidents and service requests</t>
  </si>
  <si>
    <t>Perform first-line diagnosis and remote resolution</t>
  </si>
  <si>
    <t>Route unresolved tickets to support groups and field teams</t>
  </si>
  <si>
    <t>Manage ticket backlog and ageing</t>
  </si>
  <si>
    <t>Communicate ticket status and service notices to users</t>
  </si>
  <si>
    <t>C8.11.7</t>
  </si>
  <si>
    <t>Close tickets and confirm user satisfaction</t>
  </si>
  <si>
    <t>Define regional pod roles and service accountabilities</t>
  </si>
  <si>
    <t>Coordinate cross-functional delivery dependencies in region</t>
  </si>
  <si>
    <t>Escalate pod delivery constraints and resource conflicts</t>
  </si>
  <si>
    <t>Review regional pod throughput and SLA performance</t>
  </si>
  <si>
    <t>C8.13.1</t>
  </si>
  <si>
    <t>C8.13.2</t>
  </si>
  <si>
    <t>C8.13.3</t>
  </si>
  <si>
    <t>Produce operational exception and risk reports</t>
  </si>
  <si>
    <t>C8.13.4</t>
  </si>
  <si>
    <t>C8.13.5</t>
  </si>
  <si>
    <t>Report service backlog, availability and continuity status</t>
  </si>
  <si>
    <t>C8.13.6</t>
  </si>
  <si>
    <t>Support service review forums with operational evidence</t>
  </si>
  <si>
    <t xml:space="preserve"> </t>
  </si>
  <si>
    <t>infrastructure lmplementataion Insurance part  SAPS consulting</t>
  </si>
  <si>
    <t>Pricing of Solution</t>
  </si>
  <si>
    <t xml:space="preserve">Manage client solution scoping and mobilisation  </t>
  </si>
  <si>
    <t xml:space="preserve">Provide input into procurement </t>
  </si>
  <si>
    <t>Server</t>
  </si>
  <si>
    <t>daily</t>
  </si>
  <si>
    <t>Automation</t>
  </si>
  <si>
    <t>Automation  Resources  Discovery tools</t>
  </si>
  <si>
    <t>Technology Automation</t>
  </si>
  <si>
    <t>not all areas covered</t>
  </si>
  <si>
    <t>still matching and esculating</t>
  </si>
  <si>
    <t>Structure all security under one area</t>
  </si>
  <si>
    <t>Vendor Mngt challenged</t>
  </si>
  <si>
    <t>Legal to support</t>
  </si>
  <si>
    <t>Capability implementation of this challlenge</t>
  </si>
  <si>
    <t xml:space="preserve">Manage National delivery pods and integration   National Field Support </t>
  </si>
  <si>
    <t>supported  by FDM procceses</t>
  </si>
  <si>
    <t>Nature incidents</t>
  </si>
  <si>
    <t xml:space="preserve">Automation CMDB </t>
  </si>
  <si>
    <t>Effecient Effective</t>
  </si>
  <si>
    <t xml:space="preserve"> Effective</t>
  </si>
  <si>
    <t xml:space="preserve">missing oppurtunities </t>
  </si>
  <si>
    <t>capability of using this in their portfolio</t>
  </si>
  <si>
    <t>Capability Capacity Resources</t>
  </si>
  <si>
    <t>no Strategy in place</t>
  </si>
  <si>
    <t>Constant measurement</t>
  </si>
  <si>
    <t>capability Capacity Resources</t>
  </si>
  <si>
    <t>measure impact non conformance</t>
  </si>
  <si>
    <t>Architecture Development &amp; Modeling</t>
  </si>
  <si>
    <t>Architecture Governance &amp; Management Technology</t>
  </si>
  <si>
    <t>Application Portfolio Management</t>
  </si>
  <si>
    <t>Architecture Strategy &amp; Principles Definition</t>
  </si>
  <si>
    <t>Architecture Framework Vitality (Continuous Improvement)</t>
  </si>
  <si>
    <t>Performance Measurement &amp; Reporting</t>
  </si>
  <si>
    <t xml:space="preserve">Govern &amp; Management enterprise architecture  </t>
  </si>
  <si>
    <t xml:space="preserve"> Govern &amp; Management standards  reference models</t>
  </si>
  <si>
    <t>Architecture Review Process</t>
  </si>
  <si>
    <t>Compliance Monitoring &amp; Enforcement</t>
  </si>
  <si>
    <t>Govern enterprise Compliance &amp; Risk Management</t>
  </si>
  <si>
    <t>Risk Management &amp; Security Architecture</t>
  </si>
  <si>
    <t>Commissioning/Decommissioning Process</t>
  </si>
  <si>
    <t>Data Governance &amp; Integration</t>
  </si>
  <si>
    <t>Variance &amp; Exception Management</t>
  </si>
  <si>
    <t>Baseline Architecture Development</t>
  </si>
  <si>
    <t>Architecture  Modeling Design</t>
  </si>
  <si>
    <t xml:space="preserve"> Analyse the Gap Anaylsis</t>
  </si>
  <si>
    <t>Identify and Implement Roadmap</t>
  </si>
  <si>
    <t xml:space="preserve">CHECK PBO   and GCRIC </t>
  </si>
  <si>
    <t>M7.1 Manage EPMO methodologies and governance (Govern internal innovation framework for enterprise &amp; technology improvement)</t>
  </si>
  <si>
    <t>M7.5.6</t>
  </si>
  <si>
    <t>M7.6.6</t>
  </si>
  <si>
    <t xml:space="preserve">Manage idea generation, </t>
  </si>
  <si>
    <t>Manage Proof of concept (Tech Lab)</t>
  </si>
  <si>
    <t>Manage Applied research</t>
  </si>
  <si>
    <t>Manage Programmes (EPMO methodology)</t>
  </si>
  <si>
    <t>Manage Project Governance and Gating (EPMO methodology)</t>
  </si>
  <si>
    <t>Manage Portfolio Performance and Reporting</t>
  </si>
  <si>
    <t>Manage Benefit Realisation / Monetisation</t>
  </si>
  <si>
    <t>M7.1.1</t>
  </si>
  <si>
    <t>M7.1.2</t>
  </si>
  <si>
    <t>M7.1.3</t>
  </si>
  <si>
    <t>M7.1.4</t>
  </si>
  <si>
    <t>M7.1.5</t>
  </si>
  <si>
    <t>M7.2.1</t>
  </si>
  <si>
    <t>M7.2.2</t>
  </si>
  <si>
    <t>M7.2.3</t>
  </si>
  <si>
    <t>M7.2.4</t>
  </si>
  <si>
    <t>M7.2.5</t>
  </si>
  <si>
    <t>M7.2.6</t>
  </si>
  <si>
    <t>M7.2.7</t>
  </si>
  <si>
    <t>M7.3.1</t>
  </si>
  <si>
    <t>M7.3.2</t>
  </si>
  <si>
    <t>M7.3.3</t>
  </si>
  <si>
    <t>M7.3.4</t>
  </si>
  <si>
    <t>M7.3.5</t>
  </si>
  <si>
    <t>M7.3.6</t>
  </si>
  <si>
    <t>M7.3.7</t>
  </si>
  <si>
    <t>M7.4.1</t>
  </si>
  <si>
    <t>M7.4.2</t>
  </si>
  <si>
    <t>M7.4.3</t>
  </si>
  <si>
    <t>M7.4.4</t>
  </si>
  <si>
    <t>M7.4.5</t>
  </si>
  <si>
    <t>M7.4.6</t>
  </si>
  <si>
    <t>M7.4.7</t>
  </si>
  <si>
    <t>M7.4.8</t>
  </si>
  <si>
    <t>M7.4.9</t>
  </si>
  <si>
    <t>Maintain Portfolio management framework</t>
  </si>
  <si>
    <t>Prepare Business Case</t>
  </si>
  <si>
    <t>Plan Monetisation</t>
  </si>
  <si>
    <t>Evaluate and select  projects</t>
  </si>
  <si>
    <t>Manage Prioritisation</t>
  </si>
  <si>
    <t>Monitor portfolio performance</t>
  </si>
  <si>
    <t xml:space="preserve">Approve project funding </t>
  </si>
  <si>
    <t>M7.5.1</t>
  </si>
  <si>
    <t>M7.5.2</t>
  </si>
  <si>
    <t>M7.5.3</t>
  </si>
  <si>
    <t>M7.5.4</t>
  </si>
  <si>
    <t>M7.5.5</t>
  </si>
  <si>
    <t>M7.6.1</t>
  </si>
  <si>
    <t>M7.6.2</t>
  </si>
  <si>
    <t>M7.6.3</t>
  </si>
  <si>
    <t>M7.6.4</t>
  </si>
  <si>
    <t>M7.6.5</t>
  </si>
  <si>
    <t>M7.8.1</t>
  </si>
  <si>
    <t>M7.8.2</t>
  </si>
  <si>
    <t>M7.8.3</t>
  </si>
  <si>
    <t>M7.8.4</t>
  </si>
  <si>
    <t>M7.8.5</t>
  </si>
  <si>
    <t>M7.8.6</t>
  </si>
  <si>
    <t>M7.8.7</t>
  </si>
  <si>
    <t>M7.9.1</t>
  </si>
  <si>
    <t>M7.9.2</t>
  </si>
  <si>
    <t>M7.9.3</t>
  </si>
  <si>
    <t>M7.9.4</t>
  </si>
  <si>
    <t>M7.9.5</t>
  </si>
  <si>
    <t>M7.9.6</t>
  </si>
  <si>
    <t>M7.9.7</t>
  </si>
  <si>
    <t>M7.10.1</t>
  </si>
  <si>
    <t>M7.10.2</t>
  </si>
  <si>
    <t>M7.10.3</t>
  </si>
  <si>
    <t>M7.10.4</t>
  </si>
  <si>
    <t>M7.10.5</t>
  </si>
  <si>
    <t>M7.10.6</t>
  </si>
  <si>
    <t>M7.10.7</t>
  </si>
  <si>
    <t>M7.7.1</t>
  </si>
  <si>
    <t>M7.7.2</t>
  </si>
  <si>
    <t>M7.7.3</t>
  </si>
  <si>
    <t>M7.7.4</t>
  </si>
  <si>
    <t>M7.7.5</t>
  </si>
  <si>
    <t>M7.7.6</t>
  </si>
  <si>
    <t>M7.7.7</t>
  </si>
  <si>
    <t>M7.11.1</t>
  </si>
  <si>
    <t>M7.11.2</t>
  </si>
  <si>
    <t>M7.11.3</t>
  </si>
  <si>
    <t>M7.11.4</t>
  </si>
  <si>
    <t>M7.11.5</t>
  </si>
  <si>
    <t>M7.11.6</t>
  </si>
  <si>
    <t>M7.11.7</t>
  </si>
  <si>
    <t>M7.12.1</t>
  </si>
  <si>
    <t>M7.12.2</t>
  </si>
  <si>
    <t>M7.12.3</t>
  </si>
  <si>
    <t>M7.12.4</t>
  </si>
  <si>
    <t>M7.12.5</t>
  </si>
  <si>
    <t>M7.12.6</t>
  </si>
  <si>
    <t>M7.12.7</t>
  </si>
  <si>
    <t>M7.13.1</t>
  </si>
  <si>
    <t>M7.13.2</t>
  </si>
  <si>
    <t>M7.13.3</t>
  </si>
  <si>
    <t>M7.13.4</t>
  </si>
  <si>
    <t>M7.13.5</t>
  </si>
  <si>
    <t>M7.13.6</t>
  </si>
  <si>
    <t>M7.13.7</t>
  </si>
  <si>
    <t>Define the monetization strategy for each project, considering various revenue streams. 
Explore pricing models, subscription plans, advertising opportunities, and sponsorship options. 
Determine the target market and audience for the project.
Align the monetization strategy with market trends and industry benchmarks</t>
  </si>
  <si>
    <t>Plan - Project</t>
  </si>
  <si>
    <t>Initiate - Project</t>
  </si>
  <si>
    <t>Administer project</t>
  </si>
  <si>
    <t xml:space="preserve">Implement project </t>
  </si>
  <si>
    <t>Prepare post completion contracts</t>
  </si>
  <si>
    <t>Conduct hand-over</t>
  </si>
  <si>
    <t>Close project</t>
  </si>
  <si>
    <t>maintain PM &amp; Innovation standards</t>
  </si>
  <si>
    <t>Plan PM maturity interventions</t>
  </si>
  <si>
    <t>Review and audit projects</t>
  </si>
  <si>
    <t>Manage project compliance</t>
  </si>
  <si>
    <t>Manage project records support</t>
  </si>
  <si>
    <t>Manage project management maturity</t>
  </si>
  <si>
    <t>Analyse performance expectations</t>
  </si>
  <si>
    <t>Formalise project concept</t>
  </si>
  <si>
    <t>Maintain idea evaluation criteria</t>
  </si>
  <si>
    <t>Evluate idea / concept</t>
  </si>
  <si>
    <t>M7.2 Manage Innovation (EPMO) Portfolio (Idea portfolio and project portfolios)</t>
  </si>
  <si>
    <t>Approve and allocate ideas for business case development</t>
  </si>
  <si>
    <t>Develop research plan</t>
  </si>
  <si>
    <t>Manage ICT research (Part of ICT business case)</t>
  </si>
  <si>
    <t>Conduct research</t>
  </si>
  <si>
    <t>Update ICT status on SA</t>
  </si>
  <si>
    <t>Manage international partner research input</t>
  </si>
  <si>
    <t>Combine and compare ICT results</t>
  </si>
  <si>
    <t>Concuct expenditure trends analysis</t>
  </si>
  <si>
    <t>Approve and incorporate in business case</t>
  </si>
  <si>
    <t>Design POC</t>
  </si>
  <si>
    <t>Execute POC</t>
  </si>
  <si>
    <t>Evaluate 4IR concepts on public service</t>
  </si>
  <si>
    <t>Solve existing ICT problems (public service or commercial)</t>
  </si>
  <si>
    <t>Review and select technology</t>
  </si>
  <si>
    <t>Conduct research (client / user centric)</t>
  </si>
  <si>
    <t>Review and score SA ICT</t>
  </si>
  <si>
    <t>Publis research results</t>
  </si>
  <si>
    <t>Conduct research assistance (to internal clients)</t>
  </si>
  <si>
    <t>Review CITOC standards</t>
  </si>
  <si>
    <t>Manage SITA compliance on ICT house of values</t>
  </si>
  <si>
    <t>Establish programme structure</t>
  </si>
  <si>
    <t>Manage program stakholders</t>
  </si>
  <si>
    <t>Manage program planning</t>
  </si>
  <si>
    <t>Manage program execution</t>
  </si>
  <si>
    <t>manage program performane</t>
  </si>
  <si>
    <t>Manage program reporting</t>
  </si>
  <si>
    <t>manage programme and project reporting</t>
  </si>
  <si>
    <t>Manage performance reporting</t>
  </si>
  <si>
    <t>manage portfolio reporting</t>
  </si>
  <si>
    <t xml:space="preserve">manage program control </t>
  </si>
  <si>
    <t xml:space="preserve">S4.1 </t>
  </si>
  <si>
    <t>S4.1.1</t>
  </si>
  <si>
    <t>S4.1.1.1</t>
  </si>
  <si>
    <t>S4.1.1.2</t>
  </si>
  <si>
    <t>S4.1.1.3</t>
  </si>
  <si>
    <t>S4.1.2</t>
  </si>
  <si>
    <t>S4.2.1.1</t>
  </si>
  <si>
    <t>S4.2.1.2</t>
  </si>
  <si>
    <t>S4.2.1.3</t>
  </si>
  <si>
    <t>S4.1.3</t>
  </si>
  <si>
    <t>S4.1.4</t>
  </si>
  <si>
    <t>S4.1.5</t>
  </si>
  <si>
    <t>S4.1.6</t>
  </si>
  <si>
    <t>S4.1.7</t>
  </si>
  <si>
    <t>S4.1.8</t>
  </si>
  <si>
    <t>S4.1.9</t>
  </si>
  <si>
    <t>S4.1.10</t>
  </si>
  <si>
    <t>S4.1.11</t>
  </si>
  <si>
    <t>S4.1.12</t>
  </si>
  <si>
    <t>S4.1.13</t>
  </si>
  <si>
    <t>S4.1.14</t>
  </si>
  <si>
    <t xml:space="preserve">S4.2 </t>
  </si>
  <si>
    <t>S4.2.1</t>
  </si>
  <si>
    <t>S4.2.2</t>
  </si>
  <si>
    <t>S4.2.3</t>
  </si>
  <si>
    <t>S4.2.4</t>
  </si>
  <si>
    <t>S4.2.5</t>
  </si>
  <si>
    <t>S4.2.6</t>
  </si>
  <si>
    <t>S4.2.7</t>
  </si>
  <si>
    <t>S4.2.8</t>
  </si>
  <si>
    <t>S4.2.9</t>
  </si>
  <si>
    <t>S4.2.10</t>
  </si>
  <si>
    <t>S4.2.11</t>
  </si>
  <si>
    <t>S4.2.12</t>
  </si>
  <si>
    <t>S4.2.13</t>
  </si>
  <si>
    <t>S4.2.14</t>
  </si>
  <si>
    <t xml:space="preserve">S4.3 </t>
  </si>
  <si>
    <t>S4.3.1</t>
  </si>
  <si>
    <t>S4.3.2</t>
  </si>
  <si>
    <t>S4.3.3</t>
  </si>
  <si>
    <t>S4.3.4</t>
  </si>
  <si>
    <t>S4.3.5</t>
  </si>
  <si>
    <t>S4.3.6</t>
  </si>
  <si>
    <t>S4.3.7</t>
  </si>
  <si>
    <t>S4.3.8</t>
  </si>
  <si>
    <t>S4.3.9</t>
  </si>
  <si>
    <t>S4.3.10</t>
  </si>
  <si>
    <t>S4.3.11</t>
  </si>
  <si>
    <t>S4.3.12</t>
  </si>
  <si>
    <t>S4.3.13</t>
  </si>
  <si>
    <t xml:space="preserve">S4.4 </t>
  </si>
  <si>
    <t>S4.4.1</t>
  </si>
  <si>
    <t>S4.4.2</t>
  </si>
  <si>
    <t>S4.4.3</t>
  </si>
  <si>
    <t>S4.4.4</t>
  </si>
  <si>
    <t>S4.4.5</t>
  </si>
  <si>
    <t>S4.4.6</t>
  </si>
  <si>
    <t xml:space="preserve">S4.5 </t>
  </si>
  <si>
    <t>S4.5.1</t>
  </si>
  <si>
    <t>S4.5.2</t>
  </si>
  <si>
    <t>S4.5.3</t>
  </si>
  <si>
    <t>S4.5.4</t>
  </si>
  <si>
    <t>S4.5.5</t>
  </si>
  <si>
    <t>S4.5.6</t>
  </si>
  <si>
    <t>S4.6.1</t>
  </si>
  <si>
    <t>S4.6.2</t>
  </si>
  <si>
    <t>S4.6.3</t>
  </si>
  <si>
    <t>S4.6.4</t>
  </si>
  <si>
    <t>S4.6.5</t>
  </si>
  <si>
    <t>S4.6.6</t>
  </si>
  <si>
    <t>S4.7.1</t>
  </si>
  <si>
    <t>S4.7.2</t>
  </si>
  <si>
    <t>S4.7.3</t>
  </si>
  <si>
    <t>S4.7.4</t>
  </si>
  <si>
    <t>S4.7.5</t>
  </si>
  <si>
    <t>S4.7.6</t>
  </si>
  <si>
    <t>S4.8.1</t>
  </si>
  <si>
    <t>S4.8.2</t>
  </si>
  <si>
    <t>S4.8.3</t>
  </si>
  <si>
    <t>S4.8.4</t>
  </si>
  <si>
    <t>S4.8.5</t>
  </si>
  <si>
    <t>S4.8.6</t>
  </si>
  <si>
    <t>S4.8.7</t>
  </si>
  <si>
    <t>S4.8.8</t>
  </si>
  <si>
    <t>S4.8.9</t>
  </si>
  <si>
    <t>S4.8.10</t>
  </si>
  <si>
    <t>S4.8.11</t>
  </si>
  <si>
    <t>S4.8.12</t>
  </si>
  <si>
    <t>S4.8.13</t>
  </si>
  <si>
    <t>S4.8.14</t>
  </si>
  <si>
    <t>S4.8.15</t>
  </si>
  <si>
    <t>S4.8.16</t>
  </si>
  <si>
    <t>C6. Manage Digital Marketplace (Procure and Broker Customer-Facing Digital Solutions) 
SCM and procurement outside of digital marketplace is missing?</t>
  </si>
  <si>
    <t xml:space="preserve">Provide corporate legal advisory </t>
  </si>
  <si>
    <t>Manage intellectual property rights</t>
  </si>
  <si>
    <t>Manage external legal counsel engagements</t>
  </si>
  <si>
    <t>Manage legal records and documentation</t>
  </si>
  <si>
    <t>Conduct legal research</t>
  </si>
  <si>
    <t>Perform dispute resolution</t>
  </si>
  <si>
    <t>Provide litigation services</t>
  </si>
  <si>
    <t>Maintain legal compliance framework</t>
  </si>
  <si>
    <t>Monitor legal compliance</t>
  </si>
  <si>
    <t>Manage legal compliance awareness</t>
  </si>
  <si>
    <t xml:space="preserve">manage legal risk and compliance </t>
  </si>
  <si>
    <t>Provide legal compliance mitigation advisory</t>
  </si>
  <si>
    <t>Identify cases</t>
  </si>
  <si>
    <t>Manage legal councel panel</t>
  </si>
  <si>
    <t>Appoint external legal counsel</t>
  </si>
  <si>
    <t>Manage outside councel performance</t>
  </si>
  <si>
    <t>Collate intellectual property disclosure</t>
  </si>
  <si>
    <t>File and protect IP</t>
  </si>
  <si>
    <t>License IP</t>
  </si>
  <si>
    <t>Monitor IP certification</t>
  </si>
  <si>
    <t>Evaluate IP</t>
  </si>
  <si>
    <t>Maintain IP</t>
  </si>
  <si>
    <t>Draft corporate / commerical contracts</t>
  </si>
  <si>
    <t>Review corporate / commercial contracts</t>
  </si>
  <si>
    <t>Manage corporate / commercial contracts and agreements</t>
  </si>
  <si>
    <t>Provide contract / agreement negotiation support</t>
  </si>
  <si>
    <t>Conduct contract relevant research</t>
  </si>
  <si>
    <t>Maintain legal capability</t>
  </si>
  <si>
    <t>Conduct topic specific legal research</t>
  </si>
  <si>
    <t>Manage Legal Risk and Compliance (Part of GRC)</t>
  </si>
  <si>
    <t>Monitor Legal and Regulatory Developments (Part of GRC)</t>
  </si>
  <si>
    <t>Two vacancies (urgent). Panel in existence. Investigate the use of AI in advisory process.(Training on AI tools and machine learning - legal tools for SITA). Access to legal libraries.</t>
  </si>
  <si>
    <t>Volume of work is challenging when one resource is not available (no capacity redundancy), Access to legal library(s) e.g. Lexis Nexis), Workflow management automation</t>
  </si>
  <si>
    <t>Currently the company secretary is unavailable, impacting on legal support to board. Legal panel in existance</t>
  </si>
  <si>
    <t>Outsourced to SMEs. Does SITA have an IP register?</t>
  </si>
  <si>
    <t>Records are digital, currently stored in email, C-drive or shared drive - all docs shoul actually be on shared drive</t>
  </si>
  <si>
    <t>Lack of suitable SITA legal AI framework, resources. Alerts / reminders for legal changes and effective dates, Legal briefs.</t>
  </si>
  <si>
    <t>See above</t>
  </si>
  <si>
    <t>Provide legal advise</t>
  </si>
  <si>
    <t>Almost all opinions are documented</t>
  </si>
  <si>
    <t>Vacume in what, when, how on legal department value proposition. There are committees to detect legal risks (effective)</t>
  </si>
  <si>
    <t>Manage legal compliance awareness (making sure staff understands the role of legal and the timeliness thereof, physical or digital)</t>
  </si>
  <si>
    <t>1. Some lines of business conclude contract renewals without additional legal review (small portion). 2. We also use templates for renewals and legal reviews</t>
  </si>
  <si>
    <t>Manage framework / business agreements (outside of tender agreements)</t>
  </si>
  <si>
    <t>Allocate litigation cases</t>
  </si>
  <si>
    <t>Sometimes panel research, sometimes SITA research. Access to deep search and libraries may improve efficiencies</t>
  </si>
  <si>
    <t>Panel available</t>
  </si>
  <si>
    <t>Panel available and efficient</t>
  </si>
  <si>
    <t>Manage litigation and disputes</t>
  </si>
  <si>
    <t>Manage litigation prevention (by attending and prioritising suitable internal committees and preemting potential legal matters)</t>
  </si>
  <si>
    <t>Planning for and prioritising the attendance and invitation to suitable internal forums and committees</t>
  </si>
  <si>
    <t>The key improvement might be to ensure all legal documents are easily  accessible</t>
  </si>
  <si>
    <t xml:space="preserve">S9. Manage Corporate Legal
</t>
  </si>
  <si>
    <t xml:space="preserve">S9.1 </t>
  </si>
  <si>
    <t>S9.1.1</t>
  </si>
  <si>
    <t>S9.1.1.1</t>
  </si>
  <si>
    <t>S9.1.1.2</t>
  </si>
  <si>
    <t>S9.1.1.3</t>
  </si>
  <si>
    <t>S9.1.2</t>
  </si>
  <si>
    <t>S9.2.1.1</t>
  </si>
  <si>
    <t>S9.2.1.2</t>
  </si>
  <si>
    <t>S9.2.1.3</t>
  </si>
  <si>
    <t>S9.1.3</t>
  </si>
  <si>
    <t>S9.1.4</t>
  </si>
  <si>
    <t>S9.1.5</t>
  </si>
  <si>
    <t>S9.1.6</t>
  </si>
  <si>
    <t xml:space="preserve">S9.2 </t>
  </si>
  <si>
    <t>S9.2.1</t>
  </si>
  <si>
    <t>S9.2.2</t>
  </si>
  <si>
    <t>S9.2.3</t>
  </si>
  <si>
    <t>S9.2.4</t>
  </si>
  <si>
    <t>S9.2.5</t>
  </si>
  <si>
    <t>S9.2.6</t>
  </si>
  <si>
    <t xml:space="preserve">S9.3 </t>
  </si>
  <si>
    <t>S9.3.1</t>
  </si>
  <si>
    <t>S9.3.2</t>
  </si>
  <si>
    <t>S9.3.3</t>
  </si>
  <si>
    <t>S9.3.4</t>
  </si>
  <si>
    <t>S9.3.5</t>
  </si>
  <si>
    <t>S9.3.6</t>
  </si>
  <si>
    <t xml:space="preserve">S9.4 </t>
  </si>
  <si>
    <t>S9.4.1</t>
  </si>
  <si>
    <t>S9.4.2</t>
  </si>
  <si>
    <t>S9.4.3</t>
  </si>
  <si>
    <t>S9.4.4</t>
  </si>
  <si>
    <t>S9.4.5</t>
  </si>
  <si>
    <t>S9.4.6</t>
  </si>
  <si>
    <t xml:space="preserve">S9.5 </t>
  </si>
  <si>
    <t>S9.5.1</t>
  </si>
  <si>
    <t>S9.5.2</t>
  </si>
  <si>
    <t>S9.5.3</t>
  </si>
  <si>
    <t>S9.5.4</t>
  </si>
  <si>
    <t>S9.5.5</t>
  </si>
  <si>
    <t>S9.5.6</t>
  </si>
  <si>
    <t>S9.6.1</t>
  </si>
  <si>
    <t>S9.6.2</t>
  </si>
  <si>
    <t>S9.6.3</t>
  </si>
  <si>
    <t>S9.6.4</t>
  </si>
  <si>
    <t>S9.6.5</t>
  </si>
  <si>
    <t>S9.6.6</t>
  </si>
  <si>
    <t>S9.7.1</t>
  </si>
  <si>
    <t>S9.7.2</t>
  </si>
  <si>
    <t>S9.7.3</t>
  </si>
  <si>
    <t>S9.7.4</t>
  </si>
  <si>
    <t>S9.7.5</t>
  </si>
  <si>
    <t>S9.7.6</t>
  </si>
  <si>
    <t>S9.8.1</t>
  </si>
  <si>
    <t>S9.8.2</t>
  </si>
  <si>
    <t>S9.8.3</t>
  </si>
  <si>
    <t>S9.8.4</t>
  </si>
  <si>
    <t>S9.8.5</t>
  </si>
  <si>
    <t>S9.8.6</t>
  </si>
  <si>
    <t>Define infrastructure architecture and standards</t>
  </si>
  <si>
    <t>Plan infrastructure capacity and lifecycle</t>
  </si>
  <si>
    <t>Provision servers and compute environments</t>
  </si>
  <si>
    <t>Maintain operating systems and platforms</t>
  </si>
  <si>
    <t>Apply infrastructure patches and upgrades</t>
  </si>
  <si>
    <t>Manage infrastructure backup and recovery</t>
  </si>
  <si>
    <t>Maintain disaster recovery capability</t>
  </si>
  <si>
    <t>Monitor infrastructure performance</t>
  </si>
  <si>
    <t>Resolve infrastructure faults</t>
  </si>
  <si>
    <t>Manage infrastructure asset inventory</t>
  </si>
  <si>
    <t>Coordinate vendor support</t>
  </si>
  <si>
    <t>Conduct infrastructure security hardening</t>
  </si>
  <si>
    <t>Review infrastructure utilisation</t>
  </si>
  <si>
    <t>Review system lifecycle</t>
  </si>
  <si>
    <t>Manage enterprise mail services configuration and administration</t>
  </si>
  <si>
    <t>Coordinate endpoint security support and service-provider remediation</t>
  </si>
  <si>
    <t>Review outsourced EUC and network performance reports</t>
  </si>
  <si>
    <t>Address EUC service issues identified from provider and monitoring reports</t>
  </si>
  <si>
    <t>Operate user assistance, helpdesk and ticket logging services</t>
  </si>
  <si>
    <t>Classify, route and track EUC incidents and service requests</t>
  </si>
  <si>
    <t>Manage software licensing, activation and entitlement records</t>
  </si>
  <si>
    <t>Deploy EUC software updates, patches and version upgrades</t>
  </si>
  <si>
    <t>Manage LAN, WAN and WiFi access for internal users</t>
  </si>
  <si>
    <t>Manage shared drives, personal storage and file access services</t>
  </si>
  <si>
    <t>Deliver EUC induction, refresher and self-service user training</t>
  </si>
  <si>
    <t>Provision, replace and recover user devices and peripherals</t>
  </si>
  <si>
    <t>Administer user identities, accounts, roles and directory services</t>
  </si>
  <si>
    <t>Maintain printers, scanners and office automation endpoints</t>
  </si>
  <si>
    <t>S4.3.14</t>
  </si>
  <si>
    <t>S4.3.15</t>
  </si>
  <si>
    <t>Define internal IT security governance requirements</t>
  </si>
  <si>
    <t>Maintain internal security policies, standards and baselines</t>
  </si>
  <si>
    <t>Administer endpoint, server and network security controls</t>
  </si>
  <si>
    <t>Monitor internal security events, alerts and control effectiveness</t>
  </si>
  <si>
    <t>Investigate and respond to internal cyber and information security incidents</t>
  </si>
  <si>
    <t>Conduct internal security testing, vulnerability reviews and hardening</t>
  </si>
  <si>
    <t>Manage enterprise technology licensing portfolio</t>
  </si>
  <si>
    <t>Monitor software and platform license utilisation and compliance</t>
  </si>
  <si>
    <t>Plan and coordinate internal technology upgrades</t>
  </si>
  <si>
    <t>Manage connectivity services, bandwidth allocation and link performance</t>
  </si>
  <si>
    <t>Coordinate internal IT operations with managed service providers</t>
  </si>
  <si>
    <t>Review operational readiness and continuity for upgrades and connectivity changes</t>
  </si>
  <si>
    <t>Manage data governance framework</t>
  </si>
  <si>
    <t>Classify data and information assets</t>
  </si>
  <si>
    <t>Conduct data governance and security awareness orientation</t>
  </si>
  <si>
    <t>Monitor, consolidate and report data and security posture</t>
  </si>
  <si>
    <t>Define analytics use cases, methods and modelling standards</t>
  </si>
  <si>
    <t>Develop and maintain analytical models and advanced reporting logic</t>
  </si>
  <si>
    <t>Prepare, curate and manage analytics datasets</t>
  </si>
  <si>
    <t>Validate analytics outputs, assumptions and model accuracy</t>
  </si>
  <si>
    <t>Publish analytics insights, scenarios and decision-support outputs</t>
  </si>
  <si>
    <t>Support analytics users and continuous model refinement</t>
  </si>
  <si>
    <t>Define BI architecture, tooling standards and data access model</t>
  </si>
  <si>
    <t>Develop and maintain BI data integration pipelines</t>
  </si>
  <si>
    <t>Build and maintain dashboards, scorecards and standard reports</t>
  </si>
  <si>
    <t>Manage BI semantic models, metadata and reporting logic</t>
  </si>
  <si>
    <t>Optimise BI performance, refresh cycles and query efficiency</t>
  </si>
  <si>
    <t>Support BI users, access provisioning and report adoption</t>
  </si>
  <si>
    <t>Log, classify and prioritise IT incidents</t>
  </si>
  <si>
    <t>Investigate and resolve incidents within defined support levels</t>
  </si>
  <si>
    <t>Escalate unresolved or high-impact incidents</t>
  </si>
  <si>
    <t>Identify recurring incidents and open problem records</t>
  </si>
  <si>
    <t>Determine root causes and implement permanent fixes</t>
  </si>
  <si>
    <t>Review incident and problem trends and recommend preventive actions</t>
  </si>
  <si>
    <t>Define internal IT service performance measures and thresholds</t>
  </si>
  <si>
    <t>Collect service delivery, availability and support performance data</t>
  </si>
  <si>
    <t>Analyse service performance trends, root causes and recurring weaknesses</t>
  </si>
  <si>
    <t>Produce internal IT service dashboards and management reports</t>
  </si>
  <si>
    <t>Escalate service delivery risks, breaches and persistent underperformance</t>
  </si>
  <si>
    <t>Drive service improvement and corrective action follow-through</t>
  </si>
  <si>
    <t>Manage enterprise knowledge governance</t>
  </si>
  <si>
    <t>Manage internal records governance</t>
  </si>
  <si>
    <t>Manage information lifecycle and custodianship</t>
  </si>
  <si>
    <t>Manage knowledge sharing and organisational learning</t>
  </si>
  <si>
    <t>• Technical Information Support</t>
  </si>
  <si>
    <t>• Information Management Training</t>
  </si>
  <si>
    <t>Manage Service Desk</t>
  </si>
  <si>
    <t>M4.2.8</t>
  </si>
  <si>
    <t>Compliance Risk Identification</t>
  </si>
  <si>
    <t xml:space="preserve"> Compliance Risk Management</t>
  </si>
  <si>
    <t xml:space="preserve">Compliance Risk Monitoring
 </t>
  </si>
  <si>
    <t>Compliance Reporting</t>
  </si>
  <si>
    <t>Compliance Governance</t>
  </si>
  <si>
    <t>Automation third party risk awarenss training</t>
  </si>
  <si>
    <t xml:space="preserve"> Conduct pre-employment vetting and security screening</t>
  </si>
  <si>
    <t>M4.5.7</t>
  </si>
  <si>
    <t>M4.5.8</t>
  </si>
  <si>
    <t xml:space="preserve"> Promote and monitor whistleblowing reporting mechanisms</t>
  </si>
  <si>
    <t>M4.5.9</t>
  </si>
  <si>
    <t>M4. Manage Enterprise Governance, Risk,  Compliance / Resiliency (GRCI)</t>
  </si>
  <si>
    <t>Manage risk management framework</t>
  </si>
  <si>
    <t>Monitor risk levels (base and residua across all disciplinesl)</t>
  </si>
  <si>
    <t>Report risk status (across all disciplines / functions)</t>
  </si>
  <si>
    <t>Provide risk management advise</t>
  </si>
  <si>
    <t xml:space="preserve">Identify, review and assess  strategic risks </t>
  </si>
  <si>
    <t xml:space="preserve">Identify, review and assess operational risks </t>
  </si>
  <si>
    <t>Manage risk mitigation (end-to-end across all disciplines and risk types)</t>
  </si>
  <si>
    <t>Manage project assurance</t>
  </si>
  <si>
    <t>Compliance Risk Assessment</t>
  </si>
  <si>
    <t>Manage Organisational Integrity &amp; fraud prevention</t>
  </si>
  <si>
    <t>Maintain fraud and integrity management framework</t>
  </si>
  <si>
    <t>Manage fraud risk mitigation (identify, assess, mitigate)</t>
  </si>
  <si>
    <t>Manage conflict of interest prevention</t>
  </si>
  <si>
    <t>Monitor and report on organisational integrity status &amp; risks</t>
  </si>
  <si>
    <t xml:space="preserve"> Conduct third-party integrity risk assessments</t>
  </si>
  <si>
    <t>Maintain gifts and hospitality declaration processes</t>
  </si>
  <si>
    <t>Manage Enterprise GRC  &amp; ESG reporting framework</t>
  </si>
  <si>
    <t>Identify and review the GRC to Business goals alignment process</t>
  </si>
  <si>
    <t>Review and maintain the GRC &amp; ESG  reporting mechanism</t>
  </si>
  <si>
    <t>Manage BBBEE and reporting (accountable)  (currently SCM allocation)</t>
  </si>
  <si>
    <t>Manage ethics and corporate social responsibility (Currently HR allocated)</t>
  </si>
  <si>
    <t xml:space="preserve">S7. Manage Knowledge, Records and Information Governance
</t>
  </si>
  <si>
    <t xml:space="preserve">S7.1 </t>
  </si>
  <si>
    <t>S7.1.1</t>
  </si>
  <si>
    <t>S7.1.1.1</t>
  </si>
  <si>
    <t>S7.1.1.2</t>
  </si>
  <si>
    <t>S7.1.1.3</t>
  </si>
  <si>
    <t>S7.1.2</t>
  </si>
  <si>
    <t>S7.2.1.1</t>
  </si>
  <si>
    <t>S7.2.1.2</t>
  </si>
  <si>
    <t>S7.2.1.3</t>
  </si>
  <si>
    <t>S7.1.3</t>
  </si>
  <si>
    <t>S7.1.4</t>
  </si>
  <si>
    <t>S7.1.5</t>
  </si>
  <si>
    <t>S7.1.6</t>
  </si>
  <si>
    <t xml:space="preserve">S7.2 </t>
  </si>
  <si>
    <t>S7.2.1</t>
  </si>
  <si>
    <t>S7.2.2</t>
  </si>
  <si>
    <t>S7.2.3</t>
  </si>
  <si>
    <t>S7.2.4</t>
  </si>
  <si>
    <t>S7.2.5</t>
  </si>
  <si>
    <t>S7.2.6</t>
  </si>
  <si>
    <t xml:space="preserve">S7.3 </t>
  </si>
  <si>
    <t>S7.3.1</t>
  </si>
  <si>
    <t>S7.3.2</t>
  </si>
  <si>
    <t>S7.3.3</t>
  </si>
  <si>
    <t>S7.3.4</t>
  </si>
  <si>
    <t>S7.3.5</t>
  </si>
  <si>
    <t>S7.3.6</t>
  </si>
  <si>
    <t xml:space="preserve">S7.4 </t>
  </si>
  <si>
    <t>S7.4.1</t>
  </si>
  <si>
    <t>S7.4.2</t>
  </si>
  <si>
    <t>S7.4.3</t>
  </si>
  <si>
    <t>S7.4.4</t>
  </si>
  <si>
    <t>S7.4.5</t>
  </si>
  <si>
    <t>S7.4.6</t>
  </si>
  <si>
    <t xml:space="preserve">S7.5 </t>
  </si>
  <si>
    <t>S7.5.1</t>
  </si>
  <si>
    <t>S7.5.2</t>
  </si>
  <si>
    <t>S7.5.3</t>
  </si>
  <si>
    <t>S7.5.4</t>
  </si>
  <si>
    <t>S7.5.5</t>
  </si>
  <si>
    <t>S7.5.6</t>
  </si>
  <si>
    <t>S7.6.1</t>
  </si>
  <si>
    <t>S7.6.2</t>
  </si>
  <si>
    <t>S7.6.3</t>
  </si>
  <si>
    <t>S7.6.4</t>
  </si>
  <si>
    <t>S7.6.5</t>
  </si>
  <si>
    <t>S7.6.6</t>
  </si>
  <si>
    <t>S7.7</t>
  </si>
  <si>
    <t>S7.7.1</t>
  </si>
  <si>
    <t>S7.7.2</t>
  </si>
  <si>
    <t>S7.7.3</t>
  </si>
  <si>
    <t>S7.7.4</t>
  </si>
  <si>
    <t>S7.7.5</t>
  </si>
  <si>
    <t>S7.7.6</t>
  </si>
  <si>
    <t>S7.8</t>
  </si>
  <si>
    <t>S7.8.1</t>
  </si>
  <si>
    <t>S7.8.2</t>
  </si>
  <si>
    <t>S7.8.3</t>
  </si>
  <si>
    <t>S7.8.4</t>
  </si>
  <si>
    <t>S7.8.5</t>
  </si>
  <si>
    <t>S7.8.6</t>
  </si>
  <si>
    <t>Maintain and communicate KM governance model</t>
  </si>
  <si>
    <t>Maintain core KM methodologies</t>
  </si>
  <si>
    <t>Manage links to key initiatives</t>
  </si>
  <si>
    <t>Maintain communities of excellence (address core business knowledge requirements across all core functions)</t>
  </si>
  <si>
    <t>S7.1.7</t>
  </si>
  <si>
    <t>S7.1.8</t>
  </si>
  <si>
    <t>Manage KM training and orientation</t>
  </si>
  <si>
    <t>Promote KM uptake (Change management approaches))</t>
  </si>
  <si>
    <t>Measure and report enterprise wide KM status and progress</t>
  </si>
  <si>
    <t>Manage enterprise knowledge management maturity</t>
  </si>
  <si>
    <t>Manage KM maturity</t>
  </si>
  <si>
    <t>Develop best practice KM approaches</t>
  </si>
  <si>
    <t>Enhance existing KM approaches</t>
  </si>
  <si>
    <t>Implement new KM approaches (automation, digitisation, AI)</t>
  </si>
  <si>
    <t>Monitor and report enterprise KM maturity</t>
  </si>
  <si>
    <t>Manage KM infrastructure &amp; integration expansion</t>
  </si>
  <si>
    <t>Monitor KM resource utilisation</t>
  </si>
  <si>
    <t>Monitor and report enterprise knowledge improvement</t>
  </si>
  <si>
    <t xml:space="preserve">Manage SITA AI machine learning  </t>
  </si>
  <si>
    <t>Manage &amp; monitor SITA AI integration and utilisation</t>
  </si>
  <si>
    <t>Maintain and manage  SITA AI framework and ethics</t>
  </si>
  <si>
    <t>Manage AI and learning</t>
  </si>
  <si>
    <t>Governs internal knowledge stewardship, information lifecycle management, internal records compliance, organisational learning, knowledge preservation and enterprise AI maturity and ethics. Ensures legal compliance, information integrity and organisational memory protection.</t>
  </si>
  <si>
    <t xml:space="preserve">S1.1 </t>
  </si>
  <si>
    <t>S1.1.1</t>
  </si>
  <si>
    <t>S1.1.1.1</t>
  </si>
  <si>
    <t>S1.1.1.2</t>
  </si>
  <si>
    <t>S1.1.1.3</t>
  </si>
  <si>
    <t>S1.1.2</t>
  </si>
  <si>
    <t>S1.2.1.1</t>
  </si>
  <si>
    <t>S1.2.1.2</t>
  </si>
  <si>
    <t>S1.2.1.3</t>
  </si>
  <si>
    <t>S1.1.3</t>
  </si>
  <si>
    <t>S1.1.4</t>
  </si>
  <si>
    <t>S1.1.5</t>
  </si>
  <si>
    <t>S1.1.6</t>
  </si>
  <si>
    <t xml:space="preserve">S1.2 </t>
  </si>
  <si>
    <t>S1.2.1</t>
  </si>
  <si>
    <t>S1.2.2</t>
  </si>
  <si>
    <t>S1.2.3</t>
  </si>
  <si>
    <t>S1.2.4</t>
  </si>
  <si>
    <t>S1.2.5</t>
  </si>
  <si>
    <t>S1.2.6</t>
  </si>
  <si>
    <t xml:space="preserve">S1.3 </t>
  </si>
  <si>
    <t>S1.3.1</t>
  </si>
  <si>
    <t>S1.3.2</t>
  </si>
  <si>
    <t>S1.3.3</t>
  </si>
  <si>
    <t>S1.3.4</t>
  </si>
  <si>
    <t>S1.3.5</t>
  </si>
  <si>
    <t>S1.3.6</t>
  </si>
  <si>
    <t xml:space="preserve">S1.4 </t>
  </si>
  <si>
    <t>S1.4.1</t>
  </si>
  <si>
    <t>S1.4.2</t>
  </si>
  <si>
    <t>S1.4.3</t>
  </si>
  <si>
    <t>S1.4.4</t>
  </si>
  <si>
    <t>S1.4.5</t>
  </si>
  <si>
    <t>S1.4.6</t>
  </si>
  <si>
    <t xml:space="preserve">S1.5 </t>
  </si>
  <si>
    <t>S1.5.1</t>
  </si>
  <si>
    <t>S1.5.2</t>
  </si>
  <si>
    <t>S1.5.3</t>
  </si>
  <si>
    <t>S1.5.4</t>
  </si>
  <si>
    <t>S1.5.5</t>
  </si>
  <si>
    <t>S1.5.6</t>
  </si>
  <si>
    <t>S1.6.1</t>
  </si>
  <si>
    <t>S1.6.2</t>
  </si>
  <si>
    <t>S1.6.3</t>
  </si>
  <si>
    <t>S1.6.4</t>
  </si>
  <si>
    <t>S1.6.5</t>
  </si>
  <si>
    <t>S1.6.6</t>
  </si>
  <si>
    <t>S1.7.1</t>
  </si>
  <si>
    <t>S1.7.2</t>
  </si>
  <si>
    <t>S1.7.3</t>
  </si>
  <si>
    <t>S1.7.4</t>
  </si>
  <si>
    <t>S1.7.5</t>
  </si>
  <si>
    <t>S1.7.6</t>
  </si>
  <si>
    <t>S1.8.1</t>
  </si>
  <si>
    <t>S1.8.2</t>
  </si>
  <si>
    <t>S1.8.3</t>
  </si>
  <si>
    <t>S1.8.4</t>
  </si>
  <si>
    <t>S1.8.5</t>
  </si>
  <si>
    <t>S1.8.6</t>
  </si>
  <si>
    <t>S1.9.1</t>
  </si>
  <si>
    <t>S1.9.2</t>
  </si>
  <si>
    <t>S1.9.3</t>
  </si>
  <si>
    <t>S1.9.4</t>
  </si>
  <si>
    <t>S1.9.5</t>
  </si>
  <si>
    <t>S1.9.6</t>
  </si>
  <si>
    <t>S1.10.1</t>
  </si>
  <si>
    <t>S1.10.2</t>
  </si>
  <si>
    <t>S1.10.3</t>
  </si>
  <si>
    <t>S1.10.4</t>
  </si>
  <si>
    <t>S1.10.5</t>
  </si>
  <si>
    <t>S1.10.6</t>
  </si>
  <si>
    <t>S1.11.1</t>
  </si>
  <si>
    <t>S1.11.2</t>
  </si>
  <si>
    <t>S1.11.3</t>
  </si>
  <si>
    <t>S1.11.4</t>
  </si>
  <si>
    <t>S1.11.5</t>
  </si>
  <si>
    <t>S1.11.6</t>
  </si>
  <si>
    <t>Perform forecasting and budgeting</t>
  </si>
  <si>
    <t>Perform cost management</t>
  </si>
  <si>
    <t>Perform business case / feasibility analysis and or reviews</t>
  </si>
  <si>
    <t>Evaluate and manage financial performance</t>
  </si>
  <si>
    <t>Process customer credit</t>
  </si>
  <si>
    <t>Invoice digital services and platform subscriptions: Bill customers for platforms, DPI and productised services</t>
  </si>
  <si>
    <t>Process accounts receivable</t>
  </si>
  <si>
    <t>Process adjustments</t>
  </si>
  <si>
    <t>Manage accounts receivable</t>
  </si>
  <si>
    <t>Manage accounts payable</t>
  </si>
  <si>
    <t>Manage AP pay file</t>
  </si>
  <si>
    <t>Process invoice</t>
  </si>
  <si>
    <t>Process payments</t>
  </si>
  <si>
    <t>Process financial accruals and reversals</t>
  </si>
  <si>
    <t>Process payables taxes</t>
  </si>
  <si>
    <t>S1.3.7</t>
  </si>
  <si>
    <t>S1.3.8</t>
  </si>
  <si>
    <t>S1.3.9</t>
  </si>
  <si>
    <t>Manage AP exceptions</t>
  </si>
  <si>
    <t>Manage expense reimbursements</t>
  </si>
  <si>
    <t>Manage corporate credit cards</t>
  </si>
  <si>
    <t>Provide internal secretarial and coordination support</t>
  </si>
  <si>
    <t>Provide administrative support</t>
  </si>
  <si>
    <t>Maintain asset register and master files</t>
  </si>
  <si>
    <t>manage asset additions and retires</t>
  </si>
  <si>
    <t>manage asset adjustments</t>
  </si>
  <si>
    <t>manage asset maintenance expenses</t>
  </si>
  <si>
    <t>Manage depreciation</t>
  </si>
  <si>
    <t>S1.4.7</t>
  </si>
  <si>
    <t>S1.4.8</t>
  </si>
  <si>
    <t>S1.4.9</t>
  </si>
  <si>
    <t>S1.4.10</t>
  </si>
  <si>
    <t>manage asset ledger recon</t>
  </si>
  <si>
    <t>Manage assets tracking</t>
  </si>
  <si>
    <t xml:space="preserve">Manage asset data </t>
  </si>
  <si>
    <t>Process journal entries</t>
  </si>
  <si>
    <t>Process allocations</t>
  </si>
  <si>
    <t>Process period end adjustments</t>
  </si>
  <si>
    <t>Process intercompany transactions</t>
  </si>
  <si>
    <t>S1.5.7</t>
  </si>
  <si>
    <t>S1.5.8</t>
  </si>
  <si>
    <t>S1.5.9</t>
  </si>
  <si>
    <t>S1.5.10</t>
  </si>
  <si>
    <t>Reconcile GL accounts</t>
  </si>
  <si>
    <t>Perform consolidations and process eliminations</t>
  </si>
  <si>
    <t>Prepare trial balance</t>
  </si>
  <si>
    <t>Prepare and post management adjustments</t>
  </si>
  <si>
    <t>Perform cashflow planning and forecasting</t>
  </si>
  <si>
    <t>S1.1.7</t>
  </si>
  <si>
    <t>Manage Cash</t>
  </si>
  <si>
    <t>Manage in-house banck accounts</t>
  </si>
  <si>
    <t>Manage debt and investments</t>
  </si>
  <si>
    <t>Monitor &amp; executed hedging transactions</t>
  </si>
  <si>
    <t>Maintain internal financial governance policies and controls</t>
  </si>
  <si>
    <t>Operate controls</t>
  </si>
  <si>
    <t>Monitor internal compliance</t>
  </si>
  <si>
    <t>Report on polcy and control compliance</t>
  </si>
  <si>
    <t>Perform capital planning</t>
  </si>
  <si>
    <t>Perform project capital approval</t>
  </si>
  <si>
    <t>Perform project capital accounting</t>
  </si>
  <si>
    <t>Manage project capital accounting</t>
  </si>
  <si>
    <t>Manage financial reporting</t>
  </si>
  <si>
    <t>Prepare business unit financial statements</t>
  </si>
  <si>
    <t>Consolidate financial statements</t>
  </si>
  <si>
    <t>Perform business unit reporting</t>
  </si>
  <si>
    <t>Perform consolidated reporting</t>
  </si>
  <si>
    <t>Prepare quaterly and annual filings</t>
  </si>
  <si>
    <t>Prepare regulatory reports</t>
  </si>
  <si>
    <t>Manage facilities planning</t>
  </si>
  <si>
    <t>manage workspace optimisation</t>
  </si>
  <si>
    <t>manage facilities capital program</t>
  </si>
  <si>
    <t>Design and plan construction</t>
  </si>
  <si>
    <t>Schedule and perform construction work</t>
  </si>
  <si>
    <t>manage facilities construction</t>
  </si>
  <si>
    <t>manage catering activities</t>
  </si>
  <si>
    <t>Manage meeting conference bookings</t>
  </si>
  <si>
    <t>Provide conference support</t>
  </si>
  <si>
    <t>Plan facilities exit</t>
  </si>
  <si>
    <t>manage facility sale or trade</t>
  </si>
  <si>
    <t>manage facility abandonment</t>
  </si>
  <si>
    <t>manage occupational health</t>
  </si>
  <si>
    <t>Manage workplace safety</t>
  </si>
  <si>
    <t>S6.1 plan physical security</t>
  </si>
  <si>
    <t xml:space="preserve">S5. Manage Facilities, Logistics and Safety
</t>
  </si>
  <si>
    <t xml:space="preserve">S5.1 </t>
  </si>
  <si>
    <t>S5.1.1</t>
  </si>
  <si>
    <t>S5.1.1.1</t>
  </si>
  <si>
    <t>S5.1.1.2</t>
  </si>
  <si>
    <t>S5.1.1.3</t>
  </si>
  <si>
    <t>S5.1.2</t>
  </si>
  <si>
    <t>S5.2.1.1</t>
  </si>
  <si>
    <t>S5.2.1.2</t>
  </si>
  <si>
    <t>S5.2.1.3</t>
  </si>
  <si>
    <t>S5.1.3</t>
  </si>
  <si>
    <t>S5.1.4</t>
  </si>
  <si>
    <t>S5.1.5</t>
  </si>
  <si>
    <t>S5.1.6</t>
  </si>
  <si>
    <t xml:space="preserve">S5.2 </t>
  </si>
  <si>
    <t>S5.2.1</t>
  </si>
  <si>
    <t>S5.2.2</t>
  </si>
  <si>
    <t>S5.2.3</t>
  </si>
  <si>
    <t>S5.2.4</t>
  </si>
  <si>
    <t>S5.2.5</t>
  </si>
  <si>
    <t>S5.2.6</t>
  </si>
  <si>
    <t xml:space="preserve">S5.3 </t>
  </si>
  <si>
    <t>S5.3.1</t>
  </si>
  <si>
    <t>S5.3.2</t>
  </si>
  <si>
    <t>S5.3.3</t>
  </si>
  <si>
    <t>S5.3.4</t>
  </si>
  <si>
    <t>S5.3.5</t>
  </si>
  <si>
    <t>S5.3.6</t>
  </si>
  <si>
    <t xml:space="preserve">S5.4 </t>
  </si>
  <si>
    <t>S5.4.1</t>
  </si>
  <si>
    <t>S5.4.2</t>
  </si>
  <si>
    <t>S5.4.3</t>
  </si>
  <si>
    <t>S5.4.4</t>
  </si>
  <si>
    <t>S5.4.5</t>
  </si>
  <si>
    <t>S5.4.6</t>
  </si>
  <si>
    <t xml:space="preserve">S5.5 </t>
  </si>
  <si>
    <t>S5.5.1</t>
  </si>
  <si>
    <t>S5.5.2</t>
  </si>
  <si>
    <t>S5.5.3</t>
  </si>
  <si>
    <t>S5.5.4</t>
  </si>
  <si>
    <t>S5.5.5</t>
  </si>
  <si>
    <t>S5.5.6</t>
  </si>
  <si>
    <t>S5.6.1</t>
  </si>
  <si>
    <t>S5.6.2</t>
  </si>
  <si>
    <t>S5.6.3</t>
  </si>
  <si>
    <t>S5.6.4</t>
  </si>
  <si>
    <t>S5.6.5</t>
  </si>
  <si>
    <t>S5.6.6</t>
  </si>
  <si>
    <t>S5.7.1</t>
  </si>
  <si>
    <t>S5.7.2</t>
  </si>
  <si>
    <t>S5.7.3</t>
  </si>
  <si>
    <t>S5.7.4</t>
  </si>
  <si>
    <t>S5.7.5</t>
  </si>
  <si>
    <t>S5.7.6</t>
  </si>
  <si>
    <t>S5.8.1</t>
  </si>
  <si>
    <t>S5.8.2</t>
  </si>
  <si>
    <t>S5.8.3</t>
  </si>
  <si>
    <t>S5.8.4</t>
  </si>
  <si>
    <t>S5.8.5</t>
  </si>
  <si>
    <t>S5.8.6</t>
  </si>
  <si>
    <t xml:space="preserve">S7. Manage physical security and safety
</t>
  </si>
  <si>
    <t xml:space="preserve">S3.1 </t>
  </si>
  <si>
    <t>S3.1.1</t>
  </si>
  <si>
    <t>S3.1.1.1</t>
  </si>
  <si>
    <t>S3.1.1.2</t>
  </si>
  <si>
    <t>S3.1.1.3</t>
  </si>
  <si>
    <t>S3.1.2</t>
  </si>
  <si>
    <t>S3.2.1.1</t>
  </si>
  <si>
    <t>S3.2.1.2</t>
  </si>
  <si>
    <t>S3.2.1.3</t>
  </si>
  <si>
    <t>S3.1.3</t>
  </si>
  <si>
    <t>S3.1.4</t>
  </si>
  <si>
    <t>S3.1.5</t>
  </si>
  <si>
    <t>S3.1.6</t>
  </si>
  <si>
    <t xml:space="preserve">S3.2 </t>
  </si>
  <si>
    <t>S3.2.1</t>
  </si>
  <si>
    <t>S3.2.2</t>
  </si>
  <si>
    <t>S3.2.3</t>
  </si>
  <si>
    <t>S3.2.4</t>
  </si>
  <si>
    <t>S3.2.5</t>
  </si>
  <si>
    <t>S3.2.6</t>
  </si>
  <si>
    <t xml:space="preserve">S3.3 </t>
  </si>
  <si>
    <t>S3.3.1</t>
  </si>
  <si>
    <t>S3.3.2</t>
  </si>
  <si>
    <t>S3.3.3</t>
  </si>
  <si>
    <t>S3.3.4</t>
  </si>
  <si>
    <t>S3.3.5</t>
  </si>
  <si>
    <t>S3.3.6</t>
  </si>
  <si>
    <t xml:space="preserve">S3.4 </t>
  </si>
  <si>
    <t>S3.4.1</t>
  </si>
  <si>
    <t>S3.4.2</t>
  </si>
  <si>
    <t>S3.4.3</t>
  </si>
  <si>
    <t>S3.4.4</t>
  </si>
  <si>
    <t>S3.4.5</t>
  </si>
  <si>
    <t>S3.4.6</t>
  </si>
  <si>
    <t xml:space="preserve">S3.5 </t>
  </si>
  <si>
    <t>S3.5.1</t>
  </si>
  <si>
    <t>S3.5.2</t>
  </si>
  <si>
    <t>S3.5.3</t>
  </si>
  <si>
    <t>S3.5.4</t>
  </si>
  <si>
    <t>S3.5.5</t>
  </si>
  <si>
    <t>S3.5.6</t>
  </si>
  <si>
    <t>S3.6.1</t>
  </si>
  <si>
    <t>S3.6.2</t>
  </si>
  <si>
    <t>S3.6.3</t>
  </si>
  <si>
    <t>S3.6.4</t>
  </si>
  <si>
    <t>S3.6.5</t>
  </si>
  <si>
    <t>S3.6.6</t>
  </si>
  <si>
    <t>S3.7.1</t>
  </si>
  <si>
    <t>S3.7.2</t>
  </si>
  <si>
    <t>S3.7.3</t>
  </si>
  <si>
    <t>S3.7.4</t>
  </si>
  <si>
    <t>S3.7.5</t>
  </si>
  <si>
    <t>S3.7.6</t>
  </si>
  <si>
    <t>S3.8.1</t>
  </si>
  <si>
    <t>S3.8.2</t>
  </si>
  <si>
    <t>S3.8.3</t>
  </si>
  <si>
    <t>S3.8.4</t>
  </si>
  <si>
    <t>S3.8.5</t>
  </si>
  <si>
    <t>S3.8.6</t>
  </si>
  <si>
    <t xml:space="preserve">S3. Manage supply chain and procurement
</t>
  </si>
  <si>
    <t>Maintain procurement  framework (including benchmarks)</t>
  </si>
  <si>
    <t>S3.1.7</t>
  </si>
  <si>
    <t>S3.1.8</t>
  </si>
  <si>
    <t>S3.1.9</t>
  </si>
  <si>
    <t>S3.1.10</t>
  </si>
  <si>
    <t>S3.1.11</t>
  </si>
  <si>
    <t>S3.1.12</t>
  </si>
  <si>
    <t>Develop procurement policy framework</t>
  </si>
  <si>
    <t>Define procurement governance model</t>
  </si>
  <si>
    <t>Define procurement authority levels</t>
  </si>
  <si>
    <t>Develop procurement procedures manual</t>
  </si>
  <si>
    <t>Define procurement compliance standards</t>
  </si>
  <si>
    <t>Define procurement documentation standards</t>
  </si>
  <si>
    <t>Develop procurement benchmarking framework</t>
  </si>
  <si>
    <t>Benchmark procurement costs and service models</t>
  </si>
  <si>
    <t>Benchmark supplier performance metrics</t>
  </si>
  <si>
    <t>Maintain procurement policy updates</t>
  </si>
  <si>
    <t>Conduct procurement policy review</t>
  </si>
  <si>
    <t>Communicate procurement framework updates</t>
  </si>
  <si>
    <t>Receive sourcing request</t>
  </si>
  <si>
    <t>Validate sourcing requirement</t>
  </si>
  <si>
    <t>Confirm procurement method eligibility</t>
  </si>
  <si>
    <t>Develop sourcing specification</t>
  </si>
  <si>
    <t>Identify potential suppliers</t>
  </si>
  <si>
    <t>Request supplier quotations</t>
  </si>
  <si>
    <t>S3.2.7</t>
  </si>
  <si>
    <t>Evaluate supplier quotations</t>
  </si>
  <si>
    <t>S3.2.8</t>
  </si>
  <si>
    <t>Perform cost benchmarking</t>
  </si>
  <si>
    <t>S3.2.9</t>
  </si>
  <si>
    <t>Perform compliance verification</t>
  </si>
  <si>
    <t>S3.2.10</t>
  </si>
  <si>
    <t>S3.2.11</t>
  </si>
  <si>
    <t>Approve supplier selection</t>
  </si>
  <si>
    <t>S3.2.12</t>
  </si>
  <si>
    <t>Issue purchase order</t>
  </si>
  <si>
    <t>Develop tender specification</t>
  </si>
  <si>
    <t>Define tender evaluation criteria</t>
  </si>
  <si>
    <t>Prepare tender documentation pack</t>
  </si>
  <si>
    <t>Publish tender invitation</t>
  </si>
  <si>
    <t>Manage bidder clarification process</t>
  </si>
  <si>
    <t>Receive tender submissions</t>
  </si>
  <si>
    <t>S3.3.7</t>
  </si>
  <si>
    <t>Conduct administrative compliance review</t>
  </si>
  <si>
    <t>S3.3.8</t>
  </si>
  <si>
    <t>Conduct technical evaluation</t>
  </si>
  <si>
    <t>S3.3.9</t>
  </si>
  <si>
    <t>Conduct commercial evaluation</t>
  </si>
  <si>
    <t>S3.3.10</t>
  </si>
  <si>
    <t>Compile tender evaluation report</t>
  </si>
  <si>
    <t>S3.3.11</t>
  </si>
  <si>
    <t>Approve tender award</t>
  </si>
  <si>
    <t>S3.3.12</t>
  </si>
  <si>
    <t>Issue award notification</t>
  </si>
  <si>
    <t>Prepare vendor contract documentation</t>
  </si>
  <si>
    <t>Review legal terms and conditions</t>
  </si>
  <si>
    <t>Define service scope and deliverables</t>
  </si>
  <si>
    <t>Define service level agreements</t>
  </si>
  <si>
    <t>Define contract governance requirements</t>
  </si>
  <si>
    <t>Negotiate contract terms</t>
  </si>
  <si>
    <t>S3.4.7</t>
  </si>
  <si>
    <t>Obtain internal contract approvals</t>
  </si>
  <si>
    <t>S3.4.8</t>
  </si>
  <si>
    <t>Execute vendor contract</t>
  </si>
  <si>
    <t>S3.4.9</t>
  </si>
  <si>
    <t>Register contract in contract repository</t>
  </si>
  <si>
    <t>S3.4.10</t>
  </si>
  <si>
    <t>Communicate contract obligations</t>
  </si>
  <si>
    <t>S3.4.11</t>
  </si>
  <si>
    <t>Initiate contract governance schedule</t>
  </si>
  <si>
    <t>Define vendor performance metrics</t>
  </si>
  <si>
    <t>Collect vendor performance data</t>
  </si>
  <si>
    <t>Monitor service delivery compliance</t>
  </si>
  <si>
    <t>Conduct vendor performance reviews</t>
  </si>
  <si>
    <t>S3.5.7</t>
  </si>
  <si>
    <t>S3.5.8</t>
  </si>
  <si>
    <t>S3.5.9</t>
  </si>
  <si>
    <t>Maintain vendor performance records</t>
  </si>
  <si>
    <t>S3.5.10</t>
  </si>
  <si>
    <t>S3.5.11</t>
  </si>
  <si>
    <t>Define procurement compliance metrics</t>
  </si>
  <si>
    <t>Collect procurement performance data</t>
  </si>
  <si>
    <t>Monitor procurement compliance</t>
  </si>
  <si>
    <t>Implement procurement corrective actions</t>
  </si>
  <si>
    <t>Prepare procurement performance reports</t>
  </si>
  <si>
    <t>Define supplier registration requirements</t>
  </si>
  <si>
    <t>S3.2.13</t>
  </si>
  <si>
    <t>S3.4.12</t>
  </si>
  <si>
    <t>S3.5.12</t>
  </si>
  <si>
    <t>Monitor contractual SLA compliance (both parties)</t>
  </si>
  <si>
    <t>Identify &amp; escalate vendor performance deviations</t>
  </si>
  <si>
    <t>Manage vendor performance improvements</t>
  </si>
  <si>
    <t>Manage vendor removal / contract cancellation</t>
  </si>
  <si>
    <t>Receive and validate supplier invoices</t>
  </si>
  <si>
    <t>Confirm delivery / contractual compliance</t>
  </si>
  <si>
    <t>Validate and approve / reject potential vendors</t>
  </si>
  <si>
    <t>Onboard vendor</t>
  </si>
  <si>
    <t>Maintain master records and register</t>
  </si>
  <si>
    <t>Update / deactivate supplier status</t>
  </si>
  <si>
    <t>Execution status</t>
  </si>
  <si>
    <t>M1.1.1 Maintain ideal culture definition</t>
  </si>
  <si>
    <t>M1.1.2 Establish and monitor culture health related KPIs</t>
  </si>
  <si>
    <t>M1.1.3 Conduct periodic cultural assessments using employee feedback tools</t>
  </si>
  <si>
    <t>M1.1.4 Facilitate leadership forums to reinforce desired cultural behaviors.</t>
  </si>
  <si>
    <t xml:space="preserve">M1.1.5 Monitor organizational values integration in daily operations. </t>
  </si>
  <si>
    <t>M1.1.6 Nurture ideal culture</t>
  </si>
  <si>
    <t>M1.2.1  Assess external macro-environmental factors.</t>
  </si>
  <si>
    <t xml:space="preserve">M1.2.2 Perform internal value chain analysis </t>
  </si>
  <si>
    <t>M1.4.1 Define strategic themes aligned with organizational vision.</t>
  </si>
  <si>
    <t>M1.4.2 Develop strategic objectives and KPIs using strategy maps.</t>
  </si>
  <si>
    <t>M1.4.3 Assign strategic initiative owners with defined accountability.</t>
  </si>
  <si>
    <t>M1.4.3</t>
  </si>
  <si>
    <t>M1.4.2</t>
  </si>
  <si>
    <t>M1.4.1</t>
  </si>
  <si>
    <t>Well executed</t>
  </si>
  <si>
    <t>by HCM</t>
  </si>
  <si>
    <t>In-house or Outsourced</t>
  </si>
  <si>
    <t>Outsourced</t>
  </si>
  <si>
    <t>Owner HCM. CDM supports with project management services</t>
  </si>
  <si>
    <t>Being done exceptionally well and accolades on this from board</t>
  </si>
  <si>
    <t>Executed in house by CDS but need more people capacity</t>
  </si>
  <si>
    <t>Executed in house but we have external partners we outsource to when needed</t>
  </si>
  <si>
    <t>Comment - Why is 1.2 not part of 1.4?</t>
  </si>
  <si>
    <t>This should be in the Core as Product Life cycle management</t>
  </si>
  <si>
    <t>Executed</t>
  </si>
  <si>
    <t xml:space="preserve">This is done based on client request </t>
  </si>
  <si>
    <t>Done internally but can be outsoured to boost capacity</t>
  </si>
  <si>
    <t>Executed but some parts of this are no longer being executed</t>
  </si>
  <si>
    <t>Does it need to be centralized? Product line have a responsibility here</t>
  </si>
  <si>
    <t>Partnership function is still new so noone in the role yet, but will be put in place</t>
  </si>
  <si>
    <t>Not yet</t>
  </si>
  <si>
    <t>In-house within strategy office</t>
  </si>
  <si>
    <t>Additional Resources should be considered</t>
  </si>
  <si>
    <t>Done internally by CDS and HCM</t>
  </si>
  <si>
    <t>These are done and are improving</t>
  </si>
  <si>
    <t>In APP</t>
  </si>
  <si>
    <t>NEW ADDITION?</t>
  </si>
  <si>
    <t>Monitor Planning and implementation of strategic initiatives</t>
  </si>
  <si>
    <t>Transformation Programme Management Office</t>
  </si>
  <si>
    <t>Not fully digital</t>
  </si>
  <si>
    <t>Considerations for digitisation in progress. Need to consider customer experience</t>
  </si>
  <si>
    <t>Good quality review being done</t>
  </si>
  <si>
    <t xml:space="preserve">Done internally by CDS </t>
  </si>
  <si>
    <t>Done internally and reviewed by EXCO</t>
  </si>
  <si>
    <t>Being done well overall</t>
  </si>
  <si>
    <t>very stringent process in place</t>
  </si>
  <si>
    <t>Done through steercoms on monthly basis</t>
  </si>
  <si>
    <t>Steerco/ EXO/ Board make strategy recommendations on a number of initiatives.  Also strat review workshops regularly</t>
  </si>
  <si>
    <t>Steerco/ EXO/ Board make strategy recommendations and strat review workshops regulalry including stakeholders for this purpose</t>
  </si>
  <si>
    <t>Done by CDS Internally</t>
  </si>
  <si>
    <t xml:space="preserve">Some of these procedures may not be as relevant as we have APP which incorporates everything we do. This goes into the corp scorecard and cascaded to divisional scorecards </t>
  </si>
  <si>
    <t>Done through APP and Operational Plans and Reporting</t>
  </si>
  <si>
    <r>
      <t xml:space="preserve">Manage </t>
    </r>
    <r>
      <rPr>
        <sz val="11"/>
        <color rgb="FFFF0000"/>
        <rFont val="Calibri"/>
        <family val="2"/>
      </rPr>
      <t xml:space="preserve">external AOPO (Audit of Predetermined Objectives) </t>
    </r>
  </si>
  <si>
    <t>Performance is improving steadily. We have some work to do in terms of planning for strategic capacity.</t>
  </si>
  <si>
    <t>Done by CDS through alignment workshops regulalry a few times per year</t>
  </si>
  <si>
    <t>We have strategic initiatives to close gaps however financial resources are constrained</t>
  </si>
  <si>
    <t>Gartner and other external bodies have been consulted. Competitive benchmarks are done on costing. CMI Institute to do benchmarking as well.</t>
  </si>
  <si>
    <t xml:space="preserve">Have compared SITA with other similar IT entities internationally. </t>
  </si>
  <si>
    <t>e.g. AI - we have reviwed and conducted gap analysis and developed a strategy. Quality team is incorporatigmg best practices to ensure our processes are competitive</t>
  </si>
  <si>
    <t>Managing the operating model cuts across the org. PSS - Products Services and Solutions also does this work.</t>
  </si>
  <si>
    <t>CIO will govern the internal systems arena</t>
  </si>
  <si>
    <t>Operating model will depend on internal and external stakeholders, may need to split this sub process into 3 - operating model, internal system and governance because they have different owners</t>
  </si>
  <si>
    <t>information published regularly and presented</t>
  </si>
  <si>
    <t>Require capacity resources</t>
  </si>
  <si>
    <t>Not yet documented formally</t>
  </si>
  <si>
    <t>Framework in place but commercuals an issue</t>
  </si>
  <si>
    <t>Still new area so not yet activated</t>
  </si>
  <si>
    <t>Entity type impacts this. Some investment streams are not able to align with SITA from investment perspective.</t>
  </si>
  <si>
    <t>still new function</t>
  </si>
  <si>
    <t>followed a structre Now belong into ICT Steering committee Moved to OCIO</t>
  </si>
  <si>
    <t>More of Culture maintian well</t>
  </si>
  <si>
    <t>e.g. Change Mngt and Intranet  Digital Friday platform</t>
  </si>
  <si>
    <t>not here ...determined by Finance Managed through budget by Finance only give inpits</t>
  </si>
  <si>
    <t>we have communities of practices… to be Efficient and Effecitve ...we should move the engagement</t>
  </si>
  <si>
    <t>we reach ou tto line - NERSA compleince Rentention and disposal schedule  periods  Also SITA Varsity .  Have writing standrad and procedures Namiung Conventiuons</t>
  </si>
  <si>
    <t>Monthly Quaterly   we are makking Impact but support betetr -  Top down support</t>
  </si>
  <si>
    <r>
      <t>Culture in organisation that do not adopt fast  We should also i</t>
    </r>
    <r>
      <rPr>
        <sz val="11"/>
        <color rgb="FFFF0000"/>
        <rFont val="Calibri"/>
        <family val="2"/>
      </rPr>
      <t>nclude KM Chang Management (</t>
    </r>
    <r>
      <rPr>
        <sz val="11"/>
        <color theme="1"/>
        <rFont val="Calibri"/>
        <family val="2"/>
      </rPr>
      <t>HCM)e.g. new intranet  we struggle with participation CULTURE</t>
    </r>
  </si>
  <si>
    <t xml:space="preserve">Capacity  Capability at right level </t>
  </si>
  <si>
    <t>Capacity  Capability at right level and Resouirces and Tools  Automation  AI</t>
  </si>
  <si>
    <t>Design and maintaing KM resource model (based on KM value proposition and ROI)</t>
  </si>
  <si>
    <t>Capability also include analytics</t>
  </si>
  <si>
    <t xml:space="preserve"> Skills Gap Resources and Tools  Automation  AI</t>
  </si>
  <si>
    <t xml:space="preserve">Automation AI </t>
  </si>
  <si>
    <t>Intergration expansion- Skills or Capacity Depending on other department</t>
  </si>
  <si>
    <t xml:space="preserve"> Supported by Policies</t>
  </si>
  <si>
    <t>Define Governmance (procceses procedures)</t>
  </si>
  <si>
    <t>Retention Schedule and Filing Structure</t>
  </si>
  <si>
    <t>Line function can improve</t>
  </si>
  <si>
    <t>Classification &amp; Tagging: Categorizing information by topic, department, or function.</t>
  </si>
  <si>
    <t>Content Management: Reviewing, auditing, and validating content for accuracy and relevance.</t>
  </si>
  <si>
    <t>Knowledge Mapping: Mapping where knowledge exists within the organization</t>
  </si>
  <si>
    <t>Skills or Capacity</t>
  </si>
  <si>
    <t>structuring knowledge to make it easily accessible, searchable, and accurate</t>
  </si>
  <si>
    <t>Manage internal records governance   and Curation</t>
  </si>
  <si>
    <r>
      <t>umbrella term include Intranet Social media  Skills o</t>
    </r>
    <r>
      <rPr>
        <sz val="11"/>
        <color rgb="FFFF0000"/>
        <rFont val="Calibri"/>
        <family val="2"/>
      </rPr>
      <t>r Capacity  Technical)</t>
    </r>
  </si>
  <si>
    <t>Intranet Social media  Skills or Capacity  Technical</t>
  </si>
  <si>
    <t>Managing the information lifecycle and custodianship involves a structured, policy-driven approach to overseeing data from its creation to its final, secure destruction. It aims to maximize the value of information while ensuring security, compliance, and cost optimization</t>
  </si>
  <si>
    <t>• Information Support Services (Creation and Capture)</t>
  </si>
  <si>
    <t>digital  Knowledge basis: Data Acquisition/Generation: Creating, collecting, or receiving data (e.g., user input, system logs, sensors).
Initial Classification &amp; Tagging: Categorizing data based on sensitivity (e.g., public, confidential) and value at the moment of creation.
Metadata Assignment: Attaching descriptive information (author, date, type) to enable automated management</t>
  </si>
  <si>
    <t>Role-Based Access Control (RBAC): Restricting data access based on user roles and permissions.
Monitoring &amp; Auditing: Tracking access to information to ensure compliance and prevent unauthorized usage.
Secure Sharing: Exchanging data with authorized internal or external parties using secure methods</t>
  </si>
  <si>
    <t>• Information Advice Service (Usage, Access, and Sharing</t>
  </si>
  <si>
    <t>SKLLS CAPACITY</t>
  </si>
  <si>
    <t>• Information Management Architecture (Storage and Maintenance)</t>
  </si>
  <si>
    <r>
      <t>Storage Tiering:</t>
    </r>
    <r>
      <rPr>
        <sz val="9"/>
        <color rgb="FF0A0A0A"/>
        <rFont val="Arial"/>
        <family val="2"/>
      </rPr>
      <t> Allocating data to appropriate, cost-effective storage mediums (e.g., "hot" vs. "cold" storage) based on its frequency of use.</t>
    </r>
  </si>
  <si>
    <r>
      <t>Data Quality Assurance:</t>
    </r>
    <r>
      <rPr>
        <sz val="9"/>
        <color rgb="FF0A0A0A"/>
        <rFont val="Arial"/>
        <family val="2"/>
      </rPr>
      <t> Cleaning, validating, and ensuring consistency across systems.</t>
    </r>
  </si>
  <si>
    <r>
      <t>Security &amp; Encryption:</t>
    </r>
    <r>
      <rPr>
        <sz val="9"/>
        <color rgb="FF0A0A0A"/>
        <rFont val="Arial"/>
        <family val="2"/>
      </rPr>
      <t> Implementing access controls and security measures to protect data integrity.</t>
    </r>
  </si>
  <si>
    <t>See 7.1.6</t>
  </si>
  <si>
    <t>The sub-process for Manage Knowledge Sharing and Organisational Learning within Knowledge Management involves systematically creating, capturing, storing, sharing, and applying knowledge to foster a culture of continuous learning. It aims to transform individual insights into collective organizational assets</t>
  </si>
  <si>
    <t xml:space="preserve"> Knowledge Creation and Identification
Conducting Knowledge Audits: Using surveys, interviews, and mapping to identify existing knowledge assets and knowledge gaps within teams.
Facilitating Brainstorming &amp; Innovation: Encouraging collaborative sessions, virtual whiteboards, and workshops to develop new ideas and solutions.
After-Action Reviews (AARs): Conducting project post-mortems to capture lessons learned from both successes and failures.</t>
  </si>
  <si>
    <t xml:space="preserve">Skills Capcity </t>
  </si>
  <si>
    <t>Knowledge Sharing and Dissemination
Establishing Communities of Practice (CoPs): Creating groups of employees with similar interests or expertise to share insights and solve problems.
Implementing Mentorship and Shadowing: Pairing experienced employees with new or transitioning staff to transfer tacit knowledge.
Utilizing Collaboration Tools: Using platforms like Slack, Microsoft Teams, or intranets for real-time communication and knowledge sharing.
Storytelling: Using narratives to convey complex tacit knowledge and organizational culture.</t>
  </si>
  <si>
    <t>Skills Capacity  Resources  Tools</t>
  </si>
  <si>
    <t>Skills Capacity  Resources  Tools  (AI Technical)</t>
  </si>
  <si>
    <t>SKILLS CAPACITY  e.g. AI</t>
  </si>
  <si>
    <t xml:space="preserve">S7.1  </t>
  </si>
  <si>
    <r>
      <rPr>
        <sz val="11"/>
        <color rgb="FFFF0000"/>
        <rFont val="Calibri"/>
        <family val="2"/>
      </rPr>
      <t>IDEA REGISTER shoudl include here</t>
    </r>
    <r>
      <rPr>
        <sz val="11"/>
        <color theme="1"/>
        <rFont val="Calibri"/>
        <family val="2"/>
      </rPr>
      <t xml:space="preserve"> Classification &amp; Tagging: Categorizing information by topic, department, or function.
Content Management: Reviewing, auditing, and validating content for accuracy and relevance.
Knowledge Mapping: Mapping where knowledge exists within the organization</t>
    </r>
  </si>
  <si>
    <t>Build and Manage Central repository</t>
  </si>
  <si>
    <t>Hand over to knowledge mngt 9 Information central repository  database</t>
  </si>
  <si>
    <r>
      <t xml:space="preserve">Manage information lifecycle and custodianship </t>
    </r>
    <r>
      <rPr>
        <sz val="11"/>
        <color rgb="FFFF0000"/>
        <rFont val="Calibri"/>
        <family val="2"/>
      </rPr>
      <t>-Information and data Management</t>
    </r>
  </si>
  <si>
    <t xml:space="preserve">S1. Manage Finance
</t>
  </si>
  <si>
    <t>Definition / Comments</t>
  </si>
  <si>
    <t>Manage Accounts Receivable</t>
  </si>
  <si>
    <t>Develop Finance Strategy and Policies</t>
  </si>
  <si>
    <t>Need to setup another drill down session with additional Finance colleagues.</t>
  </si>
  <si>
    <t>Perform cost accounting and controls</t>
  </si>
  <si>
    <t>Skills in Notebooks</t>
  </si>
  <si>
    <t>already outomated</t>
  </si>
  <si>
    <t>Skills Capacity Resources is needed Aotomation will be needed</t>
  </si>
  <si>
    <t xml:space="preserve">infrastructure architecture and standards outdated Skills Capacity Resources is needed </t>
  </si>
  <si>
    <t>Look for Ovverlap on EM level  on M2  Architect Governance</t>
  </si>
  <si>
    <t>Done by EA  office CIO</t>
  </si>
  <si>
    <t>Capacity of Trainers</t>
  </si>
  <si>
    <t>done monthly reports</t>
  </si>
  <si>
    <t>SKILLS Depend on internal stakeholders Time avaiability   Coupold partne rwith industry</t>
  </si>
  <si>
    <t>OCIO just started still need to do 4 levels beginning</t>
  </si>
  <si>
    <t>Overusage of Oracle Delegating TOOlS RESOURCES  Managing of the licensing …........Analysing not to right department  Contract mngt should move tom department</t>
  </si>
  <si>
    <t xml:space="preserve">GOVERNANCE RISK SECTION </t>
  </si>
  <si>
    <t xml:space="preserve">S4. Manage internal ICT and Information (OCIO)
</t>
  </si>
  <si>
    <t>Analyse usage through Managing monitoring</t>
  </si>
  <si>
    <t>Manage EUC services (Internal support only from OCIO)</t>
  </si>
  <si>
    <t xml:space="preserve">insourced </t>
  </si>
  <si>
    <t>internally done</t>
  </si>
  <si>
    <t xml:space="preserve">CAN BE BETTER CAPACITATED WITH TECHNICAL RESOIURCES  </t>
  </si>
  <si>
    <t>OCIO capacity building</t>
  </si>
  <si>
    <t>Three Departments OCIO and ISS and OSIS(networks0</t>
  </si>
  <si>
    <t xml:space="preserve">OCIO and OSIS </t>
  </si>
  <si>
    <t>ISS</t>
  </si>
  <si>
    <t>OICO and ISS</t>
  </si>
  <si>
    <t>OCIO and ISS</t>
  </si>
  <si>
    <t>there was a resource</t>
  </si>
  <si>
    <t>SKILLS How TO  How many resources we would need</t>
  </si>
  <si>
    <t>HR resources not avaiabel for CMBD tool SKILLS How TO  How many resources we would need</t>
  </si>
  <si>
    <t>SAM tool CMDB tool SKILLS How TO  How many resources we would need</t>
  </si>
  <si>
    <t xml:space="preserve">part of Service Delivery Manageemnt  </t>
  </si>
  <si>
    <t>Skills &amp; Capacity</t>
  </si>
  <si>
    <t xml:space="preserve">cross functional </t>
  </si>
  <si>
    <t>Revisit with Maropeng Back on TUESDAY</t>
  </si>
  <si>
    <t>need capacity to take ownership</t>
  </si>
  <si>
    <t>c</t>
  </si>
  <si>
    <t>M3.2.7</t>
  </si>
  <si>
    <t>M3.2.8</t>
  </si>
  <si>
    <t>Identify Stakeholders</t>
  </si>
  <si>
    <t>Being done very well</t>
  </si>
  <si>
    <t>Map Stakeholders</t>
  </si>
  <si>
    <t>Every segment of stakeholder is articulated well</t>
  </si>
  <si>
    <t>Develop methods/ channels of engagement with the stakeholders</t>
  </si>
  <si>
    <t>Conduct Stakeholder Profiling and Analysis</t>
  </si>
  <si>
    <t>Develop Engagement Plan</t>
  </si>
  <si>
    <t>Done well and daily</t>
  </si>
  <si>
    <t>Develop Stakeholder Engagement Channels</t>
  </si>
  <si>
    <t>Manage minstry / shareholder relations</t>
  </si>
  <si>
    <t>manage baord relations</t>
  </si>
  <si>
    <t>Manage industry relations</t>
  </si>
  <si>
    <t>M3.2.9</t>
  </si>
  <si>
    <t>Manage regulatory relations</t>
  </si>
  <si>
    <t>Monitor and evaluate</t>
  </si>
  <si>
    <t>Manage stakeholder management strategy framework</t>
  </si>
  <si>
    <t>Report on non-commercial stakeholder relations</t>
  </si>
  <si>
    <t>Done internally - DASHBOARD is used to identify monthly and quarterly progress</t>
  </si>
  <si>
    <t>Not yet approved, awaiting approval</t>
  </si>
  <si>
    <t xml:space="preserve">Risks identified and recommendations presented quarterly to Board. </t>
  </si>
  <si>
    <t>Develop Brand Strategy</t>
  </si>
  <si>
    <t>Define Target Audiences</t>
  </si>
  <si>
    <t>Develop the Message</t>
  </si>
  <si>
    <t>Plan the Campaign and Activities / Initiatives</t>
  </si>
  <si>
    <t>Review, Update and Socialise Corporate Identity Manual</t>
  </si>
  <si>
    <t>Enforce CI Manual through Sign-off Procedure</t>
  </si>
  <si>
    <t>M3.4.7</t>
  </si>
  <si>
    <t>Conduct Brand Onboarding Sessions to ensure compliance &amp; consistency</t>
  </si>
  <si>
    <t>Manage brand (Positioning, governance, compliance, consistency)</t>
  </si>
  <si>
    <t>Manage MK funding modles</t>
  </si>
  <si>
    <t>Incomplete</t>
  </si>
  <si>
    <t>Complete</t>
  </si>
  <si>
    <t xml:space="preserve">Partly </t>
  </si>
  <si>
    <t>Outstanding Action</t>
  </si>
  <si>
    <r>
      <t xml:space="preserve">Process inventory status L3 </t>
    </r>
    <r>
      <rPr>
        <sz val="11"/>
        <color theme="1"/>
        <rFont val="Calibri"/>
        <family val="2"/>
      </rPr>
      <t>(Select from the dropdown)</t>
    </r>
  </si>
  <si>
    <t xml:space="preserve">S4. Manage Internal ICT and BI Services   </t>
  </si>
  <si>
    <t>Define infrastructure architecture and standards, Look for Ovverlap on EM level  on M2  Architect Governance</t>
  </si>
  <si>
    <t>(Commercial suppliers) Refer to Partner optimisation M6)</t>
  </si>
  <si>
    <t>Check with Region doing this</t>
  </si>
  <si>
    <t>Manage field support(Regional)</t>
  </si>
  <si>
    <t>Functions</t>
  </si>
  <si>
    <t>COO</t>
  </si>
  <si>
    <t>GRC</t>
  </si>
  <si>
    <t>Legal</t>
  </si>
  <si>
    <t>Fin</t>
  </si>
  <si>
    <t>MD</t>
  </si>
  <si>
    <t>Cosec</t>
  </si>
  <si>
    <t>IA</t>
  </si>
  <si>
    <t>CIO</t>
  </si>
  <si>
    <t>Strategy</t>
  </si>
  <si>
    <t>Nat &amp; Reg Consulting</t>
  </si>
  <si>
    <t>Chief digital Officer</t>
  </si>
  <si>
    <t>SCM</t>
  </si>
  <si>
    <t>Service Management</t>
  </si>
  <si>
    <t>IT infrastructure</t>
  </si>
  <si>
    <t>Apps Dev &amp; Maintain</t>
  </si>
  <si>
    <t>Corp Affairs</t>
  </si>
  <si>
    <t>HCM &amp; Facilities</t>
  </si>
  <si>
    <t>C1.1 Analyse &amp; prioritise Government departmental digital demand</t>
  </si>
  <si>
    <t>C1.6 Conduct stakeholder research and market intelligence??</t>
  </si>
  <si>
    <t>PSS</t>
  </si>
  <si>
    <t>Position, promote and differentiate SITA’s digital products, managed services and platform offerings to increase customer acquisition, improve retention and expand commercial revenue streams. manages brand positioning and monitors market-level customer satisfaction and perception.</t>
  </si>
  <si>
    <t>Launch new digital products and services (Prepare)</t>
  </si>
  <si>
    <t>Monitor service &amp; channels performance and adoption</t>
  </si>
  <si>
    <t xml:space="preserve">Manage service catalogue governance </t>
  </si>
  <si>
    <t>Manage service &amp; channels financial performance</t>
  </si>
  <si>
    <t>Govern service &amp; channelsenhancement pipeline</t>
  </si>
  <si>
    <t>Manage benefits realisation tracking (Products / services)</t>
  </si>
  <si>
    <t>Manage Change (Technology related adoption / user change)</t>
  </si>
  <si>
    <t>Manage fleet</t>
  </si>
  <si>
    <t>Manage property (utilities, purchases, selling)</t>
  </si>
  <si>
    <t xml:space="preserve">Manage cleaning and hygiene  </t>
  </si>
  <si>
    <t>Manage inventory (stores, stationary, refreshments, cleaning materials, equipment)</t>
  </si>
  <si>
    <t>S5.9</t>
  </si>
  <si>
    <t>S5.10</t>
  </si>
  <si>
    <t>S5.11</t>
  </si>
  <si>
    <t>S5.12</t>
  </si>
  <si>
    <t>S5.13</t>
  </si>
  <si>
    <t>S5.14</t>
  </si>
  <si>
    <t>Develop and manage facilities strategy</t>
  </si>
  <si>
    <t>S5.15</t>
  </si>
  <si>
    <t>Manage construction / modifications / replacements</t>
  </si>
  <si>
    <t xml:space="preserve">Manage occupational health and safety (Accountable) </t>
  </si>
  <si>
    <t xml:space="preserve">Manage soft services (landscaping, vending equipmen, PPE, pestcontrol, treefelling, watercoolers, designated smoking areas) </t>
  </si>
  <si>
    <t>manage environment  (recycling, waste management, energy management, pestcontrol, green strategy?)</t>
  </si>
  <si>
    <t>Manage space planning</t>
  </si>
  <si>
    <t xml:space="preserve">Manage hospitality </t>
  </si>
  <si>
    <t>Manage facilities disposal and asset verification ? (should be part of manage asset accounting)</t>
  </si>
  <si>
    <t>Line structure for regional facilties management (matrix). Funding are managed in the regions (regions budget independently). Decentralised capcity is not centrally coordinated, regionally managed- independently)</t>
  </si>
  <si>
    <t>Procurement process is the biggest constraint tio obtain approval and the resources to execute. 90% outsourced. (Focus is more om the commercial procurement and not the internal support procurement.</t>
  </si>
  <si>
    <t>No software programme to enable.  Staff requirement vacancies, manual)</t>
  </si>
  <si>
    <r>
      <t xml:space="preserve">supply chain slows the process down. </t>
    </r>
    <r>
      <rPr>
        <sz val="10"/>
        <color rgb="FFFF0000"/>
        <rFont val="Arial"/>
        <family val="2"/>
      </rPr>
      <t>The procurement system is a potential challenge</t>
    </r>
    <r>
      <rPr>
        <sz val="10"/>
        <rFont val="Arial"/>
        <family val="2"/>
      </rPr>
      <t>. Need a ticketing &amp; maintenance monitoring system. Decentralised budgeting.</t>
    </r>
  </si>
  <si>
    <t>No current hostpitality services on site. In process of outsourcing. Bussy with the feasibility.</t>
  </si>
  <si>
    <r>
      <t>Disposal is coordinated by the asset management department.</t>
    </r>
    <r>
      <rPr>
        <sz val="10"/>
        <color rgb="FFFF0000"/>
        <rFont val="Arial"/>
        <family val="2"/>
      </rPr>
      <t xml:space="preserve"> Unable to dispose of old furniture speedily, the process is cumbersome</t>
    </r>
    <r>
      <rPr>
        <sz val="10"/>
        <rFont val="Arial"/>
        <family val="2"/>
      </rPr>
      <t xml:space="preserve">. Having to utilise other areas for storage. </t>
    </r>
  </si>
  <si>
    <t xml:space="preserve">Do not have enough people to execut4e health and safety governance. Airquality </t>
  </si>
  <si>
    <t xml:space="preserve">Currently no fleet. Procurement process cancelled the RFB. Have to explore alternative options e.g. leasing from G fleet. Vacancies not filled because there is no fleet. </t>
  </si>
  <si>
    <t>Online training to provinces to use online functionality. System is working just not utilised. Distribution in Gauteng is efficent, challenges to distrihute long distance introduces inefficiencies. Regional logistics to be arranged decentrally.</t>
  </si>
  <si>
    <t>Manage logistics (national &amp; regional)</t>
  </si>
  <si>
    <t>Maintain facilities (preventative, life-cycle, corrective) (National and regional)</t>
  </si>
  <si>
    <t>Budget is with the regions and sometimes the cleaning services nationally has to be funded by the advance. There are pockets of excellence. Gautent is effective, but regions are struggling. PROCUREMENT CAN TAKE YEARS.</t>
  </si>
  <si>
    <t>Procurement process delays securing certain needs. Contracts managed per SLA</t>
  </si>
  <si>
    <t>Stock control system developed for SITA. Not enough staff to do stocktake - automated stock control may improve efficacy.</t>
  </si>
  <si>
    <t xml:space="preserve">SLAs for waste, recycling, pest control. Gauteng effective, nationally partly </t>
  </si>
  <si>
    <t>Budget is with the regions, coordinated centrally. The negotiations are however done by regional head but problems are referred to national. Need to review the RACI and workflow</t>
  </si>
  <si>
    <t>S5.16</t>
  </si>
  <si>
    <t>Manage business travelling &amp; Accomodation</t>
  </si>
  <si>
    <t>Manage reception</t>
  </si>
  <si>
    <t xml:space="preserve">S5.3 Manage properties and workspace </t>
  </si>
  <si>
    <t>Identify and select property</t>
  </si>
  <si>
    <t>S5.3.7</t>
  </si>
  <si>
    <t>S5.3.8</t>
  </si>
  <si>
    <t>S5.3.9</t>
  </si>
  <si>
    <t>S5.3.10</t>
  </si>
  <si>
    <t>S5.3.11</t>
  </si>
  <si>
    <t>Manage property lease negotiation</t>
  </si>
  <si>
    <t>Optimise space utilisation</t>
  </si>
  <si>
    <t>S5.2.7</t>
  </si>
  <si>
    <t>S5.2.8</t>
  </si>
  <si>
    <t>S5.2.9</t>
  </si>
  <si>
    <t>S5.2.10</t>
  </si>
  <si>
    <t>S5.2.11</t>
  </si>
  <si>
    <t>S5.2.12</t>
  </si>
  <si>
    <t>S5.2.13</t>
  </si>
  <si>
    <t>S5.2.14</t>
  </si>
  <si>
    <t>Design and plan modification</t>
  </si>
  <si>
    <t>Manage modification &amp; upgrade</t>
  </si>
  <si>
    <t>Commission and manage modification repairs (by contractor)</t>
  </si>
  <si>
    <t>manage electrical maintenance</t>
  </si>
  <si>
    <t>S5.4.7</t>
  </si>
  <si>
    <t>S5.4.8</t>
  </si>
  <si>
    <t>S5.4.9</t>
  </si>
  <si>
    <t>S5.4.10</t>
  </si>
  <si>
    <t>Manage plumbing maintenance</t>
  </si>
  <si>
    <t>Manage internal structure maintenance</t>
  </si>
  <si>
    <t>Manage external structure maintenance</t>
  </si>
  <si>
    <t>S5.5.7</t>
  </si>
  <si>
    <t>S5.5.8</t>
  </si>
  <si>
    <t>S5.5.9</t>
  </si>
  <si>
    <t>Manage green building conversions?</t>
  </si>
  <si>
    <t>Plan space and property requirements</t>
  </si>
  <si>
    <t>Manage lease agreement and SLA</t>
  </si>
  <si>
    <t>Manage enhancements (to leased building)</t>
  </si>
  <si>
    <t>Manage property purchase (not leased)</t>
  </si>
  <si>
    <t>S5.4.11</t>
  </si>
  <si>
    <t>S5.4.12</t>
  </si>
  <si>
    <t>S5.4.13</t>
  </si>
  <si>
    <t>manage facilities operations (National)</t>
  </si>
  <si>
    <t>manage facilities operations (Regional &amp; Provincial)</t>
  </si>
  <si>
    <t>Plan preventative maintenance</t>
  </si>
  <si>
    <t>Manage reactive maintenance requests</t>
  </si>
  <si>
    <t>Plan and initiate reactive maintenance</t>
  </si>
  <si>
    <t>S5.4.14</t>
  </si>
  <si>
    <t>S5.4.15</t>
  </si>
  <si>
    <t>S5.4.16</t>
  </si>
  <si>
    <t>Manage environmental impact and green conversion</t>
  </si>
  <si>
    <t>S5.7.7</t>
  </si>
  <si>
    <t>S5.7.8</t>
  </si>
  <si>
    <t>S5.7.9</t>
  </si>
  <si>
    <t>Manage national logistics</t>
  </si>
  <si>
    <t>Manage regional logistics</t>
  </si>
  <si>
    <t>Manage safety equipment and uniforms</t>
  </si>
  <si>
    <t>Manage pest control</t>
  </si>
  <si>
    <t>Manage parking area and allocations</t>
  </si>
  <si>
    <t>Develop security strategy</t>
  </si>
  <si>
    <t>Protect enterprise assets</t>
  </si>
  <si>
    <t>Manage access control</t>
  </si>
  <si>
    <t>Manage security operations</t>
  </si>
  <si>
    <t>Manage employee protection &amp; safety</t>
  </si>
  <si>
    <t>Manage hospitality and event security</t>
  </si>
  <si>
    <t xml:space="preserve">Manage external area cleaning </t>
  </si>
  <si>
    <t>Manage in-house cleaning</t>
  </si>
  <si>
    <t>Manage airflow and quality (service and cleaning)</t>
  </si>
  <si>
    <t>Maintain parking area and structures</t>
  </si>
  <si>
    <t>Maintain office equipment (E.g. printers, appliances)</t>
  </si>
  <si>
    <t>S5.4.17</t>
  </si>
  <si>
    <t>S5.4.18</t>
  </si>
  <si>
    <t>S5.4.19</t>
  </si>
  <si>
    <t>Manage convenience equipment contracts (water cooler, vending)</t>
  </si>
  <si>
    <t>Manage stores</t>
  </si>
  <si>
    <t>Manage cleaning materials availability and distribution</t>
  </si>
  <si>
    <t>Manage office equipment inventory</t>
  </si>
  <si>
    <t>Manage office furniture quality and availability</t>
  </si>
  <si>
    <t>S5.9.1</t>
  </si>
  <si>
    <t>S5.9.2</t>
  </si>
  <si>
    <t>S5.9.3</t>
  </si>
  <si>
    <t>S5.9.4</t>
  </si>
  <si>
    <t>S5.9.5</t>
  </si>
  <si>
    <t>S5.9.6</t>
  </si>
  <si>
    <t>S5.10.1</t>
  </si>
  <si>
    <t>S5.10.2</t>
  </si>
  <si>
    <t>S5.10.3</t>
  </si>
  <si>
    <t>S5.10.4</t>
  </si>
  <si>
    <t>S5.10.5</t>
  </si>
  <si>
    <t>S5.10.6</t>
  </si>
  <si>
    <t>S5.10.7</t>
  </si>
  <si>
    <t>S5.10.8</t>
  </si>
  <si>
    <t>S5.10.9</t>
  </si>
  <si>
    <t>S5.11.1</t>
  </si>
  <si>
    <t>S5.11.2</t>
  </si>
  <si>
    <t>S5.11.3</t>
  </si>
  <si>
    <t>S5.11.4</t>
  </si>
  <si>
    <t>S5.11.5</t>
  </si>
  <si>
    <t>S5.11.6</t>
  </si>
  <si>
    <t>S5.11.7</t>
  </si>
  <si>
    <t>S5.11.8</t>
  </si>
  <si>
    <t>S5.11.9</t>
  </si>
  <si>
    <t>S5.12.1</t>
  </si>
  <si>
    <t>S5.12.2</t>
  </si>
  <si>
    <t>S5.12.3</t>
  </si>
  <si>
    <t>S5.12.4</t>
  </si>
  <si>
    <t>S5.12.5</t>
  </si>
  <si>
    <t>S5.12.6</t>
  </si>
  <si>
    <t>S5.13.1</t>
  </si>
  <si>
    <t>S5.13.2</t>
  </si>
  <si>
    <t>S5.13.3</t>
  </si>
  <si>
    <t>S5.13.4</t>
  </si>
  <si>
    <t>S5.13.5</t>
  </si>
  <si>
    <t>S5.13.6</t>
  </si>
  <si>
    <t>S5.13.7</t>
  </si>
  <si>
    <t>S5.13.8</t>
  </si>
  <si>
    <t>S5.13.9</t>
  </si>
  <si>
    <t>Plan occupational health and safety</t>
  </si>
  <si>
    <t xml:space="preserve">Monitor and report occupational health </t>
  </si>
  <si>
    <t>Monitor and report occupational hygiene</t>
  </si>
  <si>
    <t>Manage occupational hygiene</t>
  </si>
  <si>
    <t>Develop facilities management strategy</t>
  </si>
  <si>
    <t xml:space="preserve">Manage soft services (landscaping, vending equipment, PPE, Pest control, tree felling, watercoolers, designated smoking areas) </t>
  </si>
  <si>
    <t>manage environment  (recycling, waste management, energy management, Pest control, green strategy?)</t>
  </si>
  <si>
    <t>Commission &amp; manage construction repairs (within guarantee period)</t>
  </si>
  <si>
    <t>Maintain electronics infrastructure (WIFI, screens, TVs, projectors, cables…)</t>
  </si>
  <si>
    <t>Decommission facilities</t>
  </si>
  <si>
    <t>Manage hygiene and outdoors</t>
  </si>
  <si>
    <t>Manage landscape and gardens</t>
  </si>
  <si>
    <t>Manage tree felling</t>
  </si>
  <si>
    <t>Manage stationary availability and distribution</t>
  </si>
  <si>
    <t>Manage refreshment availability and distribution</t>
  </si>
  <si>
    <t>Manage green strategy</t>
  </si>
  <si>
    <t>Monitor and mitigate corbon footprint</t>
  </si>
  <si>
    <t>Manage energy and electricity availability and usage</t>
  </si>
  <si>
    <t>Manage waste and recycling</t>
  </si>
  <si>
    <t>Report on environmental impact status</t>
  </si>
  <si>
    <t>Report on health and safety</t>
  </si>
  <si>
    <t>Provide physical facilities, office accommodation, building maintenance, space management; fleet and logistics; and occupational health and environmental impact monitoring  services to support uninterrupted digital service delivery and disaster resilience objectives</t>
  </si>
  <si>
    <t>Previous L2</t>
  </si>
  <si>
    <t>Previous L3</t>
  </si>
  <si>
    <t>Perform Planning and Management Accounting</t>
  </si>
  <si>
    <t>Perform Planning / Budgeting / Forecasting</t>
  </si>
  <si>
    <t>Perform Cost Accounting and Control</t>
  </si>
  <si>
    <t>Perform Cost Management</t>
  </si>
  <si>
    <t xml:space="preserve">Perform profitability / financial sustainability monitoring and reporting </t>
  </si>
  <si>
    <t>Evaluate and Manage Financial Performance</t>
  </si>
  <si>
    <t>Process Customer Credit</t>
  </si>
  <si>
    <t>Process Accounts Receivable (AR)</t>
  </si>
  <si>
    <t>Manage and Process Adjustments / Deductions</t>
  </si>
  <si>
    <t>Invoice customer</t>
  </si>
  <si>
    <t>Manage and Process Collections</t>
  </si>
  <si>
    <t>Manage AP Pay File</t>
  </si>
  <si>
    <t>Manage Invoice Processing</t>
  </si>
  <si>
    <t>Process Payments</t>
  </si>
  <si>
    <t>Process Financial Accruals and Reversals</t>
  </si>
  <si>
    <t>Process Payables Taxes</t>
  </si>
  <si>
    <t>Manage AP Exceptions &amp; Inquiries</t>
  </si>
  <si>
    <t>Manage Expense Reimbursements</t>
  </si>
  <si>
    <t>Manage Corporate Credit Cards</t>
  </si>
  <si>
    <t>Perform Fixed Assets Accounting</t>
  </si>
  <si>
    <t>Maintain Fixed-Asset Master Data Files</t>
  </si>
  <si>
    <t>Manage Fixed-Asset Additions &amp; Retires</t>
  </si>
  <si>
    <t>Manage Fixed-Asset Adjustments</t>
  </si>
  <si>
    <t>Manage Fixed-Asset Maintenance Expenses</t>
  </si>
  <si>
    <t>Manage Fixed Assets Depreciation Expense</t>
  </si>
  <si>
    <t>Manage Fixed-Asset Ledger Reconciliation</t>
  </si>
  <si>
    <t>Manage Fixed Assets Tracking</t>
  </si>
  <si>
    <t>Manage Fixed-Asset Data to Support Compliance</t>
  </si>
  <si>
    <t>Establish Fixed-Asset Policies &amp; Procedures</t>
  </si>
  <si>
    <t>Maintain chart of acounts</t>
  </si>
  <si>
    <t>Maintain Chart of Accounts</t>
  </si>
  <si>
    <t>Process Journal Entries</t>
  </si>
  <si>
    <t>Process Allocations</t>
  </si>
  <si>
    <t>Process Period End Adjustments</t>
  </si>
  <si>
    <t>Post and Reconcile Intercompany Transactions</t>
  </si>
  <si>
    <t>Reconcile General Ledger Accounts</t>
  </si>
  <si>
    <t>Perform Consolidations and Process Eliminations</t>
  </si>
  <si>
    <t>Prepare Trial Balance</t>
  </si>
  <si>
    <t>Prepare &amp; Post Management Adjustments</t>
  </si>
  <si>
    <t>Develop &amp; Manage Accounting Policies</t>
  </si>
  <si>
    <t>Manage in-house Bank Accounts</t>
  </si>
  <si>
    <t>Manage Debt and Investment</t>
  </si>
  <si>
    <t>Monitor &amp; Execute Risk and Hedging Transactions</t>
  </si>
  <si>
    <t>Manage Financial Fraud / Dispute Cases</t>
  </si>
  <si>
    <t>Manage Treasury Policies &amp; Procedures</t>
  </si>
  <si>
    <t>Establish Internal Controls, Policies &amp; Procedures</t>
  </si>
  <si>
    <t>Operate Controls &amp; Monitor Compliance with Internal Controls Policies and Procedures</t>
  </si>
  <si>
    <t>Report on Internal Controls Compliance</t>
  </si>
  <si>
    <t>Process Taxes</t>
  </si>
  <si>
    <t>Develop Tax Strategy and Plan</t>
  </si>
  <si>
    <t>Perform Capital Planning &amp; Project Approval</t>
  </si>
  <si>
    <t>Perform Capital Project Accounting</t>
  </si>
  <si>
    <t>Prepare Business Unit Financial Statements</t>
  </si>
  <si>
    <t>Prepare Consolidated Financial Statements</t>
  </si>
  <si>
    <t>Perform Business Unit Reporting / Review</t>
  </si>
  <si>
    <t>Perform Consolidated Reporting / Review of Cost…</t>
  </si>
  <si>
    <t>Produce Quarterly / Annual Filings and Shareholder Reporting</t>
  </si>
  <si>
    <t>Produce Regulatory Reports</t>
  </si>
  <si>
    <t>S1.10.7</t>
  </si>
  <si>
    <t>Prepare Statements for Board Review</t>
  </si>
  <si>
    <t>S1.10.8</t>
  </si>
  <si>
    <t>Perform Legal and Management Consolidation</t>
  </si>
  <si>
    <t>Manage Payroll (HR &amp; Fin responsible for different procedures) &gt;&gt; S2.12</t>
  </si>
  <si>
    <t>Process Payroll</t>
  </si>
  <si>
    <t>S1.12.1</t>
  </si>
  <si>
    <t>Report Time</t>
  </si>
  <si>
    <t>S1.12.2</t>
  </si>
  <si>
    <t>Manage Pay</t>
  </si>
  <si>
    <t>S1.12.3</t>
  </si>
  <si>
    <t>Manage &amp; Process Payroll Taxes</t>
  </si>
  <si>
    <t>S1.12.4</t>
  </si>
  <si>
    <t>S1.12.5</t>
  </si>
  <si>
    <t>S1.12.6</t>
  </si>
  <si>
    <t>Sample Security  Provison of capacity</t>
  </si>
  <si>
    <t xml:space="preserve">all in place IBM call them  High Skills are  available   Resources should be moreMore people with right Skills needed  Need to define the skills needed   Aging of skills  RESOLURCING an d RENUMERATION </t>
  </si>
  <si>
    <t>RACK F level Capacity</t>
  </si>
  <si>
    <t>New Tech</t>
  </si>
  <si>
    <t>New TechSkills Capacity Aging Resouces</t>
  </si>
  <si>
    <t>clients  (Departments ) Still doing their own thing</t>
  </si>
  <si>
    <t>Capacity</t>
  </si>
  <si>
    <t xml:space="preserve">on Cloud level for recovery on high efficient effective  Resource based </t>
  </si>
  <si>
    <t xml:space="preserve">Resource based </t>
  </si>
  <si>
    <t xml:space="preserve">Resource based   </t>
  </si>
  <si>
    <t>Resource based   Cloud all well</t>
  </si>
  <si>
    <t>not yet  Growing into this</t>
  </si>
  <si>
    <t xml:space="preserve"> Check ADM also</t>
  </si>
  <si>
    <t>From hositing side we do host   see 7.7 below.   OPERATING by ADM</t>
  </si>
  <si>
    <t xml:space="preserve"> CDS  can confirm</t>
  </si>
  <si>
    <t>Norms and Standards  CDS can Confirm</t>
  </si>
  <si>
    <t xml:space="preserve">Team suggest we check with ADM </t>
  </si>
  <si>
    <t>Team suggest we check with CDS</t>
  </si>
  <si>
    <t xml:space="preserve">yes </t>
  </si>
  <si>
    <t>partly</t>
  </si>
  <si>
    <t>Not Effective</t>
  </si>
  <si>
    <t>Build  capability and capacity for furture customers also modernisation</t>
  </si>
  <si>
    <t>Lack to priotoise Build  capability and capacity</t>
  </si>
  <si>
    <t>CRM oppurtunity Technology  Automation</t>
  </si>
  <si>
    <t>some elements TCS team CRM we enable departments, Research Unit (basic education)</t>
  </si>
  <si>
    <t xml:space="preserve">Fragmented </t>
  </si>
  <si>
    <t>no</t>
  </si>
  <si>
    <t>ad hoc also work with partners Outsources</t>
  </si>
  <si>
    <t>new capacity new capbality  Application Solutions space</t>
  </si>
  <si>
    <t>in effective</t>
  </si>
  <si>
    <t>Closing the loop ROI capacity Capability</t>
  </si>
  <si>
    <t>ROI capacity Capability</t>
  </si>
  <si>
    <t>build capacity skills Resources and processes</t>
  </si>
  <si>
    <t>partly to not yet excecuted</t>
  </si>
  <si>
    <t>Pre screening only</t>
  </si>
  <si>
    <t xml:space="preserve">Marketplace Solutions   Capacity Resources </t>
  </si>
  <si>
    <t>under Research ad hoc basis</t>
  </si>
  <si>
    <t>effective</t>
  </si>
  <si>
    <t>outsourced</t>
  </si>
  <si>
    <t>adhoc</t>
  </si>
  <si>
    <t>KM (OCIO) distribute this Communication and channels</t>
  </si>
  <si>
    <t>Work with DPSA and  DCDT adhoc  - need to establich thorough rpocess</t>
  </si>
  <si>
    <t xml:space="preserve">This is largelty a fagmented process and needs to be build </t>
  </si>
  <si>
    <t>Validated L3 during workshop sessions</t>
  </si>
  <si>
    <t>Forecasting - happens on request / ad hoc and very manual.
Planning - falls within the Strategy office (APP).  
Budgeting - included within the Planning processes.
Very silo'd approach currently, not proactive and integrated.  BPS system leveraged for budgeting, doesn't serve the needs of the finance team ito budgeting, planning and forecasting.</t>
  </si>
  <si>
    <t>Perform Project Accounting</t>
  </si>
  <si>
    <t>Perform Project Accounting needs additional focus.  Focus on cost and revenue.  Handshake with the EPMO team.  Focus is on cost centre accounting, need to have more focus on project accounting.  No additional capacity required.</t>
  </si>
  <si>
    <t>Perform Cost Centre Accounting</t>
  </si>
  <si>
    <t>Finance and HR orgs should mirror each other to ensure cost centre allocations and cascades are aligned and correct.  Question around Cost Centre Owners and mitigations to rectify.  Requirement of a delta report identifying anomalies.</t>
  </si>
  <si>
    <t xml:space="preserve">Perform profitability / financial sustainability of products and services </t>
  </si>
  <si>
    <t>Reporting and monitoring - currently manual, potential for automation.
Perform profitability / financial sustainability of projects and services (costing and pricing).  Should we not focus on products and services, instead of projects and services? Automation will assist, dependency challenge, not a capacity challenge.  Ned to have increased transparency.
Monthly / regular reporting to focus on seperately.</t>
  </si>
  <si>
    <t>Covered by S1.1.1 if automated.  
Take budget and do cashflow planning from there (BPS used currently).  Need a tool to automate.</t>
  </si>
  <si>
    <t xml:space="preserve">Big component of what the team does.
</t>
  </si>
  <si>
    <t xml:space="preserve">Perform monitoring and reporting.  </t>
  </si>
  <si>
    <t>Manage Customer Credit Vetting</t>
  </si>
  <si>
    <t>Don't allow credit.  Customer wants to buy license through SITA.  Look at age analysis of customer - monies outstanding, until debt settled.  Internal vetting of customers.  Need to increase our consistancy of application.</t>
  </si>
  <si>
    <t>AR = Billing, credit notes and adjustments.  Already broken down into 3x L3 procedures.</t>
  </si>
  <si>
    <t>Credit notes, refunds.    Largely automated and standardised process, together with visibility on progress.
Don't allow credit.  Process relates to 'over-charge' and providing a credit note.</t>
  </si>
  <si>
    <t>Billing customer</t>
  </si>
  <si>
    <t>Billing the customer.</t>
  </si>
  <si>
    <t>Debt write offs are part of this process.
Includes taking legal action.</t>
  </si>
  <si>
    <t>Manage Goods Received (GRV)</t>
  </si>
  <si>
    <t>Manage AP Pay File - not a separate L3 - part of the payment process.  
Currently reviewing the job and profile to align capacity and responsibilities for GRV process.  Order, receive, inspect, accept, pay, invoice capturing versus order to invoice (foreign suppliers).</t>
  </si>
  <si>
    <t>Capturing</t>
  </si>
  <si>
    <t>Reconciliation</t>
  </si>
  <si>
    <t>Guideline being implemented, but need to implement iSupplier / automate.  Currently a manual process with lack of visibility.</t>
  </si>
  <si>
    <t>System auto calculates the VAT.  Part of the Process Payments L3.</t>
  </si>
  <si>
    <t>Each area has exceptions and inquiries as part of the execution on a daily basis, thus not a separate L3.</t>
  </si>
  <si>
    <t>Expense claims.  Separate to the payroll process.</t>
  </si>
  <si>
    <t>Don't have corporate credit cards to be managed.  If reinstated then will be related to Travel.</t>
  </si>
  <si>
    <t>There is a system in place.  MDM focus.  Controls are in place.  MDM not always 100%.</t>
  </si>
  <si>
    <t>Improvements ito automation is required.  Manual exercise.  40 000 assets across the country aligned to lines of business (asset register not always updated, due to the "trigger" not being received).   Example - late invoicing from suppliers.  On system, but need to manually find and adjust.  Depreciation date impacts. Requires automation (ISS doesn't cover the functionality).</t>
  </si>
  <si>
    <t>Procedure doesn’t form part of the process for Finance.  Maintaining the Asset Management module (Oracle).  Self service for lines of business.</t>
  </si>
  <si>
    <t xml:space="preserve">Automated by Oracle.  </t>
  </si>
  <si>
    <t>Identifying differences between GL and sub ledger.  Automated recon in Oracle, but there are technical issues (tried to fix).  Extracted into spreadsheet currently.</t>
  </si>
  <si>
    <t>Fixed Assets Tracking = Tags / bar codes that are readable, linked to Asset Register - we need automation.  Don't have 'intelligent' bar codes that 'trigger' and tag assets.  This will be the improvement of Management Movement of Assets.  Should this be implemented status would be E&amp;E.</t>
  </si>
  <si>
    <t>Perform Impairment and Use for Life Assessments</t>
  </si>
  <si>
    <t>Lines of business related processes need to be automated. Manual documentation and folders for all assets.</t>
  </si>
  <si>
    <t>Manage Movement of Assets</t>
  </si>
  <si>
    <t>Sits with line of business, not automated currently.  iAsset system is being implemented by end of March 2026., but ownership lies with lines of business.</t>
  </si>
  <si>
    <r>
      <rPr>
        <sz val="11"/>
        <color rgb="FFFF0000"/>
        <rFont val="Calibri"/>
        <family val="2"/>
      </rPr>
      <t>Manage</t>
    </r>
    <r>
      <rPr>
        <sz val="11"/>
        <color rgb="FF0070C0"/>
        <rFont val="Calibri"/>
        <family val="2"/>
      </rPr>
      <t xml:space="preserve"> General </t>
    </r>
    <r>
      <rPr>
        <sz val="11"/>
        <color rgb="FFFF0000"/>
        <rFont val="Calibri"/>
        <family val="2"/>
      </rPr>
      <t>Ledger</t>
    </r>
    <r>
      <rPr>
        <sz val="11"/>
        <color rgb="FF0070C0"/>
        <rFont val="Calibri"/>
        <family val="2"/>
      </rPr>
      <t xml:space="preserve"> </t>
    </r>
  </si>
  <si>
    <t>Inherent to each environment / area - journal entries?</t>
  </si>
  <si>
    <t>Only one company, we don't post into various companies.  Not applicable.</t>
  </si>
  <si>
    <t>Inherent to each area, not a separate L3.  To include in each L2 sub-process.  L4 - to consolidate/confirm all.</t>
  </si>
  <si>
    <t>Not applicable currently - intercompany - not relevant.</t>
  </si>
  <si>
    <t>Automated.</t>
  </si>
  <si>
    <t>Part of journal process.</t>
  </si>
  <si>
    <t>Develop and manage GL Accounting Policies, Procedures and Guidelines.</t>
  </si>
  <si>
    <t>Add per area / L2 across Manage Finance.</t>
  </si>
  <si>
    <t>Prepare Annual Financial Statements</t>
  </si>
  <si>
    <t>Extracted from CaseWare system.</t>
  </si>
  <si>
    <t>Includes S1.6.2
Everything is automated.</t>
  </si>
  <si>
    <t>Part of S1.6.1
Sweep every day &gt;&gt; CPD account.  No decision / process.</t>
  </si>
  <si>
    <t>Foreign exchange management</t>
  </si>
  <si>
    <t>Not applicable, not allowed to hedge transactions.  
Payments in foreign currencies.</t>
  </si>
  <si>
    <t>This is managed by Internal Audit.</t>
  </si>
  <si>
    <t>Manage Treasury Policies, Procedures and Guidelines</t>
  </si>
  <si>
    <t>Inherent per process and procedure.</t>
  </si>
  <si>
    <t>Reliant on an external service provider.  Need to improve our capacity.</t>
  </si>
  <si>
    <t>Don't have a strategy and plan currently in place.  Need a Tax specialist to implement and mature.  Capacity and capability required.</t>
  </si>
  <si>
    <t>Manage procedures and guidelines</t>
  </si>
  <si>
    <t>Reviewed annually.</t>
  </si>
  <si>
    <r>
      <t xml:space="preserve">Manage Fixed-Asset Project Accounting </t>
    </r>
    <r>
      <rPr>
        <sz val="11"/>
        <color rgb="FFFF0000"/>
        <rFont val="Calibri"/>
        <family val="2"/>
      </rPr>
      <t>(CIP Accounts)</t>
    </r>
  </si>
  <si>
    <t>CIP = Construction in Progress.  Budgeting ito CIPs, thereafter approvals and registration of CIP projects. Leverage Oracle.</t>
  </si>
  <si>
    <t>Recons and ensuring project is still CIP, track related costs, when complete, then Asset needs to be added in the asset register.  Management Accountants are partnering with business.  Much lower volumes.  Oracle Project Management module that automates.  There is however a lack of visibility and dependency on manual triggers.  We don't know via an automated trigger, reliant on the Management Accountant interacting with LOB.  Automated integration to assets = lacking/challenge.  A lot of downstream implications, due to automation lacking.  Interdependency is the day to day project management.</t>
  </si>
  <si>
    <t xml:space="preserve">We leverage a tool to automate the financial statements.  </t>
  </si>
  <si>
    <t>We don't have consolidated, only one company.</t>
  </si>
  <si>
    <t>Linkage to S1.1 - Management Accountant procedures.</t>
  </si>
  <si>
    <t>Quarterly financial reports comes from Management Accounting (Efficeint).  Annual Financial Statements from External Reporting team (Efficient).
Company Secretary's office - filings and shareholder reporting.</t>
  </si>
  <si>
    <t>Not relevant.  Covered under General Accounting.</t>
  </si>
  <si>
    <t>This L2 and L3s are integrated and covered under 2x L2s.</t>
  </si>
  <si>
    <t>Manage Orders (newly added)</t>
  </si>
  <si>
    <t>Create Standard Order</t>
  </si>
  <si>
    <t>SCM - S3.2.12 Issue Purchase Order (BPA)
1) Contractual orders
2) Once off transactions / standard order
Financial commitment when standard order is created - liability created.</t>
  </si>
  <si>
    <t>Approve Blanket Order</t>
  </si>
  <si>
    <t>Oracle ERP iSupplier system is leveraged.</t>
  </si>
  <si>
    <t>Release Blanket Order</t>
  </si>
  <si>
    <t>Governance, Risk and Compliance (loss control) (newly added)</t>
  </si>
  <si>
    <t>Manage Irregular Expense Register</t>
  </si>
  <si>
    <t>Enforcement from a policy perspective.  Loss Control - sub-committee of the Board.</t>
  </si>
  <si>
    <t>Perform Assessment Test</t>
  </si>
  <si>
    <t>Manage Secretariat of Loss Control</t>
  </si>
  <si>
    <t>Manage Condemnation Process</t>
  </si>
  <si>
    <t xml:space="preserve">Internal Audit and HCM dependence.  </t>
  </si>
  <si>
    <t>Manage Removal Process</t>
  </si>
  <si>
    <t>Report to National Treasury, Audit Committees, etc.</t>
  </si>
  <si>
    <t xml:space="preserve">Manage and Report on Finance Risk Register </t>
  </si>
  <si>
    <t>Manage Financial Reporting
We have incorporated already in the Management Accounting and General Ledger L2s.  THUS, THIS L2 CAN BE REMOVED.</t>
  </si>
  <si>
    <r>
      <t xml:space="preserve">Manage Financial Internal Controls
</t>
    </r>
    <r>
      <rPr>
        <sz val="11"/>
        <color rgb="FFFF0000"/>
        <rFont val="Calibri"/>
        <family val="2"/>
      </rPr>
      <t>REMOVE, INCLUDED IN L2s</t>
    </r>
  </si>
  <si>
    <t>Perform Fixed Asset Accounting</t>
  </si>
  <si>
    <t>Manage General Ledger</t>
  </si>
  <si>
    <t>Manage Fixed-Asset Project Accounting (CIP)</t>
  </si>
  <si>
    <t>Removed</t>
  </si>
  <si>
    <t>Quick session to be held with Finance Payroll SMEs.</t>
  </si>
  <si>
    <t>Silo-d process, system doesn't support fully.</t>
  </si>
  <si>
    <t>Annual procurement plan CRM Unit</t>
  </si>
  <si>
    <t>CRM Unit hand over to new unit</t>
  </si>
  <si>
    <t>Question why this is Market place?</t>
  </si>
  <si>
    <t>unique to customers requirements  Question why this is Market place?</t>
  </si>
  <si>
    <t>Infrastructure Services are doing this.  Marketplace should put forward plans forward</t>
  </si>
  <si>
    <t>Infrastructure Services are doing this.  Marketplace should put forward plans forward   C 7 and C 8</t>
  </si>
  <si>
    <t>Total new Dept Done by SCM  but not from line business perspective - Big ask to get all Dept to only procure through SITA  New capacity to be created</t>
  </si>
  <si>
    <t xml:space="preserve">Repettitive </t>
  </si>
  <si>
    <t>Team need direction from ADM After discussion with ADM we can invite them again to confrim way forward</t>
  </si>
  <si>
    <t>infrastructure lmplementataion Insurance part  SAPS consulting Pre screening used to quality</t>
  </si>
  <si>
    <t>part of pre screening  capacity turnover  need to be institutionlised in provinces</t>
  </si>
  <si>
    <t>AT National level is happening well  but Capacity in provinces</t>
  </si>
  <si>
    <t>but National and Capacity in provinces  or SKILLS avaialbale also Time took sometimes too long  Automation Resources</t>
  </si>
  <si>
    <t xml:space="preserve"> Time took sometimes too long  Automation Resources but National and Capacity in provinces  or SKILLS avaialbale also</t>
  </si>
  <si>
    <t>C8.1.9</t>
  </si>
  <si>
    <t>Register / Databasis technical and commercial advisory outputs</t>
  </si>
  <si>
    <t>include lessons learnt  benchmarking</t>
  </si>
  <si>
    <t>Handshake between the ADM and implementation</t>
  </si>
  <si>
    <t>National offer service to Region Provincial teams could be doing this but revenue will be small  Capacity  Skills</t>
  </si>
  <si>
    <t>Provinces to report on that in suppport the region Capacity Skills</t>
  </si>
  <si>
    <t>SAPS &amp; DOD EUC service planning coordinated nationally for all levels, BUT regions need to capacitate and deliver.</t>
  </si>
  <si>
    <t>Provinces to plan capacity in suppport the Provinces Capacity Skills</t>
  </si>
  <si>
    <t>good colloboration Region and National   Integrated Planning</t>
  </si>
  <si>
    <t xml:space="preserve">National Regional and Provincial </t>
  </si>
  <si>
    <t xml:space="preserve">Province can with this review be more productive   Should consliodate the services on Nation Regonal and Province level  time delaying </t>
  </si>
  <si>
    <t xml:space="preserve">National defined but regional excecution  Closest to client  Closest points  Capacity improvement plan needed </t>
  </si>
  <si>
    <t xml:space="preserve">National defined but regional excecution  Closest to client  Closest points  Capacity improvement plan needed  e.g new products services -  migth be different vir variuos needs </t>
  </si>
  <si>
    <t>work on the sustainability</t>
  </si>
  <si>
    <t>Per Service Strategy</t>
  </si>
  <si>
    <t>.1</t>
  </si>
  <si>
    <t>C8.1.10</t>
  </si>
  <si>
    <t>Auditing the Non performance of why loop is not closed</t>
  </si>
  <si>
    <t>C8.1.11</t>
  </si>
  <si>
    <t>Capacity in holistic point colloborate with BU</t>
  </si>
  <si>
    <t xml:space="preserve">Initiate an After Sales Support Contract </t>
  </si>
  <si>
    <t>Propsal link to performance  Lessons Learnt   Resources not in place Tender to late  Allowing Demand in RISK  Support Contract   End to End review  Automtion visibility on System    System to track resources</t>
  </si>
  <si>
    <t>End to End review  Automtion visibility on System    System to track resources</t>
  </si>
  <si>
    <t>Manage and optimise revenue generation and collection channels (Optimise impact and cost)</t>
  </si>
  <si>
    <t>electronic system  digitised On province it might be not that good as National   Could be mainly People issues</t>
  </si>
  <si>
    <t>Invoice marketplace transactions</t>
  </si>
  <si>
    <t>Introducing of overdue accounts</t>
  </si>
  <si>
    <t>Introducing of interest overdue accounts</t>
  </si>
  <si>
    <t>C9.2.7</t>
  </si>
  <si>
    <t>C9.2.8</t>
  </si>
  <si>
    <t>re sasistate this procedure  Also please add this taskm to CRM candidates</t>
  </si>
  <si>
    <t xml:space="preserve">Restriction of serives and Cut of non mandatory services non payment  </t>
  </si>
  <si>
    <r>
      <t xml:space="preserve">Prepare standard offer bundles </t>
    </r>
    <r>
      <rPr>
        <sz val="10"/>
        <color rgb="FFFF0000"/>
        <rFont val="Arial"/>
        <family val="2"/>
      </rPr>
      <t>Test before market role out</t>
    </r>
  </si>
  <si>
    <r>
      <t xml:space="preserve">e-services   e- complaints  should cluster this for tyope of client / government clusters   </t>
    </r>
    <r>
      <rPr>
        <sz val="11"/>
        <color rgb="FFFF0000"/>
        <rFont val="Calibri"/>
        <family val="2"/>
      </rPr>
      <t xml:space="preserve">Before on cateloug need to be tested </t>
    </r>
  </si>
  <si>
    <t xml:space="preserve">OEM resellers common systems Licencses annual Some client do not sign the SLA </t>
  </si>
  <si>
    <t>It is a SOP  also use a Gverement order  Heck SOP for in between two financial   years</t>
  </si>
  <si>
    <t>Yes PSS is doing it however Outomotion outting this to the ineternet Activation not being done</t>
  </si>
  <si>
    <t>The people do not always follow the SOP</t>
  </si>
  <si>
    <t>People do what they are contracting for ….</t>
  </si>
  <si>
    <t xml:space="preserve">in general the LABOUR rates guided by Treasury rates </t>
  </si>
  <si>
    <t>Supplier order Mngt and Capability  Management</t>
  </si>
  <si>
    <t xml:space="preserve">M2. Manage Enterprise Digital Governance and Architecture (OCIO)  Governs SITA’s internal digital governance systems, including internal enterprise architecture principles, internal interoperability standards, internal data governance, internal sovereign data compliance, and internal technology innovation alignment. Ensures SITA’s internal technology landscape is standardised, compliant, secure, efficient and scalable.
</t>
  </si>
  <si>
    <t xml:space="preserve"> ICT Governance Framework Development  (RISK0</t>
  </si>
  <si>
    <t>Effeciency lies in the implementatiion and montoring of such</t>
  </si>
  <si>
    <t>Still building up into Operatiing model</t>
  </si>
  <si>
    <t>Government Wide  EA Framework TOGAF</t>
  </si>
  <si>
    <t>Still need Architechual Vision and Principles to be approved</t>
  </si>
  <si>
    <t xml:space="preserve">Need some maturity for improvement </t>
  </si>
  <si>
    <t>In terms of Vision and only some portions of data are modeled</t>
  </si>
  <si>
    <t>Needed Data</t>
  </si>
  <si>
    <t>EA vision and Data outstanding</t>
  </si>
  <si>
    <t>Once the ICT approved the ICT is the roadmao itself  Needs to be aliogned to the EA roadmap</t>
  </si>
  <si>
    <t>the Operating model is movoing away from Iveory tower e.g. ISS   We will Define infrastructure architecture and standards infrastructure architecture and standards outdated Skills Capacity Resources is needed   FROM S4  S4.1.1   Also ADM/Application Architecture</t>
  </si>
  <si>
    <t>See M2</t>
  </si>
  <si>
    <t>See M4</t>
  </si>
  <si>
    <t>INITIATE a discussion M2 and M4 Risk to go to GRIC  M4</t>
  </si>
  <si>
    <t>Intergation still needs to happen</t>
  </si>
  <si>
    <t xml:space="preserve">phased approach </t>
  </si>
  <si>
    <t>Business Process   Optimisation (BPO) or Modellling and re engineering</t>
  </si>
  <si>
    <t>Identify the current Proeeses done in organtiation</t>
  </si>
  <si>
    <t>Captivate in BP modelling tool</t>
  </si>
  <si>
    <t>RE Engeeer the PBO</t>
  </si>
  <si>
    <t>M2.5.5</t>
  </si>
  <si>
    <t xml:space="preserve">Evluate and monitor the BPO itself </t>
  </si>
  <si>
    <t>Atomation of the re ingeneerd  proceeses</t>
  </si>
  <si>
    <r>
      <t>Manage  Business and ICT</t>
    </r>
    <r>
      <rPr>
        <sz val="11"/>
        <color rgb="FF00B050"/>
        <rFont val="Calibri"/>
        <family val="2"/>
      </rPr>
      <t xml:space="preserve">  (Data,Application  and Technology </t>
    </r>
    <r>
      <rPr>
        <sz val="11"/>
        <color theme="1"/>
        <rFont val="Calibri"/>
        <family val="2"/>
      </rPr>
      <t>) architecture (OCIO)</t>
    </r>
  </si>
  <si>
    <t>Measure products &amp; services satisfaction</t>
  </si>
  <si>
    <t>Measure query handling satisfaction</t>
  </si>
  <si>
    <t>Root cause analysis  (RCA) What Value is added Capabiity</t>
  </si>
  <si>
    <t>Capability</t>
  </si>
  <si>
    <t>Capability - and maturity level CRM towards Advocacy</t>
  </si>
  <si>
    <t>Maintain CRM system wioth workflows and rules</t>
  </si>
  <si>
    <t>Capability  Resources CRM SYSTEM</t>
  </si>
  <si>
    <t xml:space="preserve">Capability Detailed mapping of these </t>
  </si>
  <si>
    <t>the TOR make sure right representation   Automation</t>
  </si>
  <si>
    <t>Monitor and improve client relationship satisfaction  through CSI</t>
  </si>
  <si>
    <t>CSI are in place  Frequency is only once a year  Daily ocurance should be in palce   it aslo Vary between from customer to customer</t>
  </si>
  <si>
    <t>NPS in past it is Transactional    Process hould be used more</t>
  </si>
  <si>
    <t>In consistency</t>
  </si>
  <si>
    <t>BSC  targets  Capacity Capability</t>
  </si>
  <si>
    <t>Manage customer interface</t>
  </si>
  <si>
    <t xml:space="preserve">End to End Service Mngt needed </t>
  </si>
  <si>
    <t>System still needed  CRM Automation in advance stage  Capacity</t>
  </si>
  <si>
    <t>Manage vendor / supplier list (registration, on-boarding, removing)</t>
  </si>
  <si>
    <t>Manage vendor payment</t>
  </si>
  <si>
    <t>Vendor payment</t>
  </si>
  <si>
    <t>Applicable of the Procurement Act - awaiting National Treasury release.</t>
  </si>
  <si>
    <t>DoAs also Board approved Feb. 2026.</t>
  </si>
  <si>
    <t>Approved in Feb. '26. Embarking on a benchmarking exercise currently as requested by the Board. SIPS assisting currently.</t>
  </si>
  <si>
    <t>Green audits from the AG.  Compliance - 100%.  Governance efficiency we need to focus additionally.  TAT is a challenge.</t>
  </si>
  <si>
    <t>Master files, retention policy, etc. all in place.  SharePoint leveraged.  SEM process automated (was manually driven Sep. '25) - infancy stages.  Busy with change management currently.</t>
  </si>
  <si>
    <t>SIPS currently assisting SCM team with this.  Maturity plan will be one of the key outcomes (benchmarking people, process, systems and control).  Bench what SCM should look like in ICT environment (focus on PaaS).</t>
  </si>
  <si>
    <t>Once a year there is a review.</t>
  </si>
  <si>
    <t>Once a year there is a review.  WHAT.  The WHEN, HOW and WHY is not as 'clear' across SITA.  Links back to the SOPs and compliance.</t>
  </si>
  <si>
    <t>We have SOPs in place, but lack reporting, monitoring and system - SLAs/TATs. The WHEN, HOW and WHY is not as 'clear' across SITA.  Links back to the SOPs and compliance.</t>
  </si>
  <si>
    <t>Comms on a regular basis should there be any changes / updates.</t>
  </si>
  <si>
    <t>Internal and external.  Internal we struggle with lack of information.  Dependency wrt Finance team.  No notification received when a contract has ended.  Risk of irregular continuance.</t>
  </si>
  <si>
    <t>Standard legal contract once the process of contracting is completed.  Vetted by Legal department.</t>
  </si>
  <si>
    <t>Standard contract templates in place and being leveraged.</t>
  </si>
  <si>
    <t>SoW is aligned ito the advertisement and this is signed as agreed.</t>
  </si>
  <si>
    <t>Derived from the agreements signed.</t>
  </si>
  <si>
    <t xml:space="preserve">Sometimes 'confusion' ito LOB or SCM who needs to manage the governance.  This should be an SCM function. </t>
  </si>
  <si>
    <t>Standard internal approval process that we adhere to as per the DoA.</t>
  </si>
  <si>
    <t>Clarity lacks / E2E process RACI is not clear - LOB and SCM.</t>
  </si>
  <si>
    <t>Repository is there, but improvement needed / gaps.  Finance provides contract list / report (XLS) - SCM clean up / categorise per BU - forward to Executives in LOB.  Flags expiry of contracts so that LOB can act proactvely.  S3.4.12.</t>
  </si>
  <si>
    <t xml:space="preserve">S3.4.6 - terms and obligations in one document.   </t>
  </si>
  <si>
    <t>Relates to the lack of automation / notification of expiry of contracts.  Manually driven currently.</t>
  </si>
  <si>
    <t>Commercial = open competitive bid in nature.
Non-commercial = MoU, partnering with research agencies, education related - no trade, but mutually beneficial.
LOB managed mostly, SCM not as involved.  SCM focuses on OEM part of MoU.  Metrics are high level currently.</t>
  </si>
  <si>
    <t xml:space="preserve">We do have a gap that we need to fill here.  Not monitoring at the moment.  </t>
  </si>
  <si>
    <t>There is no procedure in place currently.  We are very reactive.</t>
  </si>
  <si>
    <t>SOD - LOB and SCM.</t>
  </si>
  <si>
    <t>Need to put in place.  Do have a SOP in place, but excludes Non-Commercial.</t>
  </si>
  <si>
    <t>Not taken through to a committee.  Process documented, but not fully implemented.</t>
  </si>
  <si>
    <t>Once procurement concluded, order is raised (contract signed) standard / blanket PO.  Issuing of PO done by Finance.  Invoices signed off - submitted to Finance to be paid.</t>
  </si>
  <si>
    <t xml:space="preserve">Between LOBs and Finance.  SCM not involved at all.  </t>
  </si>
  <si>
    <t>Automation new, change management underway.  Data inputs dependent.  ITSM.</t>
  </si>
  <si>
    <t>Well defined policies.  Reviews conducted (DoA driven)  Green on audits.</t>
  </si>
  <si>
    <t>S3.7.2 - dependent on data inputs / manual inputs.</t>
  </si>
  <si>
    <t>Well defined.</t>
  </si>
  <si>
    <t>ADM assisting on automating currently.  Currently manually. Integration between Oracle and Central Supplier Database.</t>
  </si>
  <si>
    <t>Manually driven, and sometimes data lacking.</t>
  </si>
  <si>
    <t>Manually driven, lack of automated notification.  Leveraging reports currently.</t>
  </si>
  <si>
    <t>SMEs were not available, agree to setup an additional session to conclude.</t>
  </si>
  <si>
    <t>Approved in Feb. '26. Embarking on a benchmarking exercise currently as requested by the Board.  SIPS onboarded - end June 2026 to finalise project.</t>
  </si>
  <si>
    <t>Frameworks, policies, standards, DOAs in place and approved by Board (Feb. '26)</t>
  </si>
  <si>
    <t>Contract expiry automated notificatons a challenge - manual interventions.  RACIs not clear.</t>
  </si>
  <si>
    <t xml:space="preserve">Gap here.  LOB managed mostly, SCM not as involved. </t>
  </si>
  <si>
    <t xml:space="preserve"> Resolve discrepancies and queries</t>
  </si>
  <si>
    <t>Approve / Decline invoicing and forward instructional to finance</t>
  </si>
  <si>
    <t>This is a Finance process / payments area - S1.3.</t>
  </si>
  <si>
    <t>Refer to Finance S1.3.</t>
  </si>
  <si>
    <t>SIPS currently assisting to put benchmarks in place.</t>
  </si>
  <si>
    <t>Benchmarks lacking (SIPS assisting).  Newly automated, embedding currently.</t>
  </si>
  <si>
    <t>Working on automated integration currently.</t>
  </si>
  <si>
    <t>Define pricing strategy</t>
  </si>
  <si>
    <t>Develop marketing communications strategy</t>
  </si>
  <si>
    <t xml:space="preserve">PPPP  Product Pricing not always included or together </t>
  </si>
  <si>
    <t>Certfication CRM to Execute Startegies</t>
  </si>
  <si>
    <t>Capability training  CRM Capability training  (Assess  Certfication)</t>
  </si>
  <si>
    <t>Structuring problem</t>
  </si>
  <si>
    <t>not yet</t>
  </si>
  <si>
    <t>Structure Capaplity Capacity</t>
  </si>
  <si>
    <t>Packaging all combined PPPP   PP still not there  Products and Pricoing still not there</t>
  </si>
  <si>
    <t xml:space="preserve">  CRM Capability training  (Assess  Certfication)</t>
  </si>
  <si>
    <t>For services we do</t>
  </si>
  <si>
    <t>Structural</t>
  </si>
  <si>
    <t xml:space="preserve">Structural  CRM is tracking however should be Central </t>
  </si>
  <si>
    <t>Ideas  not formulate as solution Need to be centrally coordinated</t>
  </si>
  <si>
    <t>Advocates and CRM  vs Marketing</t>
  </si>
  <si>
    <t>AUTOMATION of system to align process</t>
  </si>
  <si>
    <t>Marketing and Sales as one Structure</t>
  </si>
  <si>
    <t>Ad hoc</t>
  </si>
  <si>
    <t>just appointed someone</t>
  </si>
  <si>
    <t xml:space="preserve">Structure Market Research </t>
  </si>
  <si>
    <t xml:space="preserve">Capacity  </t>
  </si>
  <si>
    <t>CSI  and NPS</t>
  </si>
  <si>
    <t>CSS</t>
  </si>
  <si>
    <t>Checking Problems and issues</t>
  </si>
  <si>
    <t>ITSM Service Mngt do tracking</t>
  </si>
  <si>
    <r>
      <t xml:space="preserve">Manage </t>
    </r>
    <r>
      <rPr>
        <sz val="10"/>
        <color rgb="FFFF0000"/>
        <rFont val="Arial"/>
        <family val="2"/>
      </rPr>
      <t>business development</t>
    </r>
    <r>
      <rPr>
        <sz val="10"/>
        <rFont val="Arial"/>
      </rPr>
      <t xml:space="preserve"> advisory services (all advisory consulting aiming at marketing and creatng awareness through decision maker exposure)</t>
    </r>
  </si>
  <si>
    <t>Demand plans  and APP's</t>
  </si>
  <si>
    <t>partner with TCS</t>
  </si>
  <si>
    <t>clear defining needed  (day in the lfife of the CUST)</t>
  </si>
  <si>
    <t>Outomation oppurtunity Sales force system  CRM system is needed</t>
  </si>
  <si>
    <t>Presentation back to decision maker</t>
  </si>
  <si>
    <t>1. CRM not only relationships but laos a SALES element</t>
  </si>
  <si>
    <t>2. Marketing and Sales under one strcuture</t>
  </si>
  <si>
    <t>3. Incentives to agressively sell</t>
  </si>
  <si>
    <t>Benchmark of pricing of products and services</t>
  </si>
  <si>
    <t>outsourced but periodically benchmarking should be done. Part of packaging is benchmarking</t>
  </si>
  <si>
    <t>Capability training   OEM's  SAP  Oracle</t>
  </si>
  <si>
    <t>NO</t>
  </si>
  <si>
    <t>crm systems</t>
  </si>
  <si>
    <t>Ad hoc  Readiness to Market</t>
  </si>
  <si>
    <t>Reverse engeineering needs to take place after wards</t>
  </si>
  <si>
    <t>need a defined process</t>
  </si>
  <si>
    <t>Depend on Audience Specific procedure</t>
  </si>
  <si>
    <t>From EPMO  No Market Research</t>
  </si>
  <si>
    <t>Need a Market Research and Analysis component Struture</t>
  </si>
  <si>
    <t>Pricing Structure and Benchmarking</t>
  </si>
  <si>
    <t>Market Research and Analysis component Struture Pricing Structure and Benchmarking</t>
  </si>
  <si>
    <t xml:space="preserve">CRM   Research and Development </t>
  </si>
  <si>
    <t>Financial Accountants  Line Management</t>
  </si>
  <si>
    <t>Check C 10 level</t>
  </si>
  <si>
    <t>Financial Accountants (service financial performance)  Line Management</t>
  </si>
  <si>
    <t>Each Service line  but  Structural implication on cental point</t>
  </si>
  <si>
    <t>Part of Packaging process</t>
  </si>
  <si>
    <t>Structural implication Capacity</t>
  </si>
  <si>
    <t>C4.7.7.</t>
  </si>
  <si>
    <t>Institute decomissiing and or growth according to Financial analysis</t>
  </si>
  <si>
    <t>Structural implication Capacity  e.g. Hosting and End User Computing</t>
  </si>
  <si>
    <t>Capacity  Capability  Specialist</t>
  </si>
  <si>
    <t>Define and customisation of channel operating model</t>
  </si>
  <si>
    <t>Capacity  in Product Ownership</t>
  </si>
  <si>
    <t>Closure of Sales Process</t>
  </si>
  <si>
    <t>c5.10</t>
  </si>
  <si>
    <t>Lack of Mngt Accounting</t>
  </si>
  <si>
    <t>lack of capacity</t>
  </si>
  <si>
    <t>outsource indutry expertice</t>
  </si>
  <si>
    <t>the new products for new markets</t>
  </si>
  <si>
    <t>Capability and Capasity</t>
  </si>
  <si>
    <t xml:space="preserve">Sell marketplace facilitation services  </t>
  </si>
  <si>
    <t>SAS PAS SCAS ITAS</t>
  </si>
  <si>
    <t>Technology platform to be in placed</t>
  </si>
  <si>
    <t>slight room for negotiation</t>
  </si>
  <si>
    <r>
      <t xml:space="preserve">Manage customer-specific commercial </t>
    </r>
    <r>
      <rPr>
        <sz val="10"/>
        <color rgb="FFC00000"/>
        <rFont val="Arial"/>
        <family val="2"/>
      </rPr>
      <t>negotiations</t>
    </r>
  </si>
  <si>
    <t>Who should do this?  Structural implications</t>
  </si>
  <si>
    <t xml:space="preserve">not structured  Volume of request Resources </t>
  </si>
  <si>
    <t xml:space="preserve">Capasity  No Dashboards  </t>
  </si>
  <si>
    <t>Activate the business resource system</t>
  </si>
  <si>
    <t xml:space="preserve">Feed new demand into SCM demand proceeses </t>
  </si>
  <si>
    <t>Trigger and launching just in time processes</t>
  </si>
  <si>
    <t>Follow up to plan for service</t>
  </si>
  <si>
    <t>Structural  Capability Capacity intergration of systems and people</t>
  </si>
  <si>
    <t xml:space="preserve">Executing/Delivery the fulfilment process after the sales has been secured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</si>
</sst>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0"/>
      <name val="Arial"/>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0"/>
      <name val="Arial"/>
      <family val="2"/>
    </font>
    <font>
      <u/>
      <sz val="10"/>
      <color theme="10"/>
      <name val="Arial"/>
      <family val="2"/>
    </font>
    <font>
      <sz val="8"/>
      <name val="Arial"/>
      <family val="2"/>
    </font>
    <font>
      <sz val="10"/>
      <name val="Calibri"/>
      <family val="2"/>
    </font>
    <font>
      <sz val="12"/>
      <name val="Calibri"/>
      <family val="2"/>
    </font>
    <font>
      <b/>
      <sz val="10"/>
      <name val="Arial"/>
      <family val="2"/>
    </font>
    <font>
      <b/>
      <sz val="12"/>
      <name val="Calibri"/>
      <family val="2"/>
    </font>
    <font>
      <sz val="12"/>
      <name val="Calibri"/>
      <family val="2"/>
      <scheme val="minor"/>
    </font>
    <font>
      <sz val="10"/>
      <name val="Calibri"/>
      <family val="2"/>
      <scheme val="minor"/>
    </font>
    <font>
      <b/>
      <sz val="10"/>
      <name val="Calibri"/>
      <family val="2"/>
    </font>
    <font>
      <sz val="11"/>
      <name val="Calibri"/>
      <family val="2"/>
      <scheme val="minor"/>
    </font>
    <font>
      <sz val="11"/>
      <name val="Calibri"/>
      <family val="2"/>
    </font>
    <font>
      <b/>
      <sz val="11"/>
      <name val="Calibri"/>
      <family val="2"/>
    </font>
    <font>
      <sz val="11"/>
      <color rgb="FF000000"/>
      <name val="Calibri"/>
      <family val="2"/>
    </font>
    <font>
      <sz val="9"/>
      <name val="Arial"/>
      <family val="2"/>
    </font>
    <font>
      <b/>
      <sz val="11"/>
      <color theme="1"/>
      <name val="Calibri"/>
      <family val="2"/>
    </font>
    <font>
      <sz val="11"/>
      <color theme="1"/>
      <name val="Calibri"/>
      <family val="2"/>
    </font>
    <font>
      <sz val="11"/>
      <color rgb="FFFF0000"/>
      <name val="Calibri"/>
      <family val="2"/>
    </font>
    <font>
      <b/>
      <sz val="11"/>
      <name val="Calibri"/>
      <family val="2"/>
      <scheme val="minor"/>
    </font>
    <font>
      <sz val="11"/>
      <color theme="1"/>
      <name val="Calibri"/>
      <family val="2"/>
      <scheme val="minor"/>
    </font>
    <font>
      <sz val="11"/>
      <color rgb="FF000000"/>
      <name val="Calibri"/>
      <family val="2"/>
      <scheme val="minor"/>
    </font>
    <font>
      <sz val="11"/>
      <color rgb="FF000000"/>
      <name val="Arial"/>
      <family val="2"/>
    </font>
    <font>
      <b/>
      <sz val="11"/>
      <color rgb="FF000000"/>
      <name val="Arial"/>
      <family val="2"/>
    </font>
    <font>
      <sz val="10"/>
      <name val="Arial"/>
      <family val="2"/>
    </font>
    <font>
      <u/>
      <sz val="10"/>
      <color theme="10"/>
      <name val="Calibri"/>
      <family val="2"/>
      <scheme val="minor"/>
    </font>
    <font>
      <sz val="10"/>
      <color rgb="FF404040"/>
      <name val="Calibri"/>
      <family val="2"/>
      <scheme val="minor"/>
    </font>
    <font>
      <sz val="10"/>
      <color theme="1"/>
      <name val="Calibri"/>
      <family val="2"/>
      <scheme val="minor"/>
    </font>
    <font>
      <u/>
      <sz val="10"/>
      <color theme="1"/>
      <name val="Calibri"/>
      <family val="2"/>
      <scheme val="minor"/>
    </font>
    <font>
      <sz val="10"/>
      <color rgb="FF000000"/>
      <name val="Calibri"/>
      <family val="2"/>
      <scheme val="minor"/>
    </font>
    <font>
      <sz val="10"/>
      <color rgb="FF0D0D0D"/>
      <name val="Calibri"/>
      <family val="2"/>
      <scheme val="minor"/>
    </font>
    <font>
      <b/>
      <sz val="10"/>
      <name val="Calibri"/>
      <family val="2"/>
      <scheme val="minor"/>
    </font>
    <font>
      <u/>
      <sz val="10"/>
      <color rgb="FF000000"/>
      <name val="Calibri"/>
      <family val="2"/>
      <scheme val="minor"/>
    </font>
    <font>
      <sz val="10"/>
      <color rgb="FF404040"/>
      <name val="Calibri"/>
      <family val="2"/>
    </font>
    <font>
      <i/>
      <sz val="11"/>
      <color theme="1"/>
      <name val="Calibri"/>
      <family val="2"/>
    </font>
    <font>
      <strike/>
      <sz val="11"/>
      <color rgb="FFFF0000"/>
      <name val="Calibri"/>
      <family val="2"/>
    </font>
    <font>
      <sz val="10"/>
      <color theme="0"/>
      <name val="Calibri"/>
      <family val="2"/>
      <scheme val="minor"/>
    </font>
    <font>
      <sz val="10"/>
      <color rgb="FF000000"/>
      <name val="Arial"/>
      <family val="2"/>
    </font>
    <font>
      <b/>
      <sz val="11"/>
      <color rgb="FF424242"/>
      <name val="Calibri"/>
      <family val="2"/>
    </font>
    <font>
      <sz val="11"/>
      <color theme="1" tint="0.249977111117893"/>
      <name val="Calibri"/>
      <family val="2"/>
    </font>
    <font>
      <sz val="10"/>
      <color rgb="FFFF0000"/>
      <name val="Arial"/>
      <family val="2"/>
    </font>
    <font>
      <b/>
      <sz val="11"/>
      <color rgb="FFFF0000"/>
      <name val="Calibri"/>
      <family val="2"/>
    </font>
    <font>
      <b/>
      <sz val="10"/>
      <color rgb="FFFF0000"/>
      <name val="Calibri"/>
      <family val="2"/>
    </font>
    <font>
      <sz val="10"/>
      <color rgb="FFFF0000"/>
      <name val="Calibri"/>
      <family val="2"/>
    </font>
    <font>
      <sz val="11"/>
      <color rgb="FF008000"/>
      <name val="Calibri"/>
      <family val="2"/>
    </font>
    <font>
      <sz val="11"/>
      <color rgb="FF808080"/>
      <name val="Calibri"/>
      <family val="2"/>
    </font>
    <font>
      <sz val="8"/>
      <color rgb="FF001D35"/>
      <name val="Arial"/>
      <family val="2"/>
    </font>
    <font>
      <b/>
      <sz val="9"/>
      <color rgb="FF0A0A0A"/>
      <name val="Arial"/>
      <family val="2"/>
    </font>
    <font>
      <sz val="10"/>
      <color rgb="FF0A0A0A"/>
      <name val="Arial"/>
      <family val="2"/>
    </font>
    <font>
      <sz val="9"/>
      <color rgb="FF0A0A0A"/>
      <name val="Arial"/>
      <family val="2"/>
    </font>
    <font>
      <sz val="12"/>
      <color rgb="FFFF0000"/>
      <name val="Calibri"/>
      <family val="2"/>
    </font>
    <font>
      <sz val="11"/>
      <color rgb="FFFFFF00"/>
      <name val="Calibri"/>
      <family val="2"/>
    </font>
    <font>
      <b/>
      <sz val="12"/>
      <color theme="1"/>
      <name val="Calibri"/>
      <family val="2"/>
    </font>
    <font>
      <b/>
      <sz val="10"/>
      <color theme="1"/>
      <name val="Calibri"/>
      <family val="2"/>
    </font>
    <font>
      <sz val="10"/>
      <color theme="0"/>
      <name val="Arial"/>
      <family val="2"/>
    </font>
    <font>
      <sz val="11"/>
      <color rgb="FF0070C0"/>
      <name val="Calibri"/>
      <family val="2"/>
    </font>
    <font>
      <b/>
      <sz val="11"/>
      <color rgb="FF0070C0"/>
      <name val="Calibri"/>
      <family val="2"/>
    </font>
    <font>
      <sz val="11"/>
      <color theme="0"/>
      <name val="Calibri"/>
      <family val="2"/>
    </font>
    <font>
      <sz val="8"/>
      <name val="Arial"/>
    </font>
    <font>
      <sz val="11"/>
      <color rgb="FF00B050"/>
      <name val="Calibri"/>
      <family val="2"/>
    </font>
    <font>
      <sz val="11"/>
      <color theme="4"/>
      <name val="Calibri"/>
      <family val="2"/>
    </font>
    <font>
      <sz val="10"/>
      <color rgb="FFC00000"/>
      <name val="Arial"/>
      <family val="2"/>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rgb="FFFFFF00"/>
        <bgColor rgb="FF000000"/>
      </patternFill>
    </fill>
    <fill>
      <patternFill patternType="solid">
        <fgColor rgb="FFFFC000"/>
        <bgColor rgb="FF000000"/>
      </patternFill>
    </fill>
    <fill>
      <patternFill patternType="solid">
        <fgColor them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indexed="64"/>
      </right>
      <top/>
      <bottom/>
      <diagonal/>
    </border>
    <border>
      <left style="thin">
        <color rgb="FF000000"/>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indexed="64"/>
      </right>
      <top style="thin">
        <color indexed="64"/>
      </top>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medium">
        <color rgb="FFBFBFBF"/>
      </left>
      <right style="medium">
        <color rgb="FFBFBFBF"/>
      </right>
      <top/>
      <bottom style="medium">
        <color rgb="FFBFBFBF"/>
      </bottom>
      <diagonal/>
    </border>
    <border>
      <left style="thin">
        <color theme="9" tint="-0.499984740745262"/>
      </left>
      <right style="thin">
        <color indexed="64"/>
      </right>
      <top/>
      <bottom style="thin">
        <color indexed="64"/>
      </bottom>
      <diagonal/>
    </border>
    <border>
      <left style="thin">
        <color theme="9" tint="-0.499984740745262"/>
      </left>
      <right style="thin">
        <color indexed="64"/>
      </right>
      <top style="thin">
        <color theme="9" tint="-0.499984740745262"/>
      </top>
      <bottom style="thin">
        <color indexed="64"/>
      </bottom>
      <diagonal/>
    </border>
    <border>
      <left style="thin">
        <color indexed="64"/>
      </left>
      <right style="thin">
        <color indexed="64"/>
      </right>
      <top style="thin">
        <color theme="9" tint="-0.499984740745262"/>
      </top>
      <bottom style="thin">
        <color indexed="64"/>
      </bottom>
      <diagonal/>
    </border>
    <border>
      <left style="thin">
        <color indexed="64"/>
      </left>
      <right style="thin">
        <color indexed="64"/>
      </right>
      <top style="thin">
        <color theme="9" tint="-0.499984740745262"/>
      </top>
      <bottom/>
      <diagonal/>
    </border>
    <border>
      <left style="thin">
        <color indexed="64"/>
      </left>
      <right style="thin">
        <color theme="9" tint="-0.499984740745262"/>
      </right>
      <top style="thin">
        <color theme="9" tint="-0.499984740745262"/>
      </top>
      <bottom style="thin">
        <color indexed="64"/>
      </bottom>
      <diagonal/>
    </border>
    <border>
      <left style="thin">
        <color theme="9" tint="-0.499984740745262"/>
      </left>
      <right style="thin">
        <color indexed="64"/>
      </right>
      <top style="thin">
        <color indexed="64"/>
      </top>
      <bottom style="thin">
        <color indexed="64"/>
      </bottom>
      <diagonal/>
    </border>
    <border>
      <left style="thin">
        <color indexed="64"/>
      </left>
      <right style="thin">
        <color theme="9" tint="-0.499984740745262"/>
      </right>
      <top style="thin">
        <color indexed="64"/>
      </top>
      <bottom style="thin">
        <color indexed="64"/>
      </bottom>
      <diagonal/>
    </border>
    <border>
      <left style="thin">
        <color indexed="64"/>
      </left>
      <right style="thin">
        <color rgb="FF275317"/>
      </right>
      <top style="thin">
        <color indexed="64"/>
      </top>
      <bottom style="thin">
        <color indexed="64"/>
      </bottom>
      <diagonal/>
    </border>
    <border>
      <left style="thin">
        <color theme="9" tint="-0.499984740745262"/>
      </left>
      <right style="thin">
        <color indexed="64"/>
      </right>
      <top style="thin">
        <color indexed="64"/>
      </top>
      <bottom/>
      <diagonal/>
    </border>
    <border>
      <left style="thin">
        <color indexed="64"/>
      </left>
      <right style="thin">
        <color indexed="64"/>
      </right>
      <top style="thin">
        <color indexed="64"/>
      </top>
      <bottom style="thin">
        <color theme="9" tint="-0.499984740745262"/>
      </bottom>
      <diagonal/>
    </border>
    <border>
      <left style="thin">
        <color indexed="64"/>
      </left>
      <right style="thin">
        <color theme="9" tint="-0.499984740745262"/>
      </right>
      <top style="thin">
        <color indexed="64"/>
      </top>
      <bottom/>
      <diagonal/>
    </border>
    <border>
      <left style="thin">
        <color theme="9" tint="-0.499984740745262"/>
      </left>
      <right style="thin">
        <color indexed="64"/>
      </right>
      <top style="thin">
        <color indexed="64"/>
      </top>
      <bottom style="thin">
        <color theme="9" tint="-0.499984740745262"/>
      </bottom>
      <diagonal/>
    </border>
    <border>
      <left style="thin">
        <color indexed="64"/>
      </left>
      <right style="thin">
        <color indexed="64"/>
      </right>
      <top/>
      <bottom style="thin">
        <color theme="9" tint="-0.499984740745262"/>
      </bottom>
      <diagonal/>
    </border>
    <border>
      <left style="thin">
        <color indexed="64"/>
      </left>
      <right style="thin">
        <color theme="9" tint="-0.499984740745262"/>
      </right>
      <top style="thin">
        <color indexed="64"/>
      </top>
      <bottom style="thin">
        <color theme="9" tint="-0.499984740745262"/>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right/>
      <top style="thin">
        <color indexed="64"/>
      </top>
      <bottom/>
      <diagonal/>
    </border>
    <border>
      <left/>
      <right/>
      <top style="thin">
        <color rgb="FF000000"/>
      </top>
      <bottom/>
      <diagonal/>
    </border>
    <border>
      <left style="thin">
        <color indexed="64"/>
      </left>
      <right style="thin">
        <color indexed="64"/>
      </right>
      <top style="thin">
        <color theme="1"/>
      </top>
      <bottom/>
      <diagonal/>
    </border>
    <border>
      <left style="thin">
        <color indexed="64"/>
      </left>
      <right style="thin">
        <color indexed="64"/>
      </right>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theme="1"/>
      </left>
      <right/>
      <top/>
      <bottom/>
      <diagonal/>
    </border>
    <border>
      <left style="thin">
        <color theme="1"/>
      </left>
      <right/>
      <top/>
      <bottom style="thin">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rgb="FFD9E2F3"/>
      </left>
      <right style="thin">
        <color rgb="FFD9E2F3"/>
      </right>
      <top style="thin">
        <color rgb="FFD9E2F3"/>
      </top>
      <bottom style="thin">
        <color rgb="FFD9E2F3"/>
      </bottom>
      <diagonal/>
    </border>
    <border>
      <left style="thin">
        <color indexed="64"/>
      </left>
      <right/>
      <top style="thin">
        <color indexed="64"/>
      </top>
      <bottom style="thin">
        <color theme="9" tint="-0.499984740745262"/>
      </bottom>
      <diagonal/>
    </border>
    <border>
      <left style="thin">
        <color indexed="64"/>
      </left>
      <right/>
      <top/>
      <bottom style="thin">
        <color indexed="64"/>
      </bottom>
      <diagonal/>
    </border>
    <border>
      <left style="thin">
        <color rgb="FFD9E2F3"/>
      </left>
      <right/>
      <top style="thin">
        <color rgb="FFD9E2F3"/>
      </top>
      <bottom style="thin">
        <color rgb="FFD9E2F3"/>
      </bottom>
      <diagonal/>
    </border>
  </borders>
  <cellStyleXfs count="4">
    <xf numFmtId="0" fontId="0" fillId="0" borderId="0"/>
    <xf numFmtId="0" fontId="13" fillId="0" borderId="0" applyNumberFormat="0" applyFill="0" applyBorder="0" applyAlignment="0" applyProtection="0"/>
    <xf numFmtId="0" fontId="12" fillId="0" borderId="0"/>
    <xf numFmtId="9" fontId="35" fillId="0" borderId="0" applyFont="0" applyFill="0" applyBorder="0" applyAlignment="0" applyProtection="0"/>
  </cellStyleXfs>
  <cellXfs count="584">
    <xf numFmtId="0" fontId="0" fillId="0" borderId="0" xfId="0"/>
    <xf numFmtId="0" fontId="12" fillId="0" borderId="0" xfId="0" applyFont="1" applyAlignment="1">
      <alignment vertical="center" wrapText="1"/>
    </xf>
    <xf numFmtId="0" fontId="17" fillId="0" borderId="1" xfId="0" applyFont="1" applyBorder="1" applyAlignment="1">
      <alignment horizontal="center" vertical="center" wrapText="1"/>
    </xf>
    <xf numFmtId="0" fontId="23" fillId="0" borderId="0" xfId="0" applyFont="1" applyAlignment="1">
      <alignment vertical="center" wrapText="1"/>
    </xf>
    <xf numFmtId="0" fontId="24" fillId="0" borderId="1" xfId="0" applyFont="1" applyBorder="1" applyAlignment="1">
      <alignment horizontal="center" vertical="center" wrapText="1"/>
    </xf>
    <xf numFmtId="0" fontId="24" fillId="0" borderId="0" xfId="0" applyFont="1" applyAlignment="1">
      <alignment horizontal="center" vertical="center" wrapText="1"/>
    </xf>
    <xf numFmtId="0" fontId="23" fillId="0" borderId="1" xfId="0" applyFont="1" applyBorder="1" applyAlignment="1">
      <alignment vertical="center" wrapText="1"/>
    </xf>
    <xf numFmtId="0" fontId="23" fillId="0" borderId="1" xfId="0" applyFont="1" applyBorder="1" applyAlignment="1">
      <alignment horizontal="left" vertical="center" wrapText="1"/>
    </xf>
    <xf numFmtId="0" fontId="23" fillId="0" borderId="0" xfId="0" applyFont="1" applyAlignment="1">
      <alignment horizontal="left" vertical="center" wrapText="1"/>
    </xf>
    <xf numFmtId="0" fontId="26" fillId="0" borderId="0" xfId="0" applyFont="1" applyAlignment="1">
      <alignment vertical="center" wrapText="1"/>
    </xf>
    <xf numFmtId="0" fontId="0" fillId="0" borderId="0" xfId="0" applyAlignment="1">
      <alignment horizontal="left"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0" fontId="27" fillId="0" borderId="0" xfId="0" applyFont="1" applyAlignment="1">
      <alignment horizontal="center" vertical="center" wrapText="1"/>
    </xf>
    <xf numFmtId="0" fontId="28" fillId="0" borderId="0" xfId="0" applyFont="1" applyAlignment="1">
      <alignment vertical="center" wrapText="1"/>
    </xf>
    <xf numFmtId="0" fontId="28" fillId="0" borderId="0" xfId="0" applyFont="1" applyAlignment="1">
      <alignment horizontal="left" vertical="center" wrapText="1"/>
    </xf>
    <xf numFmtId="0" fontId="0" fillId="0" borderId="0" xfId="0" applyAlignment="1">
      <alignment vertical="center" wrapText="1"/>
    </xf>
    <xf numFmtId="0" fontId="24" fillId="0" borderId="2" xfId="0" applyFont="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wrapText="1"/>
    </xf>
    <xf numFmtId="0" fontId="12" fillId="0" borderId="1" xfId="0" applyFont="1" applyBorder="1" applyAlignment="1">
      <alignment horizontal="left" vertical="center" wrapText="1"/>
    </xf>
    <xf numFmtId="0" fontId="18" fillId="0" borderId="1" xfId="0" applyFont="1" applyBorder="1" applyAlignment="1">
      <alignment horizontal="center" vertical="center" wrapText="1"/>
    </xf>
    <xf numFmtId="0" fontId="21" fillId="0" borderId="0" xfId="0" applyFont="1" applyAlignment="1">
      <alignment horizontal="center" vertical="center" wrapText="1"/>
    </xf>
    <xf numFmtId="0" fontId="15" fillId="0" borderId="0" xfId="0" applyFont="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23" fillId="0" borderId="10" xfId="0" applyFont="1" applyBorder="1" applyAlignment="1">
      <alignment horizontal="left" vertical="center" wrapText="1"/>
    </xf>
    <xf numFmtId="0" fontId="29" fillId="0" borderId="10" xfId="0" applyFont="1" applyBorder="1" applyAlignment="1">
      <alignment horizontal="left" vertical="center" wrapText="1"/>
    </xf>
    <xf numFmtId="0" fontId="25" fillId="0" borderId="10" xfId="0" applyFont="1" applyBorder="1"/>
    <xf numFmtId="0" fontId="25" fillId="0" borderId="11" xfId="0" applyFont="1" applyBorder="1" applyAlignment="1">
      <alignment wrapText="1"/>
    </xf>
    <xf numFmtId="0" fontId="25" fillId="0" borderId="11" xfId="0" applyFont="1" applyBorder="1"/>
    <xf numFmtId="0" fontId="25" fillId="0" borderId="1" xfId="0" applyFont="1" applyBorder="1" applyAlignment="1">
      <alignment wrapText="1"/>
    </xf>
    <xf numFmtId="0" fontId="25" fillId="0" borderId="1" xfId="0" applyFont="1" applyBorder="1" applyAlignment="1">
      <alignment horizontal="left" vertical="center" wrapText="1"/>
    </xf>
    <xf numFmtId="0" fontId="25" fillId="0" borderId="5" xfId="0" applyFont="1" applyBorder="1" applyAlignment="1">
      <alignment horizontal="left" vertical="center" wrapText="1"/>
    </xf>
    <xf numFmtId="0" fontId="25" fillId="0" borderId="14" xfId="0" applyFont="1" applyBorder="1" applyAlignment="1">
      <alignment vertical="center" wrapText="1"/>
    </xf>
    <xf numFmtId="0" fontId="29" fillId="0" borderId="1" xfId="0" applyFont="1" applyBorder="1" applyAlignment="1">
      <alignment horizontal="left" vertical="center" wrapText="1"/>
    </xf>
    <xf numFmtId="0" fontId="15" fillId="0" borderId="1" xfId="0" applyFont="1" applyBorder="1" applyAlignment="1">
      <alignment horizontal="left" vertical="center" wrapText="1"/>
    </xf>
    <xf numFmtId="0" fontId="8" fillId="0" borderId="1" xfId="0" applyFont="1" applyBorder="1" applyAlignment="1">
      <alignment horizontal="left" vertical="center" wrapText="1"/>
    </xf>
    <xf numFmtId="0" fontId="22" fillId="0" borderId="0" xfId="0" applyFont="1" applyAlignment="1">
      <alignment vertical="center" wrapText="1"/>
    </xf>
    <xf numFmtId="0" fontId="31" fillId="0" borderId="1" xfId="0" applyFont="1" applyBorder="1" applyAlignment="1">
      <alignment horizontal="left" vertical="center" wrapText="1" readingOrder="1"/>
    </xf>
    <xf numFmtId="0" fontId="22" fillId="0" borderId="1" xfId="0" applyFont="1" applyBorder="1" applyAlignment="1">
      <alignment horizontal="center" vertical="center" wrapText="1"/>
    </xf>
    <xf numFmtId="0" fontId="22" fillId="0" borderId="0" xfId="0" applyFont="1" applyAlignment="1">
      <alignment horizontal="center" vertical="center" wrapText="1"/>
    </xf>
    <xf numFmtId="0" fontId="31" fillId="0" borderId="1" xfId="0" applyFont="1" applyBorder="1" applyAlignment="1">
      <alignment vertical="center" wrapText="1"/>
    </xf>
    <xf numFmtId="0" fontId="32" fillId="0" borderId="0" xfId="0" applyFont="1" applyAlignment="1">
      <alignment vertical="center" wrapText="1"/>
    </xf>
    <xf numFmtId="0" fontId="31" fillId="0" borderId="0" xfId="0" applyFont="1" applyAlignment="1">
      <alignment vertical="center" wrapText="1"/>
    </xf>
    <xf numFmtId="0" fontId="33" fillId="0" borderId="1" xfId="0" applyFont="1" applyBorder="1" applyAlignment="1">
      <alignment vertical="center" wrapText="1"/>
    </xf>
    <xf numFmtId="0" fontId="34" fillId="0" borderId="0" xfId="0" applyFont="1" applyAlignment="1">
      <alignment vertical="center" wrapText="1"/>
    </xf>
    <xf numFmtId="0" fontId="37" fillId="0" borderId="1" xfId="0" applyFont="1" applyBorder="1" applyAlignment="1">
      <alignment vertical="center" wrapText="1"/>
    </xf>
    <xf numFmtId="0" fontId="20" fillId="0" borderId="1" xfId="0" applyFont="1" applyBorder="1" applyAlignment="1">
      <alignment vertical="center" wrapText="1"/>
    </xf>
    <xf numFmtId="0" fontId="32" fillId="0" borderId="4" xfId="0" applyFont="1" applyBorder="1" applyAlignment="1">
      <alignment horizontal="left" vertical="center" wrapText="1" readingOrder="1"/>
    </xf>
    <xf numFmtId="0" fontId="31" fillId="0" borderId="4" xfId="0" applyFont="1" applyBorder="1" applyAlignment="1">
      <alignment vertical="center" wrapText="1"/>
    </xf>
    <xf numFmtId="0" fontId="33" fillId="0" borderId="4" xfId="0" applyFont="1" applyBorder="1" applyAlignment="1">
      <alignment vertical="center" wrapText="1"/>
    </xf>
    <xf numFmtId="0" fontId="22" fillId="0" borderId="4" xfId="0" applyFont="1" applyBorder="1" applyAlignment="1">
      <alignment horizontal="center" vertical="center" wrapText="1"/>
    </xf>
    <xf numFmtId="0" fontId="36" fillId="7" borderId="1" xfId="1" applyFont="1" applyFill="1" applyBorder="1" applyAlignment="1">
      <alignment horizontal="left" vertical="center" wrapText="1" readingOrder="1"/>
    </xf>
    <xf numFmtId="0" fontId="38" fillId="4" borderId="1" xfId="0" applyFont="1" applyFill="1" applyBorder="1" applyAlignment="1">
      <alignment horizontal="left" vertical="center" wrapText="1" readingOrder="1"/>
    </xf>
    <xf numFmtId="0" fontId="39" fillId="4" borderId="1" xfId="1" applyFont="1" applyFill="1" applyBorder="1" applyAlignment="1">
      <alignment horizontal="left" vertical="center" wrapText="1" readingOrder="1"/>
    </xf>
    <xf numFmtId="0" fontId="20" fillId="4" borderId="1" xfId="0" applyFont="1" applyFill="1" applyBorder="1" applyAlignment="1">
      <alignment horizontal="center" vertical="center" wrapText="1"/>
    </xf>
    <xf numFmtId="9" fontId="20" fillId="4" borderId="1" xfId="3" applyFont="1" applyFill="1" applyBorder="1" applyAlignment="1">
      <alignment horizontal="center" vertical="center" wrapText="1"/>
    </xf>
    <xf numFmtId="0" fontId="40" fillId="2" borderId="1" xfId="0" applyFont="1" applyFill="1" applyBorder="1" applyAlignment="1">
      <alignment horizontal="left" vertical="center" wrapText="1" readingOrder="1"/>
    </xf>
    <xf numFmtId="0" fontId="39" fillId="2" borderId="1" xfId="1" applyFont="1" applyFill="1" applyBorder="1" applyAlignment="1">
      <alignment horizontal="left" vertical="center" wrapText="1" readingOrder="1"/>
    </xf>
    <xf numFmtId="0" fontId="20" fillId="2" borderId="1" xfId="0" applyFont="1" applyFill="1" applyBorder="1" applyAlignment="1">
      <alignment horizontal="center" vertical="center" wrapText="1"/>
    </xf>
    <xf numFmtId="9" fontId="20" fillId="6" borderId="1" xfId="3" applyFont="1" applyFill="1" applyBorder="1" applyAlignment="1">
      <alignment horizontal="center" vertical="center" wrapText="1"/>
    </xf>
    <xf numFmtId="0" fontId="20" fillId="0" borderId="1" xfId="0" applyFont="1" applyBorder="1" applyAlignment="1">
      <alignment horizontal="center" vertical="center" wrapText="1"/>
    </xf>
    <xf numFmtId="0" fontId="38" fillId="0" borderId="1" xfId="0" applyFont="1" applyBorder="1" applyAlignment="1">
      <alignment horizontal="left" vertical="center" wrapText="1" readingOrder="1"/>
    </xf>
    <xf numFmtId="0" fontId="41" fillId="0" borderId="1" xfId="0" applyFont="1" applyBorder="1" applyAlignment="1">
      <alignment vertical="center" wrapText="1"/>
    </xf>
    <xf numFmtId="0" fontId="40" fillId="0" borderId="1" xfId="0" applyFont="1" applyBorder="1" applyAlignment="1">
      <alignment horizontal="left" vertical="center" wrapText="1" readingOrder="1"/>
    </xf>
    <xf numFmtId="0" fontId="38" fillId="3" borderId="1" xfId="0" applyFont="1" applyFill="1" applyBorder="1" applyAlignment="1">
      <alignment horizontal="left" vertical="center" wrapText="1" readingOrder="1"/>
    </xf>
    <xf numFmtId="0" fontId="39" fillId="3" borderId="1" xfId="1" applyFont="1" applyFill="1" applyBorder="1" applyAlignment="1">
      <alignment horizontal="left" vertical="center" wrapText="1" readingOrder="1"/>
    </xf>
    <xf numFmtId="0" fontId="20" fillId="3" borderId="1" xfId="0" applyFont="1" applyFill="1" applyBorder="1" applyAlignment="1">
      <alignment horizontal="center" vertical="center" wrapText="1"/>
    </xf>
    <xf numFmtId="0" fontId="40" fillId="0" borderId="1" xfId="0" applyFont="1" applyBorder="1" applyAlignment="1">
      <alignment vertical="center" wrapText="1"/>
    </xf>
    <xf numFmtId="0" fontId="20" fillId="0" borderId="1" xfId="0" applyFont="1" applyBorder="1" applyAlignment="1">
      <alignment horizontal="left" vertical="center" wrapText="1"/>
    </xf>
    <xf numFmtId="0" fontId="20" fillId="5" borderId="1" xfId="0" applyFont="1" applyFill="1" applyBorder="1" applyAlignment="1">
      <alignment horizontal="center" vertical="center" wrapText="1"/>
    </xf>
    <xf numFmtId="0" fontId="38" fillId="0" borderId="1" xfId="0" applyFont="1" applyBorder="1" applyAlignment="1">
      <alignment horizontal="left" vertical="center" wrapText="1"/>
    </xf>
    <xf numFmtId="0" fontId="20" fillId="0" borderId="1" xfId="0" applyFont="1" applyBorder="1" applyAlignment="1">
      <alignment wrapText="1"/>
    </xf>
    <xf numFmtId="0" fontId="20" fillId="5" borderId="1" xfId="0" applyFont="1" applyFill="1" applyBorder="1" applyAlignment="1">
      <alignment vertical="center" wrapText="1"/>
    </xf>
    <xf numFmtId="0" fontId="38" fillId="0" borderId="1" xfId="0" applyFont="1" applyBorder="1" applyAlignment="1">
      <alignment vertical="center" wrapText="1"/>
    </xf>
    <xf numFmtId="0" fontId="42" fillId="0" borderId="1" xfId="0" applyFont="1" applyBorder="1" applyAlignment="1">
      <alignment horizontal="center" vertical="center" wrapText="1"/>
    </xf>
    <xf numFmtId="0" fontId="36" fillId="2" borderId="1" xfId="1" applyFont="1" applyFill="1" applyBorder="1" applyAlignment="1">
      <alignment horizontal="left" vertical="center" wrapText="1" readingOrder="1"/>
    </xf>
    <xf numFmtId="0" fontId="43" fillId="8" borderId="1" xfId="0" applyFont="1" applyFill="1" applyBorder="1" applyAlignment="1">
      <alignment horizontal="left" vertical="center" wrapText="1" readingOrder="1"/>
    </xf>
    <xf numFmtId="0" fontId="20" fillId="8" borderId="1" xfId="0" applyFont="1" applyFill="1" applyBorder="1" applyAlignment="1">
      <alignment horizontal="center" vertical="center" wrapText="1"/>
    </xf>
    <xf numFmtId="0" fontId="38" fillId="0" borderId="1" xfId="0" applyFont="1" applyBorder="1" applyAlignment="1">
      <alignment vertical="center" wrapText="1" readingOrder="1"/>
    </xf>
    <xf numFmtId="0" fontId="40" fillId="7" borderId="1" xfId="0" applyFont="1" applyFill="1" applyBorder="1" applyAlignment="1">
      <alignment horizontal="left" vertical="center" wrapText="1" readingOrder="1"/>
    </xf>
    <xf numFmtId="0" fontId="38" fillId="0" borderId="2" xfId="0" applyFont="1" applyBorder="1" applyAlignment="1">
      <alignment vertical="center" wrapText="1" readingOrder="1"/>
    </xf>
    <xf numFmtId="0" fontId="20" fillId="0" borderId="0" xfId="0" applyFont="1" applyAlignment="1">
      <alignment horizontal="center" vertical="center" wrapText="1"/>
    </xf>
    <xf numFmtId="0" fontId="15" fillId="0" borderId="1" xfId="0" applyFont="1" applyBorder="1" applyAlignment="1">
      <alignment vertical="center" wrapText="1"/>
    </xf>
    <xf numFmtId="0" fontId="44" fillId="0" borderId="1" xfId="0" applyFont="1" applyBorder="1" applyAlignment="1">
      <alignment vertical="center" wrapText="1"/>
    </xf>
    <xf numFmtId="0" fontId="15"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23" xfId="0" applyFont="1" applyBorder="1" applyAlignment="1">
      <alignment vertical="center" wrapText="1"/>
    </xf>
    <xf numFmtId="0" fontId="10" fillId="0" borderId="1" xfId="0" applyFont="1" applyBorder="1" applyAlignment="1">
      <alignment horizontal="left" vertical="center" wrapText="1"/>
    </xf>
    <xf numFmtId="0" fontId="0" fillId="0" borderId="0" xfId="0" applyAlignment="1">
      <alignment vertical="center"/>
    </xf>
    <xf numFmtId="0" fontId="27" fillId="0" borderId="2" xfId="0" applyFont="1" applyBorder="1" applyAlignment="1">
      <alignment horizontal="center" vertical="center" wrapText="1"/>
    </xf>
    <xf numFmtId="0" fontId="27" fillId="0" borderId="25" xfId="0" applyFont="1" applyBorder="1" applyAlignment="1">
      <alignment horizontal="center" vertical="center" wrapText="1"/>
    </xf>
    <xf numFmtId="0" fontId="0" fillId="0" borderId="37" xfId="0" applyBorder="1" applyAlignment="1">
      <alignment vertical="center" wrapText="1"/>
    </xf>
    <xf numFmtId="0" fontId="0" fillId="0" borderId="1"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0" xfId="0" applyBorder="1" applyAlignment="1">
      <alignment vertical="center" wrapText="1"/>
    </xf>
    <xf numFmtId="0" fontId="25" fillId="0" borderId="1" xfId="0" applyFont="1" applyBorder="1" applyAlignment="1">
      <alignment vertical="center" wrapText="1"/>
    </xf>
    <xf numFmtId="0" fontId="29" fillId="0" borderId="1" xfId="0" applyFont="1" applyBorder="1" applyAlignment="1">
      <alignment vertical="center" wrapText="1"/>
    </xf>
    <xf numFmtId="0" fontId="0" fillId="0" borderId="44" xfId="0" applyBorder="1" applyAlignment="1">
      <alignment vertical="center" wrapText="1"/>
    </xf>
    <xf numFmtId="0" fontId="27" fillId="9" borderId="2" xfId="0" applyFont="1" applyFill="1" applyBorder="1" applyAlignment="1">
      <alignment horizontal="center" vertical="center" wrapText="1"/>
    </xf>
    <xf numFmtId="0" fontId="25" fillId="0" borderId="1" xfId="0" applyFont="1" applyBorder="1"/>
    <xf numFmtId="0" fontId="0" fillId="2" borderId="1" xfId="0" applyFill="1" applyBorder="1" applyAlignment="1">
      <alignment vertical="center" wrapText="1"/>
    </xf>
    <xf numFmtId="0" fontId="0" fillId="0" borderId="1" xfId="0" applyBorder="1" applyAlignment="1">
      <alignment horizontal="left" vertical="center" wrapText="1"/>
    </xf>
    <xf numFmtId="0" fontId="25" fillId="0" borderId="3" xfId="0" applyFont="1" applyBorder="1" applyAlignment="1">
      <alignment vertical="center" wrapText="1"/>
    </xf>
    <xf numFmtId="9" fontId="47" fillId="6" borderId="1" xfId="3" applyFont="1" applyFill="1" applyBorder="1" applyAlignment="1">
      <alignment horizontal="center" vertical="center" wrapText="1"/>
    </xf>
    <xf numFmtId="0" fontId="7" fillId="0" borderId="1" xfId="0" applyFont="1" applyBorder="1" applyAlignment="1">
      <alignment horizontal="left" vertical="center" wrapText="1"/>
    </xf>
    <xf numFmtId="0" fontId="13" fillId="4" borderId="1" xfId="1" applyFill="1" applyBorder="1" applyAlignment="1">
      <alignment horizontal="left" vertical="center" wrapText="1" readingOrder="1"/>
    </xf>
    <xf numFmtId="0" fontId="12" fillId="4" borderId="0" xfId="0" applyFont="1" applyFill="1" applyAlignment="1">
      <alignment horizontal="left" vertical="center" wrapText="1"/>
    </xf>
    <xf numFmtId="0" fontId="0" fillId="0" borderId="41" xfId="0" applyBorder="1" applyAlignment="1">
      <alignment vertical="center" wrapText="1"/>
    </xf>
    <xf numFmtId="0" fontId="25" fillId="0" borderId="42" xfId="0" applyFont="1" applyBorder="1" applyAlignment="1">
      <alignment vertical="center" wrapText="1"/>
    </xf>
    <xf numFmtId="0" fontId="25"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applyAlignment="1">
      <alignment horizontal="center" vertical="center" wrapText="1"/>
    </xf>
    <xf numFmtId="0" fontId="12" fillId="0" borderId="1" xfId="0" applyFont="1" applyBorder="1" applyAlignment="1">
      <alignment vertical="center" wrapText="1"/>
    </xf>
    <xf numFmtId="0" fontId="23" fillId="0" borderId="0" xfId="0" applyFont="1"/>
    <xf numFmtId="20" fontId="49" fillId="0" borderId="1" xfId="0" applyNumberFormat="1" applyFont="1" applyBorder="1" applyAlignment="1">
      <alignment horizontal="center" vertical="center"/>
    </xf>
    <xf numFmtId="0" fontId="11" fillId="0" borderId="9" xfId="0" applyFont="1" applyBorder="1" applyAlignment="1">
      <alignment horizontal="left" vertical="center" wrapText="1"/>
    </xf>
    <xf numFmtId="0" fontId="27" fillId="0" borderId="1" xfId="0" applyFont="1" applyBorder="1" applyAlignment="1">
      <alignment vertical="center" wrapText="1"/>
    </xf>
    <xf numFmtId="0" fontId="50" fillId="0" borderId="1" xfId="0" applyFont="1" applyBorder="1" applyAlignment="1">
      <alignment vertical="center" wrapText="1"/>
    </xf>
    <xf numFmtId="0" fontId="27" fillId="0" borderId="15"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59" xfId="0" applyFont="1" applyBorder="1" applyAlignment="1">
      <alignment horizontal="center" vertical="center" wrapText="1"/>
    </xf>
    <xf numFmtId="0" fontId="11" fillId="0" borderId="24" xfId="0" applyFont="1" applyBorder="1" applyAlignment="1">
      <alignment horizontal="left" vertical="center" wrapText="1"/>
    </xf>
    <xf numFmtId="0" fontId="51" fillId="0" borderId="1" xfId="0" applyFont="1" applyBorder="1" applyAlignment="1">
      <alignment vertical="center" wrapText="1"/>
    </xf>
    <xf numFmtId="0" fontId="0" fillId="0" borderId="0" xfId="0" applyAlignment="1">
      <alignment horizontal="center" vertical="center" wrapText="1"/>
    </xf>
    <xf numFmtId="0" fontId="29" fillId="0" borderId="0" xfId="0" applyFont="1" applyAlignment="1">
      <alignment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39" xfId="0" applyBorder="1" applyAlignment="1">
      <alignment horizontal="center" vertical="center" wrapText="1"/>
    </xf>
    <xf numFmtId="0" fontId="0" fillId="0" borderId="39" xfId="0" applyBorder="1" applyAlignment="1">
      <alignment vertical="center" wrapText="1"/>
    </xf>
    <xf numFmtId="0" fontId="0" fillId="0" borderId="41" xfId="0" applyBorder="1" applyAlignment="1">
      <alignment horizontal="center" vertical="center" wrapText="1"/>
    </xf>
    <xf numFmtId="0" fontId="0" fillId="0" borderId="2" xfId="0" applyBorder="1" applyAlignment="1">
      <alignment horizontal="center" vertical="center" wrapText="1"/>
    </xf>
    <xf numFmtId="0" fontId="0" fillId="0" borderId="45" xfId="0" applyBorder="1" applyAlignment="1">
      <alignment horizontal="center" vertical="center" wrapText="1"/>
    </xf>
    <xf numFmtId="0" fontId="0" fillId="0" borderId="45" xfId="0" applyBorder="1" applyAlignment="1">
      <alignment vertical="center" wrapText="1"/>
    </xf>
    <xf numFmtId="0" fontId="0" fillId="0" borderId="44" xfId="0" applyBorder="1" applyAlignment="1">
      <alignment horizontal="center" vertical="center" wrapText="1"/>
    </xf>
    <xf numFmtId="0" fontId="0" fillId="0" borderId="48" xfId="0" applyBorder="1" applyAlignment="1">
      <alignment horizontal="center" vertical="center" wrapText="1"/>
    </xf>
    <xf numFmtId="0" fontId="0" fillId="0" borderId="48" xfId="0" applyBorder="1" applyAlignment="1">
      <alignment vertical="center" wrapText="1"/>
    </xf>
    <xf numFmtId="0" fontId="0" fillId="9" borderId="0" xfId="0" applyFill="1" applyAlignment="1">
      <alignment vertical="center" wrapText="1"/>
    </xf>
    <xf numFmtId="9" fontId="0" fillId="9" borderId="0" xfId="3" applyFont="1" applyFill="1" applyAlignment="1">
      <alignment vertical="center" wrapText="1"/>
    </xf>
    <xf numFmtId="0" fontId="0" fillId="9" borderId="0" xfId="0" applyFill="1" applyAlignment="1">
      <alignment horizontal="center" vertical="center" wrapText="1"/>
    </xf>
    <xf numFmtId="0" fontId="48" fillId="0" borderId="0" xfId="0" applyFont="1" applyAlignment="1">
      <alignment wrapText="1"/>
    </xf>
    <xf numFmtId="0" fontId="12" fillId="0" borderId="1" xfId="0" applyFont="1" applyBorder="1" applyAlignment="1">
      <alignment horizontal="center" vertical="center" wrapText="1"/>
    </xf>
    <xf numFmtId="0" fontId="0" fillId="0" borderId="0" xfId="0" applyAlignment="1">
      <alignment wrapText="1"/>
    </xf>
    <xf numFmtId="0" fontId="50" fillId="0" borderId="0" xfId="0" applyFont="1" applyAlignment="1">
      <alignment vertical="center" wrapText="1"/>
    </xf>
    <xf numFmtId="0" fontId="6" fillId="0" borderId="1" xfId="0" applyFont="1" applyBorder="1" applyAlignment="1">
      <alignment horizontal="left" vertical="center" wrapText="1"/>
    </xf>
    <xf numFmtId="0" fontId="53" fillId="0" borderId="0" xfId="0" applyFont="1" applyAlignment="1">
      <alignment horizontal="center" vertical="center" wrapText="1"/>
    </xf>
    <xf numFmtId="0" fontId="54" fillId="0" borderId="0" xfId="0" applyFont="1" applyAlignment="1">
      <alignment vertical="center" wrapText="1"/>
    </xf>
    <xf numFmtId="0" fontId="0" fillId="0" borderId="62" xfId="0" applyBorder="1" applyAlignment="1">
      <alignment vertical="top" wrapText="1"/>
    </xf>
    <xf numFmtId="0" fontId="28" fillId="0" borderId="1" xfId="0" applyFont="1" applyBorder="1" applyAlignment="1">
      <alignment horizontal="left" vertical="center" wrapText="1"/>
    </xf>
    <xf numFmtId="0" fontId="0" fillId="0" borderId="1" xfId="0" applyBorder="1" applyAlignment="1">
      <alignment vertical="top" wrapText="1"/>
    </xf>
    <xf numFmtId="0" fontId="55" fillId="0" borderId="1" xfId="0" applyFont="1" applyBorder="1" applyAlignment="1">
      <alignment vertical="top" wrapText="1"/>
    </xf>
    <xf numFmtId="0" fontId="56" fillId="0" borderId="1" xfId="0" applyFont="1" applyBorder="1" applyAlignment="1">
      <alignment vertical="top" wrapText="1"/>
    </xf>
    <xf numFmtId="0" fontId="0" fillId="0" borderId="10" xfId="0" applyBorder="1" applyAlignment="1">
      <alignment vertical="top" wrapText="1"/>
    </xf>
    <xf numFmtId="0" fontId="0" fillId="0" borderId="3" xfId="0" applyBorder="1" applyAlignment="1">
      <alignment horizontal="center" vertical="center" wrapText="1"/>
    </xf>
    <xf numFmtId="0" fontId="0" fillId="0" borderId="1" xfId="0" applyBorder="1" applyAlignment="1">
      <alignment wrapText="1"/>
    </xf>
    <xf numFmtId="0" fontId="12" fillId="0" borderId="10"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57" fillId="0" borderId="0" xfId="0" applyFont="1"/>
    <xf numFmtId="0" fontId="58" fillId="0" borderId="0" xfId="0" applyFont="1"/>
    <xf numFmtId="0" fontId="5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58" fillId="0" borderId="0" xfId="0" applyFont="1" applyAlignment="1">
      <alignment horizontal="left" vertical="center" wrapText="1" indent="1"/>
    </xf>
    <xf numFmtId="0" fontId="27" fillId="12" borderId="1" xfId="0" applyFont="1" applyFill="1" applyBorder="1" applyAlignment="1">
      <alignment horizontal="center" vertical="center" wrapText="1"/>
    </xf>
    <xf numFmtId="0" fontId="62" fillId="6" borderId="1" xfId="0" applyFont="1" applyFill="1" applyBorder="1" applyAlignment="1">
      <alignment horizontal="left" vertical="center" wrapText="1"/>
    </xf>
    <xf numFmtId="0" fontId="62" fillId="6" borderId="0" xfId="0" applyFont="1" applyFill="1" applyAlignment="1">
      <alignment vertical="center" wrapText="1"/>
    </xf>
    <xf numFmtId="0" fontId="29" fillId="0" borderId="15" xfId="0" applyFont="1" applyBorder="1" applyAlignment="1">
      <alignment vertical="center" wrapText="1"/>
    </xf>
    <xf numFmtId="0" fontId="3" fillId="0" borderId="1" xfId="0" applyFont="1" applyBorder="1" applyAlignment="1">
      <alignment horizontal="left" vertical="center" wrapText="1"/>
    </xf>
    <xf numFmtId="0" fontId="63" fillId="0" borderId="1" xfId="0" applyFont="1" applyBorder="1" applyAlignment="1">
      <alignment horizontal="center" vertical="center" wrapText="1"/>
    </xf>
    <xf numFmtId="0" fontId="64" fillId="0" borderId="0" xfId="0" applyFont="1" applyAlignment="1">
      <alignment horizontal="center" vertical="center" wrapText="1"/>
    </xf>
    <xf numFmtId="0" fontId="0" fillId="0" borderId="15" xfId="0" applyBorder="1" applyAlignment="1">
      <alignment vertical="center" wrapText="1"/>
    </xf>
    <xf numFmtId="0" fontId="12" fillId="0" borderId="0" xfId="0" applyFont="1"/>
    <xf numFmtId="0" fontId="12" fillId="0" borderId="15" xfId="0" applyFont="1" applyBorder="1" applyAlignment="1">
      <alignment vertical="center" wrapText="1"/>
    </xf>
    <xf numFmtId="0" fontId="25" fillId="0" borderId="15" xfId="0" applyFont="1" applyBorder="1" applyAlignment="1">
      <alignment vertical="center" wrapText="1"/>
    </xf>
    <xf numFmtId="0" fontId="51" fillId="0" borderId="15" xfId="0" applyFont="1" applyBorder="1" applyAlignment="1">
      <alignment vertical="center" wrapText="1"/>
    </xf>
    <xf numFmtId="0" fontId="0" fillId="0" borderId="63" xfId="0" applyBorder="1" applyAlignment="1">
      <alignment vertical="center" wrapText="1"/>
    </xf>
    <xf numFmtId="0" fontId="0" fillId="0" borderId="64" xfId="0" applyBorder="1" applyAlignment="1">
      <alignment vertical="center" wrapText="1"/>
    </xf>
    <xf numFmtId="0" fontId="25" fillId="0" borderId="6" xfId="0" applyFont="1" applyBorder="1" applyAlignment="1">
      <alignment vertical="center" wrapText="1"/>
    </xf>
    <xf numFmtId="0" fontId="50" fillId="0" borderId="15" xfId="0" applyFont="1" applyBorder="1" applyAlignment="1">
      <alignment vertical="center" wrapText="1"/>
    </xf>
    <xf numFmtId="0" fontId="12" fillId="0" borderId="15" xfId="0" applyFont="1" applyBorder="1" applyAlignment="1">
      <alignment horizontal="left" vertical="center" wrapText="1"/>
    </xf>
    <xf numFmtId="0" fontId="51" fillId="0" borderId="15" xfId="0" applyFont="1" applyBorder="1" applyAlignment="1">
      <alignment horizontal="left" vertical="center" wrapText="1"/>
    </xf>
    <xf numFmtId="0" fontId="0" fillId="0" borderId="15" xfId="0" applyBorder="1" applyAlignment="1">
      <alignment horizontal="left" vertical="center" wrapText="1"/>
    </xf>
    <xf numFmtId="0" fontId="0" fillId="0" borderId="30" xfId="0" applyBorder="1"/>
    <xf numFmtId="0" fontId="0" fillId="0" borderId="33" xfId="0" applyBorder="1"/>
    <xf numFmtId="0" fontId="0" fillId="0" borderId="30" xfId="0" applyBorder="1" applyAlignment="1">
      <alignment horizontal="center" vertical="center" wrapText="1"/>
    </xf>
    <xf numFmtId="0" fontId="27" fillId="0" borderId="30" xfId="0" applyFont="1" applyBorder="1" applyAlignment="1">
      <alignment horizontal="center" vertical="center" wrapText="1"/>
    </xf>
    <xf numFmtId="0" fontId="3" fillId="0" borderId="0" xfId="0" applyFont="1" applyAlignment="1">
      <alignment vertical="center" wrapText="1"/>
    </xf>
    <xf numFmtId="0" fontId="12" fillId="0" borderId="30" xfId="0" applyFont="1" applyBorder="1"/>
    <xf numFmtId="0" fontId="26" fillId="0" borderId="30" xfId="0" applyFont="1" applyBorder="1" applyAlignment="1">
      <alignment horizontal="center" vertical="center" wrapText="1"/>
    </xf>
    <xf numFmtId="0" fontId="0" fillId="10" borderId="15" xfId="0" applyFill="1" applyBorder="1" applyAlignment="1">
      <alignment vertical="center" wrapText="1"/>
    </xf>
    <xf numFmtId="0" fontId="12" fillId="2" borderId="1" xfId="0" applyFont="1" applyFill="1" applyBorder="1" applyAlignment="1">
      <alignment vertical="center" wrapText="1"/>
    </xf>
    <xf numFmtId="0" fontId="66" fillId="0" borderId="0" xfId="0" applyFont="1" applyAlignment="1">
      <alignment horizontal="left" vertical="center" wrapText="1"/>
    </xf>
    <xf numFmtId="0" fontId="67" fillId="12" borderId="1" xfId="0"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0" fillId="0" borderId="0" xfId="0" applyAlignment="1">
      <alignment vertical="top" wrapText="1"/>
    </xf>
    <xf numFmtId="0" fontId="66" fillId="0" borderId="1" xfId="0" applyFont="1" applyBorder="1" applyAlignment="1">
      <alignment horizontal="left" vertical="center" wrapText="1"/>
    </xf>
    <xf numFmtId="0" fontId="1" fillId="0" borderId="23" xfId="0" applyFont="1" applyBorder="1" applyAlignment="1">
      <alignment vertical="center" wrapText="1"/>
    </xf>
    <xf numFmtId="0" fontId="66" fillId="0" borderId="23" xfId="0" applyFont="1" applyBorder="1" applyAlignment="1">
      <alignment vertical="center" wrapText="1"/>
    </xf>
    <xf numFmtId="0" fontId="0" fillId="0" borderId="65" xfId="0" applyBorder="1" applyAlignment="1">
      <alignment vertical="top" wrapText="1"/>
    </xf>
    <xf numFmtId="0" fontId="65" fillId="0" borderId="0" xfId="0" applyFont="1" applyAlignment="1">
      <alignment vertical="center"/>
    </xf>
    <xf numFmtId="0" fontId="68" fillId="0" borderId="0" xfId="0" applyFont="1" applyAlignment="1">
      <alignment horizontal="left" vertical="center" wrapText="1"/>
    </xf>
    <xf numFmtId="0" fontId="50" fillId="12" borderId="15" xfId="0" applyFont="1" applyFill="1" applyBorder="1" applyAlignment="1">
      <alignment vertical="center" wrapText="1"/>
    </xf>
    <xf numFmtId="0" fontId="0" fillId="15" borderId="1" xfId="0" applyFill="1" applyBorder="1" applyAlignment="1">
      <alignment wrapText="1"/>
    </xf>
    <xf numFmtId="0" fontId="0" fillId="15" borderId="1" xfId="0" applyFill="1" applyBorder="1" applyAlignment="1">
      <alignment vertical="center" wrapText="1"/>
    </xf>
    <xf numFmtId="0" fontId="28"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1" fillId="15" borderId="0" xfId="0" applyFont="1" applyFill="1" applyAlignment="1">
      <alignment vertical="center" wrapText="1"/>
    </xf>
    <xf numFmtId="0" fontId="0" fillId="4" borderId="1" xfId="0" applyFill="1" applyBorder="1" applyAlignment="1">
      <alignment vertical="center" wrapText="1"/>
    </xf>
    <xf numFmtId="0" fontId="1" fillId="4" borderId="1" xfId="0" applyFont="1" applyFill="1" applyBorder="1" applyAlignment="1">
      <alignment vertical="center" wrapText="1"/>
    </xf>
    <xf numFmtId="0" fontId="28" fillId="4" borderId="1" xfId="0" applyFont="1" applyFill="1" applyBorder="1" applyAlignment="1">
      <alignment vertical="center" wrapText="1"/>
    </xf>
    <xf numFmtId="0" fontId="0" fillId="3" borderId="30" xfId="0" applyFill="1" applyBorder="1"/>
    <xf numFmtId="0" fontId="70" fillId="0" borderId="1" xfId="0" applyFont="1" applyBorder="1" applyAlignment="1">
      <alignment horizontal="center" vertical="center" wrapText="1"/>
    </xf>
    <xf numFmtId="0" fontId="51" fillId="0" borderId="1" xfId="0" applyFont="1" applyBorder="1" applyAlignment="1">
      <alignment horizontal="left" vertical="center" wrapText="1"/>
    </xf>
    <xf numFmtId="0" fontId="29" fillId="0" borderId="1" xfId="0" applyFont="1" applyBorder="1" applyAlignment="1">
      <alignment vertical="top" wrapText="1"/>
    </xf>
    <xf numFmtId="0" fontId="1" fillId="2" borderId="0" xfId="0" applyFont="1" applyFill="1" applyAlignment="1">
      <alignment vertical="center" wrapText="1"/>
    </xf>
    <xf numFmtId="0" fontId="71" fillId="2" borderId="0" xfId="0" applyFont="1" applyFill="1" applyAlignment="1">
      <alignment vertical="center" wrapText="1"/>
    </xf>
    <xf numFmtId="0" fontId="23" fillId="0" borderId="1" xfId="0" applyFont="1" applyBorder="1" applyAlignment="1">
      <alignment vertical="top" wrapText="1"/>
    </xf>
    <xf numFmtId="0" fontId="0" fillId="5" borderId="64" xfId="0" applyFill="1" applyBorder="1" applyAlignment="1">
      <alignment vertical="center" wrapText="1"/>
    </xf>
    <xf numFmtId="0" fontId="0" fillId="5" borderId="15" xfId="0" applyFill="1" applyBorder="1" applyAlignment="1">
      <alignment vertical="center" wrapText="1"/>
    </xf>
    <xf numFmtId="0" fontId="12" fillId="5" borderId="15" xfId="0" applyFont="1" applyFill="1" applyBorder="1" applyAlignment="1">
      <alignment vertical="center" wrapText="1"/>
    </xf>
    <xf numFmtId="0" fontId="51" fillId="0" borderId="1" xfId="0" applyFont="1" applyBorder="1" applyAlignment="1">
      <alignment vertical="top" wrapText="1"/>
    </xf>
    <xf numFmtId="0" fontId="12" fillId="0" borderId="1" xfId="0" applyFont="1" applyBorder="1" applyAlignment="1">
      <alignment vertical="top" wrapText="1"/>
    </xf>
    <xf numFmtId="0" fontId="29" fillId="0" borderId="2" xfId="0" applyFont="1" applyBorder="1" applyAlignment="1">
      <alignment horizontal="left" vertical="center" wrapText="1"/>
    </xf>
    <xf numFmtId="0" fontId="12" fillId="0" borderId="30" xfId="0" applyFont="1" applyBorder="1" applyAlignment="1">
      <alignment horizontal="center"/>
    </xf>
    <xf numFmtId="0" fontId="0" fillId="0" borderId="40" xfId="0" applyBorder="1" applyAlignment="1">
      <alignment vertical="center" wrapText="1"/>
    </xf>
    <xf numFmtId="0" fontId="13" fillId="0" borderId="40" xfId="1" applyBorder="1" applyAlignment="1">
      <alignment vertical="center" wrapText="1"/>
    </xf>
    <xf numFmtId="9" fontId="0" fillId="0" borderId="37" xfId="3" applyFont="1" applyBorder="1" applyAlignment="1">
      <alignment horizontal="center" vertical="center" wrapText="1"/>
    </xf>
    <xf numFmtId="9" fontId="0" fillId="0" borderId="1" xfId="3" applyFont="1" applyBorder="1" applyAlignment="1">
      <alignment horizontal="center" vertical="center" wrapText="1"/>
    </xf>
    <xf numFmtId="0" fontId="12" fillId="0" borderId="2" xfId="0" applyFont="1"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35" xfId="0" applyBorder="1" applyAlignment="1">
      <alignment vertical="center" wrapText="1"/>
    </xf>
    <xf numFmtId="0" fontId="13" fillId="0" borderId="35" xfId="1" applyBorder="1" applyAlignment="1">
      <alignment vertical="center" wrapText="1"/>
    </xf>
    <xf numFmtId="9" fontId="0" fillId="0" borderId="4" xfId="3" applyFont="1" applyBorder="1" applyAlignment="1">
      <alignment horizontal="center" vertical="center" wrapText="1"/>
    </xf>
    <xf numFmtId="0" fontId="0" fillId="0" borderId="43" xfId="0" applyBorder="1" applyAlignment="1">
      <alignment vertical="center" wrapText="1"/>
    </xf>
    <xf numFmtId="0" fontId="13" fillId="0" borderId="43" xfId="1" applyBorder="1" applyAlignment="1">
      <alignment vertical="center" wrapText="1"/>
    </xf>
    <xf numFmtId="9" fontId="0" fillId="0" borderId="2" xfId="3" applyFont="1" applyBorder="1" applyAlignment="1">
      <alignment horizontal="center" vertical="center" wrapText="1"/>
    </xf>
    <xf numFmtId="0" fontId="0" fillId="0" borderId="49" xfId="0" applyBorder="1" applyAlignment="1">
      <alignment vertical="center" wrapText="1"/>
    </xf>
    <xf numFmtId="0" fontId="0" fillId="0" borderId="50" xfId="0" applyBorder="1" applyAlignment="1">
      <alignment vertical="center" wrapText="1"/>
    </xf>
    <xf numFmtId="0" fontId="0" fillId="0" borderId="34" xfId="0" applyBorder="1" applyAlignment="1">
      <alignment vertical="center" wrapText="1"/>
    </xf>
    <xf numFmtId="0" fontId="13" fillId="0" borderId="49" xfId="1" applyBorder="1" applyAlignment="1">
      <alignment vertical="center" wrapText="1"/>
    </xf>
    <xf numFmtId="0" fontId="13" fillId="0" borderId="50" xfId="1" applyBorder="1" applyAlignment="1">
      <alignment vertical="center" wrapText="1"/>
    </xf>
    <xf numFmtId="0" fontId="13" fillId="0" borderId="34" xfId="1" applyBorder="1" applyAlignment="1">
      <alignment vertical="center" wrapText="1"/>
    </xf>
    <xf numFmtId="9" fontId="0" fillId="0" borderId="49" xfId="3" applyFont="1" applyBorder="1" applyAlignment="1">
      <alignment horizontal="center" vertical="center" wrapText="1"/>
    </xf>
    <xf numFmtId="9" fontId="0" fillId="0" borderId="50" xfId="3" applyFont="1" applyBorder="1" applyAlignment="1">
      <alignment horizontal="center" vertical="center" wrapText="1"/>
    </xf>
    <xf numFmtId="9" fontId="0" fillId="0" borderId="34" xfId="3" applyFont="1" applyBorder="1" applyAlignment="1">
      <alignment horizontal="center" vertical="center" wrapText="1"/>
    </xf>
    <xf numFmtId="0" fontId="12" fillId="0" borderId="49" xfId="0" applyFont="1" applyBorder="1" applyAlignment="1">
      <alignment vertical="center" wrapText="1"/>
    </xf>
    <xf numFmtId="0" fontId="0" fillId="0" borderId="49" xfId="0" applyBorder="1" applyAlignment="1">
      <alignment horizontal="left" vertical="center" wrapText="1"/>
    </xf>
    <xf numFmtId="0" fontId="0" fillId="0" borderId="50" xfId="0" applyBorder="1" applyAlignment="1">
      <alignment horizontal="left" vertical="center" wrapText="1"/>
    </xf>
    <xf numFmtId="0" fontId="0" fillId="0" borderId="34" xfId="0" applyBorder="1" applyAlignment="1">
      <alignment horizontal="left" vertical="center" wrapText="1"/>
    </xf>
    <xf numFmtId="0" fontId="13" fillId="0" borderId="49" xfId="1" applyBorder="1" applyAlignment="1">
      <alignment horizontal="left" vertical="center" wrapText="1"/>
    </xf>
    <xf numFmtId="0" fontId="13" fillId="0" borderId="50" xfId="1" applyBorder="1" applyAlignment="1">
      <alignment horizontal="left" vertical="center" wrapText="1"/>
    </xf>
    <xf numFmtId="0" fontId="13" fillId="0" borderId="34" xfId="1" applyBorder="1" applyAlignment="1">
      <alignment horizontal="left" vertical="center" wrapText="1"/>
    </xf>
    <xf numFmtId="0" fontId="0" fillId="0" borderId="1" xfId="0" applyBorder="1" applyAlignment="1">
      <alignment vertical="center" wrapText="1"/>
    </xf>
    <xf numFmtId="0" fontId="13" fillId="0" borderId="1" xfId="1" applyBorder="1" applyAlignment="1">
      <alignment vertical="center" wrapText="1"/>
    </xf>
    <xf numFmtId="9" fontId="0" fillId="0" borderId="3" xfId="3" applyFont="1" applyBorder="1" applyAlignment="1">
      <alignment horizontal="center" vertical="center" wrapText="1"/>
    </xf>
    <xf numFmtId="0" fontId="51" fillId="0" borderId="2" xfId="0" applyFont="1" applyBorder="1" applyAlignment="1">
      <alignment vertical="center" wrapText="1"/>
    </xf>
    <xf numFmtId="0" fontId="51" fillId="0" borderId="3" xfId="0" applyFont="1" applyBorder="1" applyAlignment="1">
      <alignment vertical="center" wrapText="1"/>
    </xf>
    <xf numFmtId="9" fontId="0" fillId="0" borderId="15" xfId="3" applyFont="1" applyBorder="1" applyAlignment="1">
      <alignment horizontal="center" vertical="center" wrapText="1"/>
    </xf>
    <xf numFmtId="0" fontId="0" fillId="0" borderId="30" xfId="0" applyBorder="1" applyAlignment="1">
      <alignment vertical="center" wrapText="1"/>
    </xf>
    <xf numFmtId="0" fontId="30" fillId="0" borderId="0" xfId="0" applyFont="1" applyAlignment="1">
      <alignment horizontal="center" vertical="center" wrapText="1"/>
    </xf>
    <xf numFmtId="0" fontId="9"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pplyAlignment="1">
      <alignment horizontal="left" vertical="center" wrapText="1"/>
    </xf>
    <xf numFmtId="0" fontId="7" fillId="0" borderId="15" xfId="0" applyFont="1" applyBorder="1" applyAlignment="1">
      <alignment horizontal="left" vertical="center" wrapText="1"/>
    </xf>
    <xf numFmtId="0" fontId="11" fillId="0" borderId="15"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11" fillId="0" borderId="6" xfId="0" applyFont="1" applyBorder="1" applyAlignment="1">
      <alignment horizontal="left" vertical="center" wrapText="1"/>
    </xf>
    <xf numFmtId="0" fontId="7" fillId="0" borderId="17" xfId="0" applyFont="1" applyBorder="1" applyAlignment="1">
      <alignment horizontal="left" vertical="center" wrapText="1"/>
    </xf>
    <xf numFmtId="0" fontId="11" fillId="0" borderId="17" xfId="0" applyFont="1" applyBorder="1" applyAlignment="1">
      <alignment horizontal="left" vertical="center" wrapText="1"/>
    </xf>
    <xf numFmtId="0" fontId="7" fillId="0" borderId="24" xfId="0" applyFont="1" applyBorder="1" applyAlignment="1">
      <alignment vertical="center" wrapText="1"/>
    </xf>
    <xf numFmtId="0" fontId="7" fillId="0" borderId="23" xfId="0" applyFont="1" applyBorder="1" applyAlignment="1">
      <alignment vertical="center" wrapText="1"/>
    </xf>
    <xf numFmtId="0" fontId="10" fillId="0" borderId="23" xfId="0" applyFont="1" applyBorder="1" applyAlignment="1">
      <alignment vertical="center" wrapText="1"/>
    </xf>
    <xf numFmtId="0" fontId="11" fillId="0" borderId="23" xfId="0" applyFont="1" applyBorder="1" applyAlignment="1">
      <alignment vertical="center" wrapText="1"/>
    </xf>
    <xf numFmtId="0" fontId="9" fillId="0" borderId="15" xfId="0" applyFont="1" applyBorder="1" applyAlignment="1">
      <alignment horizontal="left" vertical="center" wrapText="1"/>
    </xf>
    <xf numFmtId="0" fontId="10" fillId="0" borderId="15"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51" fillId="0" borderId="4" xfId="0" applyFont="1" applyBorder="1" applyAlignment="1">
      <alignment vertical="center" wrapText="1"/>
    </xf>
    <xf numFmtId="0" fontId="0" fillId="0" borderId="46" xfId="0" applyBorder="1" applyAlignment="1">
      <alignment vertical="center" wrapText="1"/>
    </xf>
    <xf numFmtId="0" fontId="13" fillId="0" borderId="46" xfId="1" applyBorder="1" applyAlignment="1">
      <alignment vertical="center" wrapText="1"/>
    </xf>
    <xf numFmtId="9" fontId="0" fillId="0" borderId="44" xfId="3" applyFont="1" applyBorder="1" applyAlignment="1">
      <alignment horizontal="center" vertical="center" wrapText="1"/>
    </xf>
    <xf numFmtId="0" fontId="0" fillId="0" borderId="47" xfId="0" applyBorder="1" applyAlignment="1">
      <alignment vertical="center" wrapText="1"/>
    </xf>
    <xf numFmtId="0" fontId="27" fillId="0" borderId="9" xfId="0" applyFont="1" applyBorder="1" applyAlignment="1">
      <alignment horizontal="center" vertical="center" wrapText="1"/>
    </xf>
    <xf numFmtId="0" fontId="27" fillId="0" borderId="25" xfId="0" applyFont="1" applyBorder="1" applyAlignment="1">
      <alignment horizontal="center" vertical="center" wrapText="1"/>
    </xf>
    <xf numFmtId="0" fontId="13" fillId="0" borderId="36" xfId="1" applyBorder="1" applyAlignment="1">
      <alignment vertical="center" wrapText="1"/>
    </xf>
    <xf numFmtId="0" fontId="0" fillId="0" borderId="38" xfId="0" applyBorder="1" applyAlignment="1">
      <alignment vertical="center" wrapText="1"/>
    </xf>
    <xf numFmtId="0" fontId="27" fillId="0" borderId="0" xfId="0" applyFont="1" applyAlignment="1">
      <alignment horizontal="center" vertical="center" wrapText="1"/>
    </xf>
    <xf numFmtId="0" fontId="0" fillId="0" borderId="0" xfId="0" applyAlignment="1">
      <alignment horizontal="left"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 xfId="0" applyFont="1" applyBorder="1" applyAlignment="1">
      <alignment vertical="center" wrapText="1"/>
    </xf>
    <xf numFmtId="0" fontId="23" fillId="0" borderId="2" xfId="0" applyFont="1" applyBorder="1" applyAlignment="1">
      <alignment horizontal="left" vertical="center" wrapText="1"/>
    </xf>
    <xf numFmtId="0" fontId="23" fillId="0" borderId="4" xfId="0" applyFont="1" applyBorder="1" applyAlignment="1">
      <alignment horizontal="left" vertical="center" wrapText="1"/>
    </xf>
    <xf numFmtId="0" fontId="25" fillId="0" borderId="1" xfId="0" applyFont="1" applyBorder="1" applyAlignment="1">
      <alignment horizontal="left" vertical="center" wrapText="1"/>
    </xf>
    <xf numFmtId="0" fontId="23" fillId="0" borderId="1" xfId="0" applyFont="1" applyBorder="1" applyAlignment="1">
      <alignment horizontal="left" vertical="center" wrapText="1"/>
    </xf>
    <xf numFmtId="0" fontId="23" fillId="0" borderId="1" xfId="0" applyFont="1" applyBorder="1" applyAlignment="1">
      <alignment horizontal="center" vertical="center" wrapText="1"/>
    </xf>
    <xf numFmtId="0" fontId="23" fillId="2" borderId="1" xfId="0" applyFont="1" applyFill="1" applyBorder="1" applyAlignment="1">
      <alignment vertical="center" wrapText="1"/>
    </xf>
    <xf numFmtId="0" fontId="23" fillId="0" borderId="2" xfId="0" applyFont="1" applyBorder="1" applyAlignment="1">
      <alignment vertical="center" wrapText="1"/>
    </xf>
    <xf numFmtId="0" fontId="23" fillId="0" borderId="4" xfId="0" applyFont="1" applyBorder="1" applyAlignment="1">
      <alignment vertical="center" wrapText="1"/>
    </xf>
    <xf numFmtId="0" fontId="23" fillId="6" borderId="2"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5" fillId="6"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23" fillId="0" borderId="10" xfId="0" applyFont="1" applyBorder="1" applyAlignment="1">
      <alignment horizontal="left" vertical="center" wrapText="1"/>
    </xf>
    <xf numFmtId="0" fontId="25" fillId="0" borderId="10" xfId="0" applyFont="1" applyBorder="1" applyAlignment="1">
      <alignment horizontal="left" vertical="center" wrapText="1" readingOrder="1"/>
    </xf>
    <xf numFmtId="0" fontId="23" fillId="0" borderId="8" xfId="0" applyFont="1" applyBorder="1" applyAlignment="1">
      <alignment vertical="center" wrapText="1"/>
    </xf>
    <xf numFmtId="0" fontId="23" fillId="0" borderId="7" xfId="0" applyFont="1" applyBorder="1" applyAlignment="1">
      <alignment vertical="center" wrapText="1"/>
    </xf>
    <xf numFmtId="0" fontId="23" fillId="0" borderId="19" xfId="0" applyFont="1" applyBorder="1" applyAlignment="1">
      <alignment horizontal="left" vertical="center" wrapText="1"/>
    </xf>
    <xf numFmtId="0" fontId="23" fillId="0" borderId="27" xfId="0" applyFont="1" applyBorder="1" applyAlignment="1">
      <alignment horizontal="left" vertical="center" wrapText="1"/>
    </xf>
    <xf numFmtId="0" fontId="23" fillId="0" borderId="28" xfId="0" applyFont="1" applyBorder="1" applyAlignment="1">
      <alignment horizontal="left" vertical="center" wrapText="1"/>
    </xf>
    <xf numFmtId="0" fontId="23" fillId="0" borderId="29" xfId="0" applyFont="1" applyBorder="1" applyAlignment="1">
      <alignment horizontal="left" vertical="center" wrapText="1"/>
    </xf>
    <xf numFmtId="0" fontId="23" fillId="0" borderId="3" xfId="0" applyFont="1" applyBorder="1" applyAlignment="1">
      <alignment horizontal="left" vertical="center" wrapText="1"/>
    </xf>
    <xf numFmtId="0" fontId="23" fillId="0" borderId="10" xfId="0" applyFont="1" applyBorder="1" applyAlignment="1">
      <alignment vertical="center" wrapText="1"/>
    </xf>
    <xf numFmtId="0" fontId="29" fillId="0" borderId="10" xfId="0" applyFont="1" applyBorder="1" applyAlignment="1">
      <alignment vertical="center" wrapText="1"/>
    </xf>
    <xf numFmtId="0" fontId="23" fillId="6" borderId="1" xfId="0" applyFont="1" applyFill="1" applyBorder="1" applyAlignment="1">
      <alignment vertical="center" wrapText="1"/>
    </xf>
    <xf numFmtId="0" fontId="29" fillId="0" borderId="8" xfId="0" applyFont="1" applyBorder="1" applyAlignment="1">
      <alignment vertical="center" wrapText="1"/>
    </xf>
    <xf numFmtId="0" fontId="70" fillId="0" borderId="1" xfId="0" applyFont="1" applyBorder="1" applyAlignment="1">
      <alignment horizontal="left" vertical="center" wrapText="1"/>
    </xf>
    <xf numFmtId="0" fontId="7"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6" fillId="0" borderId="1" xfId="0" applyFont="1" applyBorder="1" applyAlignment="1">
      <alignment vertical="center" wrapText="1"/>
    </xf>
    <xf numFmtId="0" fontId="6" fillId="0" borderId="10" xfId="0" applyFont="1" applyBorder="1" applyAlignment="1">
      <alignment horizontal="left" vertical="center" wrapText="1"/>
    </xf>
    <xf numFmtId="0" fontId="11" fillId="0" borderId="10" xfId="0" applyFont="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29" fillId="0" borderId="1" xfId="0" applyFont="1" applyBorder="1" applyAlignment="1">
      <alignment horizontal="left" vertical="center" wrapText="1"/>
    </xf>
    <xf numFmtId="0" fontId="59" fillId="0" borderId="1" xfId="0" applyFont="1" applyBorder="1" applyAlignment="1">
      <alignment horizontal="left" vertical="center"/>
    </xf>
    <xf numFmtId="0" fontId="2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9"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70" fillId="0" borderId="1" xfId="0" applyFont="1" applyBorder="1" applyAlignment="1">
      <alignment horizontal="center" vertical="center" wrapText="1"/>
    </xf>
    <xf numFmtId="0" fontId="6" fillId="0" borderId="24" xfId="0" applyFont="1" applyBorder="1"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6" fillId="0" borderId="9" xfId="0" applyFont="1" applyBorder="1" applyAlignment="1">
      <alignment horizontal="left" vertical="center" wrapText="1"/>
    </xf>
    <xf numFmtId="0" fontId="3" fillId="0" borderId="24" xfId="0" applyFont="1" applyBorder="1" applyAlignment="1">
      <alignment vertical="center" wrapText="1"/>
    </xf>
    <xf numFmtId="0" fontId="4"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16" fillId="0" borderId="12" xfId="0" applyFont="1" applyBorder="1" applyAlignment="1">
      <alignment vertical="center" wrapText="1"/>
    </xf>
    <xf numFmtId="0" fontId="16" fillId="0" borderId="13" xfId="0" applyFont="1" applyBorder="1" applyAlignment="1">
      <alignment vertical="center" wrapText="1"/>
    </xf>
    <xf numFmtId="0" fontId="16" fillId="0" borderId="20" xfId="0" applyFont="1" applyBorder="1" applyAlignment="1">
      <alignment vertical="center" wrapText="1"/>
    </xf>
    <xf numFmtId="0" fontId="4" fillId="2" borderId="15" xfId="0" applyFont="1" applyFill="1" applyBorder="1" applyAlignment="1">
      <alignment horizontal="left" vertical="center" wrapText="1"/>
    </xf>
    <xf numFmtId="0" fontId="4" fillId="0" borderId="15" xfId="0" applyFont="1" applyBorder="1" applyAlignment="1">
      <alignment horizontal="left" vertical="center" wrapText="1"/>
    </xf>
    <xf numFmtId="0" fontId="23" fillId="0" borderId="22" xfId="0" applyFont="1" applyBorder="1" applyAlignment="1">
      <alignment vertical="center" wrapText="1"/>
    </xf>
    <xf numFmtId="0" fontId="23" fillId="0" borderId="19" xfId="0" applyFont="1" applyBorder="1" applyAlignment="1">
      <alignment vertical="center" wrapText="1"/>
    </xf>
    <xf numFmtId="0" fontId="4" fillId="0" borderId="24" xfId="0" applyFont="1" applyBorder="1" applyAlignment="1">
      <alignment vertical="center" wrapText="1"/>
    </xf>
    <xf numFmtId="0" fontId="4" fillId="0" borderId="23" xfId="0" applyFont="1" applyBorder="1" applyAlignment="1">
      <alignment vertical="center" wrapText="1"/>
    </xf>
    <xf numFmtId="0" fontId="61" fillId="0" borderId="11" xfId="2" applyFont="1" applyBorder="1" applyAlignment="1">
      <alignment horizontal="left" vertical="center" wrapText="1"/>
    </xf>
    <xf numFmtId="0" fontId="61" fillId="0" borderId="10" xfId="2" applyFont="1" applyBorder="1" applyAlignment="1">
      <alignment horizontal="left" vertical="center" wrapText="1"/>
    </xf>
    <xf numFmtId="0" fontId="16" fillId="0" borderId="11" xfId="2" applyFont="1" applyBorder="1" applyAlignment="1">
      <alignment horizontal="left" vertical="center" wrapText="1"/>
    </xf>
    <xf numFmtId="0" fontId="16" fillId="0" borderId="10" xfId="2" applyFont="1" applyBorder="1" applyAlignment="1">
      <alignment horizontal="left" vertical="center" wrapText="1"/>
    </xf>
    <xf numFmtId="0" fontId="16" fillId="0" borderId="11" xfId="2" applyFont="1" applyBorder="1" applyAlignment="1">
      <alignment vertical="center" wrapText="1"/>
    </xf>
    <xf numFmtId="0" fontId="16" fillId="0" borderId="10" xfId="2" applyFont="1" applyBorder="1" applyAlignment="1">
      <alignment vertical="center" wrapText="1"/>
    </xf>
    <xf numFmtId="0" fontId="29" fillId="0" borderId="24" xfId="0" applyFont="1" applyBorder="1" applyAlignment="1">
      <alignment vertical="center" wrapText="1"/>
    </xf>
    <xf numFmtId="0" fontId="29" fillId="0" borderId="23" xfId="0" applyFont="1" applyBorder="1" applyAlignment="1">
      <alignment vertical="center" wrapText="1"/>
    </xf>
    <xf numFmtId="0" fontId="16" fillId="0" borderId="2" xfId="2" applyFont="1" applyBorder="1" applyAlignment="1">
      <alignment horizontal="left" vertical="center" wrapText="1"/>
    </xf>
    <xf numFmtId="0" fontId="16" fillId="0" borderId="3" xfId="2" applyFont="1" applyBorder="1" applyAlignment="1">
      <alignment horizontal="left" vertical="center" wrapText="1"/>
    </xf>
    <xf numFmtId="0" fontId="16" fillId="0" borderId="4" xfId="2"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6" fillId="0" borderId="5" xfId="2" applyFont="1" applyBorder="1" applyAlignment="1">
      <alignment vertical="center" wrapText="1"/>
    </xf>
    <xf numFmtId="0" fontId="4" fillId="0" borderId="51" xfId="0" applyFont="1" applyBorder="1" applyAlignment="1">
      <alignment horizontal="center" vertical="center" wrapText="1"/>
    </xf>
    <xf numFmtId="0" fontId="4" fillId="0" borderId="0" xfId="0" applyFont="1" applyAlignment="1">
      <alignment horizontal="center" vertical="center" wrapText="1"/>
    </xf>
    <xf numFmtId="0" fontId="4" fillId="0" borderId="17" xfId="0" applyFont="1" applyBorder="1" applyAlignment="1">
      <alignment horizontal="left" vertical="center" wrapText="1"/>
    </xf>
    <xf numFmtId="0" fontId="4" fillId="0" borderId="9" xfId="0" applyFont="1" applyBorder="1" applyAlignment="1">
      <alignment horizontal="left" vertical="center" wrapText="1"/>
    </xf>
    <xf numFmtId="0" fontId="4" fillId="0" borderId="6" xfId="0" applyFont="1" applyBorder="1" applyAlignment="1">
      <alignment horizontal="left" vertical="center" wrapText="1"/>
    </xf>
    <xf numFmtId="0" fontId="4"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6" fillId="0" borderId="15" xfId="0" applyFont="1" applyBorder="1" applyAlignment="1">
      <alignment horizontal="left" vertical="center" wrapText="1"/>
    </xf>
    <xf numFmtId="0" fontId="6" fillId="0" borderId="17" xfId="0" applyFont="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6" fillId="11" borderId="4"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6" fillId="0" borderId="1" xfId="0" applyFont="1" applyBorder="1" applyAlignment="1">
      <alignment horizontal="left" vertical="center" wrapText="1"/>
    </xf>
    <xf numFmtId="0" fontId="12" fillId="11" borderId="1" xfId="0" applyFont="1" applyFill="1" applyBorder="1" applyAlignment="1">
      <alignment vertical="center" wrapText="1"/>
    </xf>
    <xf numFmtId="0" fontId="51" fillId="0" borderId="1" xfId="0" applyFont="1" applyBorder="1" applyAlignment="1">
      <alignment vertical="center" wrapText="1"/>
    </xf>
    <xf numFmtId="0" fontId="12" fillId="0" borderId="3" xfId="0" applyFont="1" applyBorder="1" applyAlignment="1">
      <alignment vertical="center" wrapText="1"/>
    </xf>
    <xf numFmtId="0" fontId="12" fillId="0" borderId="4" xfId="0" applyFont="1" applyBorder="1" applyAlignment="1">
      <alignment vertical="center" wrapText="1"/>
    </xf>
    <xf numFmtId="0" fontId="61" fillId="0" borderId="1" xfId="0" applyFont="1" applyBorder="1" applyAlignment="1">
      <alignment horizontal="left" vertical="center" wrapText="1"/>
    </xf>
    <xf numFmtId="0" fontId="16" fillId="2" borderId="1"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0" fillId="0" borderId="1" xfId="0" applyBorder="1" applyAlignment="1">
      <alignment horizontal="center" vertical="center" wrapText="1"/>
    </xf>
    <xf numFmtId="0" fontId="12" fillId="0" borderId="1" xfId="0" applyFont="1" applyBorder="1" applyAlignment="1">
      <alignment horizontal="left" vertical="center" wrapText="1"/>
    </xf>
    <xf numFmtId="0" fontId="0" fillId="0" borderId="1" xfId="0" applyBorder="1" applyAlignment="1">
      <alignment horizontal="left" vertical="center" wrapText="1"/>
    </xf>
    <xf numFmtId="0" fontId="0" fillId="10" borderId="1" xfId="0" applyFill="1" applyBorder="1" applyAlignment="1">
      <alignment horizontal="left" vertical="center" wrapText="1"/>
    </xf>
    <xf numFmtId="0" fontId="12" fillId="10" borderId="1" xfId="0" applyFont="1" applyFill="1"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15" borderId="1" xfId="0" applyFill="1" applyBorder="1" applyAlignment="1">
      <alignment horizontal="left" vertical="center" wrapText="1"/>
    </xf>
    <xf numFmtId="0" fontId="12" fillId="15" borderId="2" xfId="0" applyFont="1" applyFill="1" applyBorder="1" applyAlignment="1">
      <alignment horizontal="left" vertical="center" wrapText="1"/>
    </xf>
    <xf numFmtId="0" fontId="12" fillId="15" borderId="3" xfId="0" applyFont="1" applyFill="1" applyBorder="1" applyAlignment="1">
      <alignment horizontal="left" vertical="center" wrapText="1"/>
    </xf>
    <xf numFmtId="0" fontId="12" fillId="15" borderId="4"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0" fillId="0" borderId="2" xfId="0" applyBorder="1" applyAlignment="1">
      <alignment horizontal="center" vertical="center" wrapText="1"/>
    </xf>
    <xf numFmtId="0" fontId="51" fillId="0" borderId="1" xfId="0" applyFont="1" applyBorder="1" applyAlignment="1">
      <alignment horizontal="left" vertical="center" wrapText="1"/>
    </xf>
    <xf numFmtId="0" fontId="51" fillId="0" borderId="1" xfId="0"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0" fillId="0" borderId="2" xfId="0"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1"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1" xfId="0" applyFont="1" applyBorder="1" applyAlignment="1">
      <alignment horizontal="center" vertical="center" wrapText="1"/>
    </xf>
    <xf numFmtId="0" fontId="9" fillId="0" borderId="60"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0" xfId="0" applyFont="1" applyBorder="1" applyAlignment="1">
      <alignment horizontal="center" vertical="center" wrapText="1"/>
    </xf>
    <xf numFmtId="0" fontId="7" fillId="0" borderId="0" xfId="0" applyFont="1" applyAlignment="1">
      <alignment horizontal="center" vertical="center" wrapText="1"/>
    </xf>
    <xf numFmtId="0" fontId="16" fillId="0" borderId="1" xfId="0" applyFont="1" applyBorder="1" applyAlignment="1">
      <alignment vertical="center" wrapText="1"/>
    </xf>
    <xf numFmtId="0" fontId="19" fillId="0" borderId="1" xfId="0" applyFont="1" applyBorder="1" applyAlignment="1">
      <alignment vertical="center" wrapText="1"/>
    </xf>
    <xf numFmtId="0" fontId="19"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9" fillId="2" borderId="2" xfId="0" applyFont="1" applyFill="1" applyBorder="1" applyAlignment="1">
      <alignment horizontal="center" vertical="center" wrapText="1"/>
    </xf>
    <xf numFmtId="0" fontId="29" fillId="2" borderId="3" xfId="0" applyFont="1" applyFill="1" applyBorder="1" applyAlignment="1">
      <alignment horizontal="center" vertical="center" wrapText="1"/>
    </xf>
    <xf numFmtId="0" fontId="29" fillId="2" borderId="4" xfId="0" applyFont="1" applyFill="1" applyBorder="1" applyAlignment="1">
      <alignment horizontal="center" vertical="center" wrapText="1"/>
    </xf>
    <xf numFmtId="0" fontId="66" fillId="0" borderId="1" xfId="0" applyFont="1" applyBorder="1" applyAlignment="1">
      <alignment horizontal="left" vertical="center" wrapText="1"/>
    </xf>
    <xf numFmtId="0" fontId="1" fillId="0" borderId="15" xfId="0" applyFont="1" applyBorder="1" applyAlignment="1">
      <alignment horizontal="left" vertical="center" wrapText="1"/>
    </xf>
    <xf numFmtId="0" fontId="29" fillId="0" borderId="15" xfId="0" applyFont="1" applyBorder="1" applyAlignment="1">
      <alignment horizontal="left" vertical="center" wrapText="1"/>
    </xf>
    <xf numFmtId="0" fontId="66" fillId="0" borderId="15" xfId="0" applyFont="1" applyBorder="1" applyAlignment="1">
      <alignment horizontal="left" vertical="center" wrapText="1"/>
    </xf>
    <xf numFmtId="0" fontId="1" fillId="14" borderId="1"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66" fillId="12" borderId="1" xfId="0" applyFont="1" applyFill="1" applyBorder="1" applyAlignment="1">
      <alignment horizontal="left" vertical="center" wrapText="1"/>
    </xf>
    <xf numFmtId="0" fontId="29" fillId="12" borderId="1" xfId="0" applyFont="1" applyFill="1" applyBorder="1" applyAlignment="1">
      <alignment horizontal="left" vertical="center" wrapText="1"/>
    </xf>
    <xf numFmtId="0" fontId="1" fillId="12" borderId="15" xfId="0" applyFont="1" applyFill="1" applyBorder="1" applyAlignment="1">
      <alignment horizontal="left" vertical="center" wrapText="1"/>
    </xf>
    <xf numFmtId="0" fontId="29" fillId="12" borderId="15" xfId="0" applyFont="1" applyFill="1" applyBorder="1" applyAlignment="1">
      <alignment horizontal="left" vertical="center" wrapText="1"/>
    </xf>
    <xf numFmtId="0" fontId="66" fillId="13" borderId="1" xfId="0" applyFont="1" applyFill="1" applyBorder="1" applyAlignment="1">
      <alignment horizontal="left" vertical="center" wrapText="1"/>
    </xf>
    <xf numFmtId="0" fontId="1" fillId="13" borderId="1" xfId="0" applyFont="1" applyFill="1" applyBorder="1" applyAlignment="1">
      <alignment horizontal="left" vertical="center" wrapText="1"/>
    </xf>
    <xf numFmtId="0" fontId="1" fillId="13" borderId="24" xfId="0" applyFont="1" applyFill="1" applyBorder="1" applyAlignment="1">
      <alignment vertical="center" wrapText="1"/>
    </xf>
    <xf numFmtId="0" fontId="1" fillId="13" borderId="23" xfId="0" applyFont="1" applyFill="1" applyBorder="1" applyAlignment="1">
      <alignment vertical="center" wrapText="1"/>
    </xf>
    <xf numFmtId="0" fontId="66" fillId="13" borderId="24" xfId="0" applyFont="1" applyFill="1" applyBorder="1" applyAlignment="1">
      <alignment vertical="center" wrapText="1"/>
    </xf>
    <xf numFmtId="0" fontId="66" fillId="13" borderId="23" xfId="0" applyFont="1" applyFill="1" applyBorder="1" applyAlignment="1">
      <alignment vertical="center" wrapText="1"/>
    </xf>
    <xf numFmtId="0" fontId="1" fillId="0" borderId="24" xfId="0" applyFont="1" applyBorder="1" applyAlignment="1">
      <alignment vertical="center" wrapText="1"/>
    </xf>
    <xf numFmtId="0" fontId="1" fillId="0" borderId="23" xfId="0" applyFont="1" applyBorder="1" applyAlignment="1">
      <alignmen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66" fillId="13" borderId="2" xfId="0" applyFont="1" applyFill="1" applyBorder="1" applyAlignment="1">
      <alignment horizontal="left" vertical="center" wrapText="1"/>
    </xf>
    <xf numFmtId="0" fontId="66" fillId="13" borderId="3" xfId="0" applyFont="1" applyFill="1" applyBorder="1" applyAlignment="1">
      <alignment horizontal="left" vertical="center" wrapText="1"/>
    </xf>
    <xf numFmtId="0" fontId="66" fillId="13" borderId="4" xfId="0" applyFont="1" applyFill="1" applyBorder="1" applyAlignment="1">
      <alignment horizontal="left" vertical="center" wrapText="1"/>
    </xf>
    <xf numFmtId="0" fontId="66" fillId="14" borderId="2" xfId="0" applyFont="1" applyFill="1" applyBorder="1" applyAlignment="1">
      <alignment horizontal="left" vertical="center" wrapText="1"/>
    </xf>
    <xf numFmtId="0" fontId="66" fillId="14" borderId="3" xfId="0" applyFont="1" applyFill="1" applyBorder="1" applyAlignment="1">
      <alignment horizontal="left" vertical="center" wrapText="1"/>
    </xf>
    <xf numFmtId="0" fontId="66" fillId="14" borderId="4" xfId="0" applyFont="1" applyFill="1" applyBorder="1" applyAlignment="1">
      <alignment horizontal="left" vertical="center" wrapText="1"/>
    </xf>
    <xf numFmtId="0" fontId="66" fillId="0" borderId="24" xfId="0" applyFont="1" applyBorder="1" applyAlignment="1">
      <alignment vertical="center" wrapText="1"/>
    </xf>
    <xf numFmtId="0" fontId="66" fillId="0" borderId="23" xfId="0" applyFont="1" applyBorder="1" applyAlignment="1">
      <alignment vertical="center" wrapText="1"/>
    </xf>
    <xf numFmtId="0" fontId="1" fillId="5" borderId="1" xfId="0" applyFont="1" applyFill="1" applyBorder="1" applyAlignment="1">
      <alignment horizontal="left" vertical="center" wrapText="1"/>
    </xf>
    <xf numFmtId="0" fontId="1" fillId="0" borderId="17" xfId="0" applyFont="1" applyBorder="1" applyAlignment="1">
      <alignment horizontal="left" vertical="center" wrapText="1"/>
    </xf>
    <xf numFmtId="0" fontId="66" fillId="0" borderId="17" xfId="0" applyFont="1" applyBorder="1" applyAlignment="1">
      <alignment horizontal="left" vertical="center" wrapText="1"/>
    </xf>
    <xf numFmtId="0" fontId="1" fillId="0" borderId="9" xfId="0" applyFont="1" applyBorder="1" applyAlignment="1">
      <alignment horizontal="left" vertical="center" wrapText="1"/>
    </xf>
    <xf numFmtId="0" fontId="1" fillId="0" borderId="6" xfId="0" applyFont="1" applyBorder="1" applyAlignment="1">
      <alignment horizontal="left" vertical="center" wrapText="1"/>
    </xf>
    <xf numFmtId="0" fontId="29" fillId="13" borderId="1" xfId="0" applyFont="1" applyFill="1" applyBorder="1" applyAlignment="1">
      <alignment horizontal="left" vertical="center" wrapText="1"/>
    </xf>
    <xf numFmtId="0" fontId="29" fillId="0" borderId="9" xfId="0" applyFont="1" applyBorder="1" applyAlignment="1">
      <alignment horizontal="left" vertical="center" wrapText="1"/>
    </xf>
    <xf numFmtId="0" fontId="29" fillId="0" borderId="6" xfId="0" applyFont="1" applyBorder="1" applyAlignment="1">
      <alignment horizontal="left" vertical="center" wrapText="1"/>
    </xf>
    <xf numFmtId="0" fontId="7" fillId="0" borderId="1" xfId="0" applyFont="1" applyBorder="1" applyAlignment="1">
      <alignment horizontal="center" vertical="center" wrapText="1"/>
    </xf>
    <xf numFmtId="0" fontId="16" fillId="0" borderId="30" xfId="0" applyFont="1" applyBorder="1" applyAlignment="1">
      <alignment horizontal="left" vertical="center" wrapText="1"/>
    </xf>
    <xf numFmtId="0" fontId="16" fillId="0" borderId="56" xfId="0" applyFont="1" applyBorder="1" applyAlignment="1">
      <alignment vertical="center" wrapText="1"/>
    </xf>
    <xf numFmtId="0" fontId="16" fillId="0" borderId="57" xfId="0" applyFont="1" applyBorder="1" applyAlignment="1">
      <alignment vertical="center" wrapText="1"/>
    </xf>
    <xf numFmtId="0" fontId="16" fillId="0" borderId="58" xfId="0" applyFont="1" applyBorder="1" applyAlignment="1">
      <alignment vertical="center" wrapText="1"/>
    </xf>
    <xf numFmtId="0" fontId="16" fillId="0" borderId="31" xfId="0" applyFont="1" applyBorder="1" applyAlignment="1">
      <alignment horizontal="left" vertical="center" wrapText="1"/>
    </xf>
    <xf numFmtId="0" fontId="16" fillId="0" borderId="32" xfId="0" applyFont="1" applyBorder="1" applyAlignment="1">
      <alignment horizontal="left" vertical="center" wrapText="1"/>
    </xf>
    <xf numFmtId="0" fontId="16" fillId="0" borderId="33" xfId="0" applyFont="1" applyBorder="1" applyAlignment="1">
      <alignment horizontal="left" vertical="center" wrapText="1"/>
    </xf>
    <xf numFmtId="0" fontId="16" fillId="0" borderId="30" xfId="0" applyFont="1" applyBorder="1" applyAlignment="1">
      <alignment vertical="center" wrapText="1"/>
    </xf>
    <xf numFmtId="0" fontId="16" fillId="0" borderId="55" xfId="0" applyFont="1" applyBorder="1" applyAlignment="1">
      <alignment horizontal="left" vertical="center" wrapText="1"/>
    </xf>
    <xf numFmtId="0" fontId="7" fillId="0" borderId="52" xfId="0" applyFont="1" applyBorder="1" applyAlignment="1">
      <alignment vertical="center" wrapText="1"/>
    </xf>
    <xf numFmtId="0" fontId="7"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6" fillId="0" borderId="31" xfId="0" applyFont="1" applyBorder="1" applyAlignment="1">
      <alignment vertical="center" wrapText="1"/>
    </xf>
    <xf numFmtId="0" fontId="16" fillId="0" borderId="32" xfId="0" applyFont="1" applyBorder="1" applyAlignment="1">
      <alignment vertical="center" wrapText="1"/>
    </xf>
    <xf numFmtId="0" fontId="16" fillId="0" borderId="33" xfId="0" applyFont="1" applyBorder="1" applyAlignment="1">
      <alignment vertical="center" wrapText="1"/>
    </xf>
    <xf numFmtId="0" fontId="7" fillId="0" borderId="21" xfId="0" applyFont="1" applyBorder="1" applyAlignment="1">
      <alignment horizontal="left" vertical="center" wrapText="1"/>
    </xf>
    <xf numFmtId="0" fontId="11" fillId="0" borderId="21" xfId="0" applyFont="1" applyBorder="1" applyAlignment="1">
      <alignment horizontal="left" vertical="center" wrapText="1"/>
    </xf>
    <xf numFmtId="0" fontId="16" fillId="0" borderId="53" xfId="0" applyFont="1" applyBorder="1" applyAlignment="1">
      <alignment vertical="center" wrapText="1"/>
    </xf>
    <xf numFmtId="0" fontId="16" fillId="0" borderId="3" xfId="0" applyFont="1" applyBorder="1" applyAlignment="1">
      <alignment vertical="center" wrapText="1"/>
    </xf>
    <xf numFmtId="0" fontId="16" fillId="0" borderId="54" xfId="0" applyFont="1" applyBorder="1" applyAlignment="1">
      <alignment vertical="center" wrapText="1"/>
    </xf>
    <xf numFmtId="0" fontId="7" fillId="0" borderId="51" xfId="0" applyFont="1" applyBorder="1" applyAlignment="1">
      <alignment horizontal="lef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16" xfId="0" applyFont="1" applyBorder="1" applyAlignment="1">
      <alignment horizontal="left" vertical="center" wrapText="1"/>
    </xf>
    <xf numFmtId="0" fontId="11" fillId="0" borderId="16" xfId="0" applyFont="1" applyBorder="1" applyAlignment="1">
      <alignment horizontal="left" vertical="center" wrapText="1"/>
    </xf>
    <xf numFmtId="0" fontId="23" fillId="0" borderId="24" xfId="0" applyFont="1" applyBorder="1" applyAlignment="1">
      <alignment vertical="center" wrapText="1"/>
    </xf>
    <xf numFmtId="0" fontId="23" fillId="0" borderId="23" xfId="0" applyFont="1" applyBorder="1" applyAlignment="1">
      <alignment vertical="center" wrapText="1"/>
    </xf>
    <xf numFmtId="0" fontId="29" fillId="0" borderId="18" xfId="0" applyFont="1" applyBorder="1" applyAlignment="1">
      <alignment horizontal="left" vertical="center" wrapText="1"/>
    </xf>
    <xf numFmtId="0" fontId="9" fillId="0" borderId="1" xfId="0" applyFont="1" applyBorder="1" applyAlignment="1">
      <alignment vertical="center" wrapText="1"/>
    </xf>
    <xf numFmtId="0" fontId="62" fillId="6" borderId="1" xfId="0" applyFont="1" applyFill="1" applyBorder="1" applyAlignment="1">
      <alignment vertical="center" wrapText="1"/>
    </xf>
    <xf numFmtId="0" fontId="62" fillId="6" borderId="1" xfId="0" applyFont="1" applyFill="1" applyBorder="1" applyAlignment="1">
      <alignment horizontal="left" vertical="center" wrapText="1"/>
    </xf>
    <xf numFmtId="0" fontId="8" fillId="0" borderId="1" xfId="0" applyFont="1" applyBorder="1" applyAlignment="1">
      <alignment vertical="center" wrapText="1"/>
    </xf>
    <xf numFmtId="0" fontId="10"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61" fillId="2" borderId="2" xfId="0" applyFont="1" applyFill="1" applyBorder="1" applyAlignment="1">
      <alignment vertical="center" wrapText="1"/>
    </xf>
    <xf numFmtId="0" fontId="61" fillId="2" borderId="3" xfId="0" applyFont="1" applyFill="1" applyBorder="1" applyAlignment="1">
      <alignment vertical="center" wrapText="1"/>
    </xf>
    <xf numFmtId="0" fontId="61" fillId="2" borderId="4" xfId="0" applyFont="1" applyFill="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29" fillId="0" borderId="1" xfId="0" applyFont="1" applyBorder="1" applyAlignment="1">
      <alignmen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0" borderId="18" xfId="0" applyFont="1" applyBorder="1" applyAlignment="1">
      <alignment horizontal="center" vertical="center" wrapText="1"/>
    </xf>
    <xf numFmtId="0" fontId="10" fillId="2" borderId="15"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7"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16" fillId="2" borderId="1" xfId="0" applyFont="1" applyFill="1" applyBorder="1" applyAlignment="1">
      <alignment vertical="center" wrapText="1"/>
    </xf>
    <xf numFmtId="0" fontId="61" fillId="2" borderId="1" xfId="0" applyFont="1" applyFill="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9" fillId="2" borderId="1" xfId="0" applyFont="1" applyFill="1" applyBorder="1" applyAlignment="1">
      <alignment vertical="center" wrapText="1"/>
    </xf>
    <xf numFmtId="0" fontId="11" fillId="2" borderId="1" xfId="0" applyFont="1" applyFill="1" applyBorder="1" applyAlignment="1">
      <alignment vertical="center" wrapText="1"/>
    </xf>
    <xf numFmtId="0" fontId="7" fillId="2" borderId="24" xfId="0" applyFont="1" applyFill="1" applyBorder="1" applyAlignment="1">
      <alignment vertical="center" wrapText="1"/>
    </xf>
    <xf numFmtId="0" fontId="7" fillId="2" borderId="23" xfId="0" applyFont="1" applyFill="1" applyBorder="1" applyAlignment="1">
      <alignment vertical="center" wrapText="1"/>
    </xf>
    <xf numFmtId="0" fontId="10" fillId="2" borderId="23" xfId="0" applyFont="1" applyFill="1" applyBorder="1" applyAlignment="1">
      <alignment vertical="center" wrapText="1"/>
    </xf>
    <xf numFmtId="0" fontId="11" fillId="2" borderId="23" xfId="0" applyFont="1" applyFill="1" applyBorder="1" applyAlignment="1">
      <alignment vertical="center" wrapText="1"/>
    </xf>
    <xf numFmtId="0" fontId="29" fillId="2" borderId="1" xfId="0" applyFont="1" applyFill="1" applyBorder="1" applyAlignment="1">
      <alignment horizontal="left" vertical="center" wrapText="1"/>
    </xf>
    <xf numFmtId="0" fontId="16" fillId="0" borderId="2" xfId="0" applyFont="1" applyBorder="1" applyAlignment="1">
      <alignment vertical="center" wrapText="1"/>
    </xf>
    <xf numFmtId="0" fontId="16" fillId="0" borderId="4" xfId="0" applyFont="1" applyBorder="1" applyAlignment="1">
      <alignment vertical="center" wrapText="1"/>
    </xf>
    <xf numFmtId="0" fontId="3" fillId="0" borderId="15" xfId="0" applyFont="1" applyBorder="1" applyAlignment="1">
      <alignment horizontal="left" vertical="center" wrapText="1"/>
    </xf>
    <xf numFmtId="0" fontId="61" fillId="0" borderId="1" xfId="0" applyFont="1" applyBorder="1" applyAlignment="1">
      <alignment vertical="center" wrapText="1"/>
    </xf>
    <xf numFmtId="0" fontId="2" fillId="0" borderId="1" xfId="0" applyFont="1" applyBorder="1" applyAlignment="1">
      <alignment horizontal="left" vertical="center" wrapText="1"/>
    </xf>
    <xf numFmtId="0" fontId="2" fillId="0" borderId="15" xfId="0" applyFont="1" applyBorder="1" applyAlignment="1">
      <alignment horizontal="left" vertical="center" wrapText="1"/>
    </xf>
    <xf numFmtId="0" fontId="2" fillId="0" borderId="17"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4"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1" xfId="0" applyFont="1" applyBorder="1" applyAlignment="1">
      <alignment horizontal="left" vertical="center" wrapText="1"/>
    </xf>
    <xf numFmtId="0" fontId="5" fillId="0" borderId="24" xfId="0" applyFont="1" applyBorder="1" applyAlignment="1">
      <alignment vertical="center" wrapText="1"/>
    </xf>
    <xf numFmtId="0" fontId="5" fillId="0" borderId="17" xfId="0" applyFont="1" applyBorder="1" applyAlignment="1">
      <alignment horizontal="left" vertical="center" wrapText="1"/>
    </xf>
    <xf numFmtId="0" fontId="5" fillId="0" borderId="15" xfId="0" applyFont="1" applyBorder="1" applyAlignment="1">
      <alignment horizontal="left" vertical="center" wrapText="1"/>
    </xf>
    <xf numFmtId="0" fontId="5" fillId="0" borderId="9" xfId="0" applyFont="1" applyBorder="1" applyAlignment="1">
      <alignment horizontal="left" vertical="center" wrapText="1"/>
    </xf>
  </cellXfs>
  <cellStyles count="4">
    <cellStyle name="Hyperlink" xfId="1" builtinId="8"/>
    <cellStyle name="Normal" xfId="0" builtinId="0"/>
    <cellStyle name="Normal 2" xfId="2" xr:uid="{2726F20B-F3CF-E344-B42F-CCF1B4617CCD}"/>
    <cellStyle name="Percent" xfId="3" builtinId="5"/>
  </cellStyles>
  <dxfs count="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xml.rels><?xml version="1.0" encoding="UTF-8" standalone="yes"?>
<Relationships xmlns="http://schemas.openxmlformats.org/package/2006/relationships"><Relationship Id="rId3" Type="http://schemas.openxmlformats.org/officeDocument/2006/relationships/hyperlink" Target="#Inventory!A1"/><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Inventory!A1"/><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1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2.xml.rels><?xml version="1.0" encoding="UTF-8" standalone="yes"?>
<Relationships xmlns="http://schemas.openxmlformats.org/package/2006/relationships"><Relationship Id="rId3" Type="http://schemas.openxmlformats.org/officeDocument/2006/relationships/hyperlink" Target="#Inventory!A1"/><Relationship Id="rId2" Type="http://schemas.openxmlformats.org/officeDocument/2006/relationships/image" Target="../media/image2.sv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2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_rels/drawing3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Inventory!A1"/></Relationships>
</file>

<file path=xl/drawings/drawing1.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850900</xdr:colOff>
      <xdr:row>1</xdr:row>
      <xdr:rowOff>27071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11757595-7896-484E-AA10-9AB1D24BD6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68300" cy="2810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557143</xdr:colOff>
      <xdr:row>0</xdr:row>
      <xdr:rowOff>0</xdr:rowOff>
    </xdr:from>
    <xdr:to>
      <xdr:col>0</xdr:col>
      <xdr:colOff>836543</xdr:colOff>
      <xdr:row>1</xdr:row>
      <xdr:rowOff>24235</xdr:rowOff>
    </xdr:to>
    <xdr:pic>
      <xdr:nvPicPr>
        <xdr:cNvPr id="3" name="Graphic 2" descr="Work from home Wi-Fi with solid fill">
          <a:hlinkClick xmlns:r="http://schemas.openxmlformats.org/officeDocument/2006/relationships" r:id=""/>
          <a:extLst>
            <a:ext uri="{FF2B5EF4-FFF2-40B4-BE49-F238E27FC236}">
              <a16:creationId xmlns:a16="http://schemas.microsoft.com/office/drawing/2014/main" id="{3481FE9D-747C-3880-5C8B-B53F7A2E32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7143" y="0"/>
          <a:ext cx="279400" cy="279400"/>
        </a:xfrm>
        <a:prstGeom prst="rect">
          <a:avLst/>
        </a:prstGeom>
      </xdr:spPr>
    </xdr:pic>
    <xdr:clientData/>
  </xdr:twoCellAnchor>
  <xdr:twoCellAnchor editAs="oneCell">
    <xdr:from>
      <xdr:col>0</xdr:col>
      <xdr:colOff>557143</xdr:colOff>
      <xdr:row>0</xdr:row>
      <xdr:rowOff>0</xdr:rowOff>
    </xdr:from>
    <xdr:to>
      <xdr:col>0</xdr:col>
      <xdr:colOff>836543</xdr:colOff>
      <xdr:row>1</xdr:row>
      <xdr:rowOff>17885</xdr:rowOff>
    </xdr:to>
    <xdr:pic>
      <xdr:nvPicPr>
        <xdr:cNvPr id="2" name="Graphic 1" descr="Work from home Wi-Fi with solid fill">
          <a:hlinkClick xmlns:r="http://schemas.openxmlformats.org/officeDocument/2006/relationships" r:id="rId3"/>
          <a:extLst>
            <a:ext uri="{FF2B5EF4-FFF2-40B4-BE49-F238E27FC236}">
              <a16:creationId xmlns:a16="http://schemas.microsoft.com/office/drawing/2014/main" id="{79B84BBC-AB45-4DB1-A642-BBD89483B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7143" y="0"/>
          <a:ext cx="279400" cy="276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584200</xdr:colOff>
      <xdr:row>0</xdr:row>
      <xdr:rowOff>0</xdr:rowOff>
    </xdr:from>
    <xdr:to>
      <xdr:col>0</xdr:col>
      <xdr:colOff>863600</xdr:colOff>
      <xdr:row>1</xdr:row>
      <xdr:rowOff>28697</xdr:rowOff>
    </xdr:to>
    <xdr:pic>
      <xdr:nvPicPr>
        <xdr:cNvPr id="2" name="Graphic 1" descr="Work from home Wi-Fi with solid fill">
          <a:hlinkClick xmlns:r="http://schemas.openxmlformats.org/officeDocument/2006/relationships" r:id=""/>
          <a:extLst>
            <a:ext uri="{FF2B5EF4-FFF2-40B4-BE49-F238E27FC236}">
              <a16:creationId xmlns:a16="http://schemas.microsoft.com/office/drawing/2014/main" id="{4FA199E2-A995-5746-9832-CBEB15305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0"/>
          <a:ext cx="279400" cy="279400"/>
        </a:xfrm>
        <a:prstGeom prst="rect">
          <a:avLst/>
        </a:prstGeom>
      </xdr:spPr>
    </xdr:pic>
    <xdr:clientData/>
  </xdr:twoCellAnchor>
  <xdr:twoCellAnchor editAs="oneCell">
    <xdr:from>
      <xdr:col>0</xdr:col>
      <xdr:colOff>584200</xdr:colOff>
      <xdr:row>0</xdr:row>
      <xdr:rowOff>0</xdr:rowOff>
    </xdr:from>
    <xdr:to>
      <xdr:col>0</xdr:col>
      <xdr:colOff>863600</xdr:colOff>
      <xdr:row>1</xdr:row>
      <xdr:rowOff>12822</xdr:rowOff>
    </xdr:to>
    <xdr:pic>
      <xdr:nvPicPr>
        <xdr:cNvPr id="3" name="Graphic 2" descr="Work from home Wi-Fi with solid fill">
          <a:hlinkClick xmlns:r="http://schemas.openxmlformats.org/officeDocument/2006/relationships" r:id=""/>
          <a:extLst>
            <a:ext uri="{FF2B5EF4-FFF2-40B4-BE49-F238E27FC236}">
              <a16:creationId xmlns:a16="http://schemas.microsoft.com/office/drawing/2014/main" id="{4F15BA42-E23B-415F-809F-265F019F1B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0"/>
          <a:ext cx="279400" cy="254000"/>
        </a:xfrm>
        <a:prstGeom prst="rect">
          <a:avLst/>
        </a:prstGeom>
      </xdr:spPr>
    </xdr:pic>
    <xdr:clientData/>
  </xdr:twoCellAnchor>
  <xdr:twoCellAnchor editAs="oneCell">
    <xdr:from>
      <xdr:col>0</xdr:col>
      <xdr:colOff>584200</xdr:colOff>
      <xdr:row>0</xdr:row>
      <xdr:rowOff>0</xdr:rowOff>
    </xdr:from>
    <xdr:to>
      <xdr:col>0</xdr:col>
      <xdr:colOff>863600</xdr:colOff>
      <xdr:row>1</xdr:row>
      <xdr:rowOff>28697</xdr:rowOff>
    </xdr:to>
    <xdr:pic>
      <xdr:nvPicPr>
        <xdr:cNvPr id="4" name="Graphic 3" descr="Work from home Wi-Fi with solid fill">
          <a:hlinkClick xmlns:r="http://schemas.openxmlformats.org/officeDocument/2006/relationships" r:id=""/>
          <a:extLst>
            <a:ext uri="{FF2B5EF4-FFF2-40B4-BE49-F238E27FC236}">
              <a16:creationId xmlns:a16="http://schemas.microsoft.com/office/drawing/2014/main" id="{8F297937-388D-4710-90A7-376D4C653B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0"/>
          <a:ext cx="279400" cy="271462"/>
        </a:xfrm>
        <a:prstGeom prst="rect">
          <a:avLst/>
        </a:prstGeom>
      </xdr:spPr>
    </xdr:pic>
    <xdr:clientData/>
  </xdr:twoCellAnchor>
  <xdr:twoCellAnchor editAs="oneCell">
    <xdr:from>
      <xdr:col>0</xdr:col>
      <xdr:colOff>584200</xdr:colOff>
      <xdr:row>0</xdr:row>
      <xdr:rowOff>0</xdr:rowOff>
    </xdr:from>
    <xdr:to>
      <xdr:col>0</xdr:col>
      <xdr:colOff>863600</xdr:colOff>
      <xdr:row>1</xdr:row>
      <xdr:rowOff>12822</xdr:rowOff>
    </xdr:to>
    <xdr:pic>
      <xdr:nvPicPr>
        <xdr:cNvPr id="5" name="Graphic 4" descr="Work from home Wi-Fi with solid fill">
          <a:hlinkClick xmlns:r="http://schemas.openxmlformats.org/officeDocument/2006/relationships" r:id="rId3"/>
          <a:extLst>
            <a:ext uri="{FF2B5EF4-FFF2-40B4-BE49-F238E27FC236}">
              <a16:creationId xmlns:a16="http://schemas.microsoft.com/office/drawing/2014/main" id="{B4347FA5-0D17-4D71-A6CC-37F96249B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0"/>
          <a:ext cx="279400" cy="255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850900</xdr:colOff>
      <xdr:row>0</xdr:row>
      <xdr:rowOff>281071</xdr:rowOff>
    </xdr:to>
    <xdr:pic>
      <xdr:nvPicPr>
        <xdr:cNvPr id="7" name="Graphic 6" descr="Work from home Wi-Fi with solid fill">
          <a:hlinkClick xmlns:r="http://schemas.openxmlformats.org/officeDocument/2006/relationships" r:id="rId1"/>
          <a:extLst>
            <a:ext uri="{FF2B5EF4-FFF2-40B4-BE49-F238E27FC236}">
              <a16:creationId xmlns:a16="http://schemas.microsoft.com/office/drawing/2014/main" id="{EF7D2EF3-476D-4E45-AD80-8EA2E343CA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68300" cy="2810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876300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C77F0ADF-0AC8-7F46-8D78-86CA478A8F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93700" cy="3699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850900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57F29415-BD9F-2F4A-AA8B-9D161256ED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68300" cy="3699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863600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44EEB632-921F-B742-BBAB-091E40D149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1000" cy="3699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609600</xdr:colOff>
      <xdr:row>0</xdr:row>
      <xdr:rowOff>0</xdr:rowOff>
    </xdr:from>
    <xdr:to>
      <xdr:col>0</xdr:col>
      <xdr:colOff>889000</xdr:colOff>
      <xdr:row>0</xdr:row>
      <xdr:rowOff>279400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9882AC2E-A4FA-9F4F-8639-39CE2DDA95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09600" y="0"/>
          <a:ext cx="279400" cy="279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889000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AC26350B-4BAC-C84D-B470-590AF77351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406400" cy="3699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38100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E1EA7D4B-2C7D-B74C-B8C2-0D3B7FCC47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19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50800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991A20FC-4BEB-3046-A536-D33BFB0482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317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63500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559C3AAD-C801-6D46-8C20-F5E72BB099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571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76200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F298F6A9-D766-3145-9533-E5C22214DA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5719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50800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98BBF5ED-4F60-644C-85EA-7C1D3F3B3A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317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38100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045CC78B-2FD2-F24E-9FA3-9A5020D409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1909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25400</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F77764E8-A769-3B4C-8DB0-E1E2F88759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063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419100</xdr:colOff>
      <xdr:row>0</xdr:row>
      <xdr:rowOff>1</xdr:rowOff>
    </xdr:from>
    <xdr:to>
      <xdr:col>0</xdr:col>
      <xdr:colOff>736600</xdr:colOff>
      <xdr:row>1</xdr:row>
      <xdr:rowOff>41027</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8C474533-DE5D-0B4D-BB49-184B201B4D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1"/>
          <a:ext cx="317500" cy="42202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419100</xdr:colOff>
      <xdr:row>0</xdr:row>
      <xdr:rowOff>0</xdr:rowOff>
    </xdr:from>
    <xdr:to>
      <xdr:col>0</xdr:col>
      <xdr:colOff>838200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B3D6BCAD-361F-3548-8FDE-B306B3E188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19100" y="0"/>
          <a:ext cx="419100" cy="36997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825500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8774B70B-63D5-E94F-AA35-84B8C70E91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42900" cy="36997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393700</xdr:colOff>
      <xdr:row>0</xdr:row>
      <xdr:rowOff>0</xdr:rowOff>
    </xdr:from>
    <xdr:to>
      <xdr:col>0</xdr:col>
      <xdr:colOff>774700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B300C3B2-5FF7-1943-A175-649DB077D8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3700" y="0"/>
          <a:ext cx="381000" cy="36997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508000</xdr:colOff>
      <xdr:row>0</xdr:row>
      <xdr:rowOff>0</xdr:rowOff>
    </xdr:from>
    <xdr:to>
      <xdr:col>0</xdr:col>
      <xdr:colOff>812800</xdr:colOff>
      <xdr:row>1</xdr:row>
      <xdr:rowOff>126447</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697DE6C6-FB96-F64D-B979-2CE2BDC2CA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08000" y="0"/>
          <a:ext cx="304800" cy="304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558800</xdr:colOff>
      <xdr:row>0</xdr:row>
      <xdr:rowOff>0</xdr:rowOff>
    </xdr:from>
    <xdr:to>
      <xdr:col>0</xdr:col>
      <xdr:colOff>838200</xdr:colOff>
      <xdr:row>1</xdr:row>
      <xdr:rowOff>31750</xdr:rowOff>
    </xdr:to>
    <xdr:pic>
      <xdr:nvPicPr>
        <xdr:cNvPr id="2" name="Graphic 1" descr="Work from home Wi-Fi with solid fill">
          <a:hlinkClick xmlns:r="http://schemas.openxmlformats.org/officeDocument/2006/relationships" r:id=""/>
          <a:extLst>
            <a:ext uri="{FF2B5EF4-FFF2-40B4-BE49-F238E27FC236}">
              <a16:creationId xmlns:a16="http://schemas.microsoft.com/office/drawing/2014/main" id="{23ACC6A0-1346-764F-AAA8-85857E4964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8800" y="0"/>
          <a:ext cx="279400" cy="279400"/>
        </a:xfrm>
        <a:prstGeom prst="rect">
          <a:avLst/>
        </a:prstGeom>
      </xdr:spPr>
    </xdr:pic>
    <xdr:clientData/>
  </xdr:twoCellAnchor>
  <xdr:twoCellAnchor editAs="oneCell">
    <xdr:from>
      <xdr:col>0</xdr:col>
      <xdr:colOff>558800</xdr:colOff>
      <xdr:row>0</xdr:row>
      <xdr:rowOff>0</xdr:rowOff>
    </xdr:from>
    <xdr:to>
      <xdr:col>0</xdr:col>
      <xdr:colOff>838200</xdr:colOff>
      <xdr:row>1</xdr:row>
      <xdr:rowOff>31750</xdr:rowOff>
    </xdr:to>
    <xdr:pic>
      <xdr:nvPicPr>
        <xdr:cNvPr id="3" name="Graphic 2" descr="Work from home Wi-Fi with solid fill">
          <a:hlinkClick xmlns:r="http://schemas.openxmlformats.org/officeDocument/2006/relationships" r:id="rId3"/>
          <a:extLst>
            <a:ext uri="{FF2B5EF4-FFF2-40B4-BE49-F238E27FC236}">
              <a16:creationId xmlns:a16="http://schemas.microsoft.com/office/drawing/2014/main" id="{C12FA1C6-B91F-C947-9C11-E3A11B333E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8800" y="0"/>
          <a:ext cx="279400" cy="279400"/>
        </a:xfrm>
        <a:prstGeom prst="rect">
          <a:avLst/>
        </a:prstGeom>
      </xdr:spPr>
    </xdr:pic>
    <xdr:clientData/>
  </xdr:twoCellAnchor>
  <xdr:twoCellAnchor editAs="oneCell">
    <xdr:from>
      <xdr:col>0</xdr:col>
      <xdr:colOff>558800</xdr:colOff>
      <xdr:row>0</xdr:row>
      <xdr:rowOff>0</xdr:rowOff>
    </xdr:from>
    <xdr:to>
      <xdr:col>0</xdr:col>
      <xdr:colOff>838200</xdr:colOff>
      <xdr:row>1</xdr:row>
      <xdr:rowOff>31750</xdr:rowOff>
    </xdr:to>
    <xdr:pic>
      <xdr:nvPicPr>
        <xdr:cNvPr id="4" name="Graphic 3" descr="Work from home Wi-Fi with solid fill">
          <a:hlinkClick xmlns:r="http://schemas.openxmlformats.org/officeDocument/2006/relationships" r:id=""/>
          <a:extLst>
            <a:ext uri="{FF2B5EF4-FFF2-40B4-BE49-F238E27FC236}">
              <a16:creationId xmlns:a16="http://schemas.microsoft.com/office/drawing/2014/main" id="{7C84CDB2-AB9F-DF49-A548-FF4C14C748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8800" y="0"/>
          <a:ext cx="279400" cy="285750"/>
        </a:xfrm>
        <a:prstGeom prst="rect">
          <a:avLst/>
        </a:prstGeom>
      </xdr:spPr>
    </xdr:pic>
    <xdr:clientData/>
  </xdr:twoCellAnchor>
  <xdr:twoCellAnchor editAs="oneCell">
    <xdr:from>
      <xdr:col>0</xdr:col>
      <xdr:colOff>558800</xdr:colOff>
      <xdr:row>0</xdr:row>
      <xdr:rowOff>0</xdr:rowOff>
    </xdr:from>
    <xdr:to>
      <xdr:col>0</xdr:col>
      <xdr:colOff>838200</xdr:colOff>
      <xdr:row>1</xdr:row>
      <xdr:rowOff>31750</xdr:rowOff>
    </xdr:to>
    <xdr:pic>
      <xdr:nvPicPr>
        <xdr:cNvPr id="5" name="Graphic 4" descr="Work from home Wi-Fi with solid fill">
          <a:hlinkClick xmlns:r="http://schemas.openxmlformats.org/officeDocument/2006/relationships" r:id="rId3"/>
          <a:extLst>
            <a:ext uri="{FF2B5EF4-FFF2-40B4-BE49-F238E27FC236}">
              <a16:creationId xmlns:a16="http://schemas.microsoft.com/office/drawing/2014/main" id="{7D8D1925-7C61-E84F-950D-CB82573460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8800" y="0"/>
          <a:ext cx="279400" cy="285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863600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71F09DE6-1F53-4D0D-8344-4A8A462E1B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1000" cy="36997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869550</xdr:colOff>
      <xdr:row>0</xdr:row>
      <xdr:rowOff>367683</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A1541DC7-5148-144F-8598-6A0AADDE12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6950" cy="36768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863600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96E95C9B-15BB-AD44-897A-8ACC096E3F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1000" cy="36997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926353</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4949150B-4743-6E4A-9B93-14A928D491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443753" cy="36997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876300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CE9F55E9-9165-B24A-98C8-D1A30A74AB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93700" cy="36997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406400</xdr:colOff>
      <xdr:row>0</xdr:row>
      <xdr:rowOff>0</xdr:rowOff>
    </xdr:from>
    <xdr:to>
      <xdr:col>0</xdr:col>
      <xdr:colOff>800100</xdr:colOff>
      <xdr:row>0</xdr:row>
      <xdr:rowOff>369971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1B346A91-32AD-E541-A948-B69F36086C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06400" y="0"/>
          <a:ext cx="393700" cy="36997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863600</xdr:colOff>
      <xdr:row>1</xdr:row>
      <xdr:rowOff>1671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4F00CFF8-ECCB-FC45-A570-948E6717CA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1000" cy="36997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482600</xdr:colOff>
      <xdr:row>0</xdr:row>
      <xdr:rowOff>0</xdr:rowOff>
    </xdr:from>
    <xdr:to>
      <xdr:col>0</xdr:col>
      <xdr:colOff>863600</xdr:colOff>
      <xdr:row>1</xdr:row>
      <xdr:rowOff>27071</xdr:rowOff>
    </xdr:to>
    <xdr:pic>
      <xdr:nvPicPr>
        <xdr:cNvPr id="2" name="Graphic 1" descr="Work from home Wi-Fi with solid fill">
          <a:hlinkClick xmlns:r="http://schemas.openxmlformats.org/officeDocument/2006/relationships" r:id="rId1"/>
          <a:extLst>
            <a:ext uri="{FF2B5EF4-FFF2-40B4-BE49-F238E27FC236}">
              <a16:creationId xmlns:a16="http://schemas.microsoft.com/office/drawing/2014/main" id="{A7D873C9-5BFC-6C47-ABE7-201EF2AE9F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2600" y="0"/>
          <a:ext cx="381000" cy="36997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applewebdata://FA8E511C-5179-4993-B31B-B25C1CD2C8C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1DD4-1A22-974E-B6F4-BABA9C43A1D9}">
  <dimension ref="A1:P78"/>
  <sheetViews>
    <sheetView showGridLines="0" zoomScale="79" zoomScaleNormal="170" workbookViewId="0">
      <selection sqref="A1:O1"/>
    </sheetView>
  </sheetViews>
  <sheetFormatPr defaultColWidth="10.85546875" defaultRowHeight="15" x14ac:dyDescent="0.2"/>
  <cols>
    <col min="1" max="1" width="6.7109375" style="40" customWidth="1"/>
    <col min="2" max="2" width="18.85546875" style="40" customWidth="1"/>
    <col min="3" max="3" width="36.28515625" style="40" customWidth="1"/>
    <col min="4" max="4" width="7.28515625" style="43" customWidth="1"/>
    <col min="5" max="5" width="5.28515625" style="43" customWidth="1"/>
    <col min="6" max="6" width="7" style="40" customWidth="1"/>
    <col min="7" max="7" width="18.85546875" style="46" customWidth="1"/>
    <col min="8" max="8" width="33.28515625" style="40" customWidth="1"/>
    <col min="9" max="9" width="6.85546875" style="43" customWidth="1"/>
    <col min="10" max="10" width="5.7109375" style="43" customWidth="1"/>
    <col min="11" max="11" width="6.7109375" style="40" customWidth="1"/>
    <col min="12" max="12" width="20" style="40" customWidth="1"/>
    <col min="13" max="13" width="28" style="40" customWidth="1"/>
    <col min="14" max="14" width="6.85546875" style="43" customWidth="1"/>
    <col min="15" max="15" width="6.140625" style="40" customWidth="1"/>
    <col min="16" max="16" width="39" style="40" customWidth="1"/>
    <col min="17" max="16384" width="10.85546875" style="40"/>
  </cols>
  <sheetData>
    <row r="1" spans="1:15" x14ac:dyDescent="0.2">
      <c r="A1" s="271" t="s">
        <v>341</v>
      </c>
      <c r="B1" s="271"/>
      <c r="C1" s="271"/>
      <c r="D1" s="271"/>
      <c r="E1" s="271"/>
      <c r="F1" s="271"/>
      <c r="G1" s="271"/>
      <c r="H1" s="271"/>
      <c r="I1" s="271"/>
      <c r="J1" s="271"/>
      <c r="K1" s="271"/>
      <c r="L1" s="271"/>
      <c r="M1" s="271"/>
      <c r="N1" s="271"/>
      <c r="O1" s="271"/>
    </row>
    <row r="2" spans="1:15" x14ac:dyDescent="0.2">
      <c r="A2" s="56" t="s">
        <v>342</v>
      </c>
      <c r="B2" s="110" t="s">
        <v>2</v>
      </c>
      <c r="C2" s="57" t="s">
        <v>185</v>
      </c>
      <c r="D2" s="58" t="s">
        <v>0</v>
      </c>
      <c r="E2" s="108">
        <f>SUM(E3:E9)/4/7</f>
        <v>0.39285714285714285</v>
      </c>
      <c r="F2" s="60" t="s">
        <v>377</v>
      </c>
      <c r="G2" s="61" t="s">
        <v>180</v>
      </c>
      <c r="H2" s="62" t="s">
        <v>185</v>
      </c>
      <c r="I2" s="62" t="s">
        <v>0</v>
      </c>
      <c r="J2" s="63">
        <f>SUM(J3:J7)/5/3</f>
        <v>0.46666666666666662</v>
      </c>
      <c r="K2" s="68" t="s">
        <v>432</v>
      </c>
      <c r="L2" s="69" t="s">
        <v>3</v>
      </c>
      <c r="M2" s="70" t="s">
        <v>185</v>
      </c>
      <c r="N2" s="70" t="s">
        <v>0</v>
      </c>
      <c r="O2" s="59">
        <f>SUM(O3:O12)/8/3</f>
        <v>0.72916666666666663</v>
      </c>
    </row>
    <row r="3" spans="1:15" ht="51" x14ac:dyDescent="0.2">
      <c r="A3" s="65" t="s">
        <v>343</v>
      </c>
      <c r="B3" s="95" t="s">
        <v>504</v>
      </c>
      <c r="C3" s="66"/>
      <c r="D3" s="64" t="s">
        <v>228</v>
      </c>
      <c r="E3" s="93">
        <v>1</v>
      </c>
      <c r="F3" s="67" t="s">
        <v>378</v>
      </c>
      <c r="G3" s="50" t="s">
        <v>128</v>
      </c>
      <c r="H3" s="50" t="s">
        <v>246</v>
      </c>
      <c r="I3" s="64" t="s">
        <v>247</v>
      </c>
      <c r="J3" s="64">
        <v>2</v>
      </c>
      <c r="K3" s="65" t="s">
        <v>433</v>
      </c>
      <c r="L3" s="65" t="s">
        <v>293</v>
      </c>
      <c r="M3" s="49" t="s">
        <v>296</v>
      </c>
      <c r="N3" s="64" t="s">
        <v>229</v>
      </c>
      <c r="O3" s="64">
        <v>2</v>
      </c>
    </row>
    <row r="4" spans="1:15" ht="38.25" x14ac:dyDescent="0.2">
      <c r="A4" s="65" t="s">
        <v>344</v>
      </c>
      <c r="B4" s="96" t="s">
        <v>506</v>
      </c>
      <c r="C4" s="66"/>
      <c r="D4" s="64" t="s">
        <v>228</v>
      </c>
      <c r="E4" s="93">
        <v>0</v>
      </c>
      <c r="F4" s="67" t="s">
        <v>379</v>
      </c>
      <c r="G4" s="50" t="s">
        <v>129</v>
      </c>
      <c r="H4" s="50" t="s">
        <v>186</v>
      </c>
      <c r="I4" s="64" t="s">
        <v>247</v>
      </c>
      <c r="J4" s="64">
        <v>1</v>
      </c>
      <c r="K4" s="65" t="s">
        <v>434</v>
      </c>
      <c r="L4" s="65" t="s">
        <v>12</v>
      </c>
      <c r="M4" s="49" t="s">
        <v>297</v>
      </c>
      <c r="N4" s="64" t="s">
        <v>229</v>
      </c>
      <c r="O4" s="64">
        <v>2</v>
      </c>
    </row>
    <row r="5" spans="1:15" ht="51" x14ac:dyDescent="0.2">
      <c r="A5" s="65" t="s">
        <v>345</v>
      </c>
      <c r="B5" s="96" t="s">
        <v>508</v>
      </c>
      <c r="C5" s="66"/>
      <c r="D5" s="64" t="s">
        <v>228</v>
      </c>
      <c r="E5" s="93">
        <v>0</v>
      </c>
      <c r="F5" s="67" t="s">
        <v>380</v>
      </c>
      <c r="G5" s="50" t="s">
        <v>130</v>
      </c>
      <c r="H5" s="50" t="s">
        <v>187</v>
      </c>
      <c r="I5" s="64" t="s">
        <v>247</v>
      </c>
      <c r="J5" s="64">
        <v>1</v>
      </c>
      <c r="K5" s="65" t="s">
        <v>435</v>
      </c>
      <c r="L5" s="65" t="s">
        <v>13</v>
      </c>
      <c r="M5" s="49" t="s">
        <v>298</v>
      </c>
      <c r="N5" s="64" t="s">
        <v>229</v>
      </c>
      <c r="O5" s="64">
        <v>2</v>
      </c>
    </row>
    <row r="6" spans="1:15" ht="51" x14ac:dyDescent="0.2">
      <c r="A6" s="65" t="s">
        <v>346</v>
      </c>
      <c r="B6" s="96" t="s">
        <v>510</v>
      </c>
      <c r="C6" s="66"/>
      <c r="D6" s="64" t="s">
        <v>228</v>
      </c>
      <c r="E6" s="93">
        <v>3</v>
      </c>
      <c r="F6" s="67" t="s">
        <v>381</v>
      </c>
      <c r="G6" s="50" t="s">
        <v>131</v>
      </c>
      <c r="H6" s="50" t="s">
        <v>248</v>
      </c>
      <c r="I6" s="64" t="s">
        <v>247</v>
      </c>
      <c r="J6" s="64">
        <v>3</v>
      </c>
      <c r="K6" s="65" t="s">
        <v>436</v>
      </c>
      <c r="L6" s="65" t="s">
        <v>231</v>
      </c>
      <c r="M6" s="49" t="s">
        <v>299</v>
      </c>
      <c r="N6" s="64" t="s">
        <v>229</v>
      </c>
      <c r="O6" s="64">
        <v>3</v>
      </c>
    </row>
    <row r="7" spans="1:15" ht="51" x14ac:dyDescent="0.2">
      <c r="A7" s="65" t="s">
        <v>347</v>
      </c>
      <c r="B7" s="96" t="s">
        <v>512</v>
      </c>
      <c r="C7" s="66"/>
      <c r="D7" s="64" t="s">
        <v>228</v>
      </c>
      <c r="E7" s="93">
        <v>3</v>
      </c>
      <c r="F7" s="67" t="s">
        <v>382</v>
      </c>
      <c r="G7" s="50" t="s">
        <v>132</v>
      </c>
      <c r="H7" s="50" t="s">
        <v>188</v>
      </c>
      <c r="I7" s="64" t="s">
        <v>247</v>
      </c>
      <c r="J7" s="64">
        <v>0</v>
      </c>
      <c r="K7" s="65" t="s">
        <v>437</v>
      </c>
      <c r="L7" s="72" t="s">
        <v>232</v>
      </c>
      <c r="M7" s="49" t="s">
        <v>300</v>
      </c>
      <c r="N7" s="64" t="s">
        <v>229</v>
      </c>
      <c r="O7" s="64">
        <v>3</v>
      </c>
    </row>
    <row r="8" spans="1:15" ht="25.5" x14ac:dyDescent="0.2">
      <c r="A8" s="65" t="s">
        <v>513</v>
      </c>
      <c r="B8" s="117" t="s">
        <v>945</v>
      </c>
      <c r="C8" s="66"/>
      <c r="D8" s="64"/>
      <c r="E8" s="93">
        <v>2</v>
      </c>
      <c r="F8" s="67"/>
      <c r="G8" s="50"/>
      <c r="H8" s="50"/>
      <c r="I8" s="64"/>
      <c r="J8" s="64"/>
      <c r="K8" s="65"/>
      <c r="L8" s="72"/>
      <c r="M8" s="49"/>
      <c r="N8" s="64"/>
      <c r="O8" s="64"/>
    </row>
    <row r="9" spans="1:15" ht="38.25" x14ac:dyDescent="0.2">
      <c r="A9" s="65" t="s">
        <v>517</v>
      </c>
      <c r="B9" s="117" t="s">
        <v>946</v>
      </c>
      <c r="C9" s="66"/>
      <c r="D9" s="64"/>
      <c r="E9" s="93">
        <v>2</v>
      </c>
      <c r="F9" s="67"/>
      <c r="G9" s="50"/>
      <c r="H9" s="50"/>
      <c r="I9" s="64"/>
      <c r="J9" s="64"/>
      <c r="K9" s="65"/>
      <c r="L9" s="72"/>
      <c r="M9" s="49"/>
      <c r="N9" s="64"/>
      <c r="O9" s="64"/>
    </row>
    <row r="10" spans="1:15" ht="51" x14ac:dyDescent="0.2">
      <c r="A10" s="56" t="s">
        <v>348</v>
      </c>
      <c r="B10" s="111" t="s">
        <v>519</v>
      </c>
      <c r="C10" s="57" t="s">
        <v>185</v>
      </c>
      <c r="D10" s="58" t="s">
        <v>0</v>
      </c>
      <c r="E10" s="108">
        <f>SUM(E11:E15)/4/4</f>
        <v>0.5</v>
      </c>
      <c r="F10" s="60" t="s">
        <v>383</v>
      </c>
      <c r="G10" s="61" t="s">
        <v>152</v>
      </c>
      <c r="H10" s="62" t="s">
        <v>185</v>
      </c>
      <c r="I10" s="62" t="s">
        <v>0</v>
      </c>
      <c r="J10" s="59">
        <f>SUM(J11:J15)/5/3</f>
        <v>0.53333333333333333</v>
      </c>
      <c r="K10" s="65" t="s">
        <v>438</v>
      </c>
      <c r="L10" s="72" t="s">
        <v>127</v>
      </c>
      <c r="M10" s="49" t="s">
        <v>301</v>
      </c>
      <c r="N10" s="64" t="s">
        <v>229</v>
      </c>
      <c r="O10" s="64">
        <v>2</v>
      </c>
    </row>
    <row r="11" spans="1:15" ht="63.75" x14ac:dyDescent="0.2">
      <c r="A11" s="65" t="s">
        <v>349</v>
      </c>
      <c r="B11" s="96" t="s">
        <v>521</v>
      </c>
      <c r="C11" s="66"/>
      <c r="D11" s="64" t="s">
        <v>228</v>
      </c>
      <c r="E11" s="64">
        <v>2</v>
      </c>
      <c r="F11" s="67" t="s">
        <v>384</v>
      </c>
      <c r="G11" s="50" t="s">
        <v>153</v>
      </c>
      <c r="H11" s="66" t="s">
        <v>189</v>
      </c>
      <c r="I11" s="64" t="s">
        <v>247</v>
      </c>
      <c r="J11" s="64">
        <v>1</v>
      </c>
      <c r="K11" s="65" t="s">
        <v>439</v>
      </c>
      <c r="L11" s="72" t="s">
        <v>233</v>
      </c>
      <c r="M11" s="49" t="s">
        <v>302</v>
      </c>
      <c r="N11" s="64" t="s">
        <v>229</v>
      </c>
      <c r="O11" s="64">
        <v>2</v>
      </c>
    </row>
    <row r="12" spans="1:15" ht="51" x14ac:dyDescent="0.2">
      <c r="A12" s="65" t="s">
        <v>350</v>
      </c>
      <c r="B12" s="96" t="s">
        <v>522</v>
      </c>
      <c r="C12" s="66"/>
      <c r="D12" s="64" t="s">
        <v>228</v>
      </c>
      <c r="E12" s="64">
        <v>2</v>
      </c>
      <c r="F12" s="67" t="s">
        <v>385</v>
      </c>
      <c r="G12" s="50" t="s">
        <v>154</v>
      </c>
      <c r="H12" s="66" t="s">
        <v>190</v>
      </c>
      <c r="I12" s="64" t="s">
        <v>281</v>
      </c>
      <c r="J12" s="64">
        <v>2</v>
      </c>
      <c r="K12" s="65" t="s">
        <v>440</v>
      </c>
      <c r="L12" s="72" t="s">
        <v>234</v>
      </c>
      <c r="M12" s="49" t="s">
        <v>303</v>
      </c>
      <c r="N12" s="64" t="s">
        <v>229</v>
      </c>
      <c r="O12" s="64">
        <v>1.5</v>
      </c>
    </row>
    <row r="13" spans="1:15" ht="51" x14ac:dyDescent="0.2">
      <c r="A13" s="65" t="s">
        <v>351</v>
      </c>
      <c r="B13" s="96" t="s">
        <v>523</v>
      </c>
      <c r="C13" s="66"/>
      <c r="D13" s="64" t="s">
        <v>228</v>
      </c>
      <c r="E13" s="64">
        <v>2</v>
      </c>
      <c r="F13" s="67" t="s">
        <v>386</v>
      </c>
      <c r="G13" s="50" t="s">
        <v>250</v>
      </c>
      <c r="H13" s="66" t="s">
        <v>251</v>
      </c>
      <c r="I13" s="64" t="s">
        <v>281</v>
      </c>
      <c r="J13" s="64">
        <v>2</v>
      </c>
      <c r="K13" s="68" t="s">
        <v>441</v>
      </c>
      <c r="L13" s="69" t="s">
        <v>235</v>
      </c>
      <c r="M13" s="70" t="s">
        <v>185</v>
      </c>
      <c r="N13" s="70" t="s">
        <v>0</v>
      </c>
      <c r="O13" s="59">
        <f>SUM(O14:O16)/3/3</f>
        <v>0.55555555555555558</v>
      </c>
    </row>
    <row r="14" spans="1:15" ht="51" x14ac:dyDescent="0.2">
      <c r="A14" s="65" t="s">
        <v>352</v>
      </c>
      <c r="B14" s="96" t="s">
        <v>524</v>
      </c>
      <c r="C14" s="66"/>
      <c r="D14" s="64" t="s">
        <v>228</v>
      </c>
      <c r="E14" s="64">
        <v>2</v>
      </c>
      <c r="F14" s="67" t="s">
        <v>387</v>
      </c>
      <c r="G14" s="50" t="s">
        <v>252</v>
      </c>
      <c r="H14" s="66" t="s">
        <v>191</v>
      </c>
      <c r="I14" s="64" t="s">
        <v>281</v>
      </c>
      <c r="J14" s="64">
        <v>2</v>
      </c>
      <c r="K14" s="65" t="s">
        <v>442</v>
      </c>
      <c r="L14" s="65" t="s">
        <v>236</v>
      </c>
      <c r="M14" s="49" t="s">
        <v>304</v>
      </c>
      <c r="N14" s="64" t="s">
        <v>237</v>
      </c>
      <c r="O14" s="64">
        <v>2</v>
      </c>
    </row>
    <row r="15" spans="1:15" ht="63.75" x14ac:dyDescent="0.2">
      <c r="A15" s="65" t="s">
        <v>353</v>
      </c>
      <c r="B15" s="65"/>
      <c r="C15" s="66"/>
      <c r="D15" s="64"/>
      <c r="E15" s="64"/>
      <c r="F15" s="67" t="s">
        <v>388</v>
      </c>
      <c r="G15" s="50" t="s">
        <v>155</v>
      </c>
      <c r="H15" s="66" t="s">
        <v>191</v>
      </c>
      <c r="I15" s="64" t="s">
        <v>281</v>
      </c>
      <c r="J15" s="64">
        <v>1</v>
      </c>
      <c r="K15" s="65" t="s">
        <v>443</v>
      </c>
      <c r="L15" s="72" t="s">
        <v>238</v>
      </c>
      <c r="M15" s="49" t="s">
        <v>305</v>
      </c>
      <c r="N15" s="73" t="s">
        <v>237</v>
      </c>
      <c r="O15" s="64">
        <v>1</v>
      </c>
    </row>
    <row r="16" spans="1:15" ht="38.25" x14ac:dyDescent="0.2">
      <c r="A16" s="56" t="s">
        <v>354</v>
      </c>
      <c r="B16" s="57" t="s">
        <v>1465</v>
      </c>
      <c r="C16" s="57" t="s">
        <v>185</v>
      </c>
      <c r="D16" s="58" t="s">
        <v>0</v>
      </c>
      <c r="E16" s="59">
        <f>SUM(E17:E22)/4/5</f>
        <v>0.8</v>
      </c>
      <c r="F16" s="60" t="s">
        <v>389</v>
      </c>
      <c r="G16" s="61" t="s">
        <v>253</v>
      </c>
      <c r="H16" s="62" t="s">
        <v>185</v>
      </c>
      <c r="I16" s="62" t="s">
        <v>0</v>
      </c>
      <c r="J16" s="59">
        <f>SUM(J17:J19)/3/3</f>
        <v>0.55555555555555558</v>
      </c>
      <c r="K16" s="65" t="s">
        <v>444</v>
      </c>
      <c r="L16" s="74" t="s">
        <v>239</v>
      </c>
      <c r="M16" s="49" t="s">
        <v>306</v>
      </c>
      <c r="N16" s="64" t="s">
        <v>237</v>
      </c>
      <c r="O16" s="64">
        <v>2</v>
      </c>
    </row>
    <row r="17" spans="1:15" ht="38.25" x14ac:dyDescent="0.2">
      <c r="A17" s="65" t="s">
        <v>355</v>
      </c>
      <c r="B17" s="96" t="s">
        <v>527</v>
      </c>
      <c r="C17" s="66"/>
      <c r="D17" s="64"/>
      <c r="E17" s="64">
        <v>4</v>
      </c>
      <c r="F17" s="67" t="s">
        <v>390</v>
      </c>
      <c r="G17" s="50" t="s">
        <v>254</v>
      </c>
      <c r="H17" s="66" t="s">
        <v>192</v>
      </c>
      <c r="I17" s="64" t="s">
        <v>281</v>
      </c>
      <c r="J17" s="64">
        <v>1</v>
      </c>
      <c r="K17" s="68" t="s">
        <v>445</v>
      </c>
      <c r="L17" s="69" t="s">
        <v>1</v>
      </c>
      <c r="M17" s="70" t="s">
        <v>185</v>
      </c>
      <c r="N17" s="70" t="s">
        <v>0</v>
      </c>
      <c r="O17" s="59">
        <f>SUM(O18:O25)/6/3</f>
        <v>0.55555555555555558</v>
      </c>
    </row>
    <row r="18" spans="1:15" ht="51" x14ac:dyDescent="0.2">
      <c r="A18" s="65" t="s">
        <v>356</v>
      </c>
      <c r="B18" s="117" t="s">
        <v>1137</v>
      </c>
      <c r="C18" s="66"/>
      <c r="D18" s="64"/>
      <c r="E18" s="64">
        <v>4</v>
      </c>
      <c r="F18" s="67" t="s">
        <v>391</v>
      </c>
      <c r="G18" s="50" t="s">
        <v>156</v>
      </c>
      <c r="H18" s="66" t="s">
        <v>193</v>
      </c>
      <c r="I18" s="64" t="s">
        <v>281</v>
      </c>
      <c r="J18" s="64">
        <v>2</v>
      </c>
      <c r="K18" s="65" t="s">
        <v>446</v>
      </c>
      <c r="L18" s="65" t="s">
        <v>14</v>
      </c>
      <c r="M18" s="49" t="s">
        <v>307</v>
      </c>
      <c r="N18" s="64" t="s">
        <v>229</v>
      </c>
      <c r="O18" s="64">
        <v>2</v>
      </c>
    </row>
    <row r="19" spans="1:15" ht="38.25" x14ac:dyDescent="0.2">
      <c r="A19" s="65" t="s">
        <v>357</v>
      </c>
      <c r="B19" s="96" t="s">
        <v>530</v>
      </c>
      <c r="C19" s="66"/>
      <c r="D19" s="64"/>
      <c r="E19" s="64">
        <v>4</v>
      </c>
      <c r="F19" s="67" t="s">
        <v>392</v>
      </c>
      <c r="G19" s="50" t="s">
        <v>157</v>
      </c>
      <c r="H19" s="66" t="s">
        <v>194</v>
      </c>
      <c r="I19" s="64" t="s">
        <v>281</v>
      </c>
      <c r="J19" s="64">
        <v>2</v>
      </c>
      <c r="K19" s="65" t="s">
        <v>447</v>
      </c>
      <c r="L19" s="65" t="s">
        <v>15</v>
      </c>
      <c r="M19" s="49" t="s">
        <v>308</v>
      </c>
      <c r="N19" s="64" t="s">
        <v>229</v>
      </c>
      <c r="O19" s="64">
        <v>2</v>
      </c>
    </row>
    <row r="20" spans="1:15" ht="38.25" x14ac:dyDescent="0.2">
      <c r="A20" s="65" t="s">
        <v>358</v>
      </c>
      <c r="B20" s="100" t="s">
        <v>1138</v>
      </c>
      <c r="C20" s="75"/>
      <c r="D20" s="64"/>
      <c r="E20" s="64">
        <v>2</v>
      </c>
      <c r="F20" s="60" t="s">
        <v>393</v>
      </c>
      <c r="G20" s="61" t="s">
        <v>269</v>
      </c>
      <c r="H20" s="62" t="s">
        <v>185</v>
      </c>
      <c r="I20" s="62" t="s">
        <v>0</v>
      </c>
      <c r="J20" s="59">
        <f>SUM(J23:J28)/6/3</f>
        <v>0.55555555555555558</v>
      </c>
      <c r="K20" s="65" t="s">
        <v>448</v>
      </c>
      <c r="L20" s="65" t="s">
        <v>240</v>
      </c>
      <c r="M20" s="49" t="s">
        <v>309</v>
      </c>
      <c r="N20" s="64" t="s">
        <v>229</v>
      </c>
      <c r="O20" s="64">
        <v>1</v>
      </c>
    </row>
    <row r="21" spans="1:15" ht="63.75" x14ac:dyDescent="0.2">
      <c r="A21" s="65" t="s">
        <v>531</v>
      </c>
      <c r="B21" s="117" t="s">
        <v>1139</v>
      </c>
      <c r="C21" s="75"/>
      <c r="D21" s="64"/>
      <c r="E21" s="64">
        <v>2</v>
      </c>
      <c r="F21" s="60"/>
      <c r="G21" s="61"/>
      <c r="H21" s="62"/>
      <c r="I21" s="62"/>
      <c r="J21" s="59"/>
      <c r="K21" s="65"/>
      <c r="L21" s="65"/>
      <c r="M21" s="49"/>
      <c r="N21" s="64"/>
      <c r="O21" s="64"/>
    </row>
    <row r="22" spans="1:15" x14ac:dyDescent="0.2">
      <c r="A22" s="65"/>
      <c r="B22" s="117"/>
      <c r="C22" s="75"/>
      <c r="D22" s="64"/>
      <c r="E22" s="64"/>
      <c r="F22" s="60"/>
      <c r="G22" s="61"/>
      <c r="H22" s="62"/>
      <c r="I22" s="62"/>
      <c r="J22" s="59"/>
      <c r="K22" s="65"/>
      <c r="L22" s="65"/>
      <c r="M22" s="49"/>
      <c r="N22" s="64"/>
      <c r="O22" s="64"/>
    </row>
    <row r="23" spans="1:15" ht="51" x14ac:dyDescent="0.2">
      <c r="A23" s="56" t="s">
        <v>359</v>
      </c>
      <c r="B23" s="57" t="s">
        <v>9</v>
      </c>
      <c r="C23" s="57" t="s">
        <v>185</v>
      </c>
      <c r="D23" s="58" t="s">
        <v>0</v>
      </c>
      <c r="E23" s="108">
        <f>SUM(E24:E33)/4/10</f>
        <v>0.72499999999999998</v>
      </c>
      <c r="F23" s="67" t="s">
        <v>394</v>
      </c>
      <c r="G23" s="50" t="s">
        <v>158</v>
      </c>
      <c r="H23" s="71" t="s">
        <v>195</v>
      </c>
      <c r="I23" s="64"/>
      <c r="J23" s="64">
        <v>2</v>
      </c>
      <c r="K23" s="65" t="s">
        <v>449</v>
      </c>
      <c r="L23" s="65" t="s">
        <v>16</v>
      </c>
      <c r="M23" s="49" t="s">
        <v>310</v>
      </c>
      <c r="N23" s="64" t="s">
        <v>229</v>
      </c>
      <c r="O23" s="64">
        <v>2</v>
      </c>
    </row>
    <row r="24" spans="1:15" ht="51" x14ac:dyDescent="0.2">
      <c r="A24" s="65" t="s">
        <v>360</v>
      </c>
      <c r="B24" s="100" t="s">
        <v>534</v>
      </c>
      <c r="C24" s="66"/>
      <c r="D24" s="64"/>
      <c r="E24" s="64">
        <v>4</v>
      </c>
      <c r="F24" s="67" t="s">
        <v>395</v>
      </c>
      <c r="G24" s="50" t="s">
        <v>159</v>
      </c>
      <c r="H24" s="71" t="s">
        <v>196</v>
      </c>
      <c r="I24" s="64"/>
      <c r="J24" s="64">
        <v>2</v>
      </c>
      <c r="K24" s="65" t="s">
        <v>450</v>
      </c>
      <c r="L24" s="86" t="s">
        <v>339</v>
      </c>
      <c r="M24" s="87" t="s">
        <v>311</v>
      </c>
      <c r="N24" s="88" t="s">
        <v>229</v>
      </c>
      <c r="O24" s="88">
        <v>2</v>
      </c>
    </row>
    <row r="25" spans="1:15" ht="51" x14ac:dyDescent="0.2">
      <c r="A25" s="65" t="s">
        <v>361</v>
      </c>
      <c r="B25" s="100" t="s">
        <v>535</v>
      </c>
      <c r="C25" s="66"/>
      <c r="D25" s="64"/>
      <c r="E25" s="64">
        <v>4</v>
      </c>
      <c r="F25" s="67" t="s">
        <v>396</v>
      </c>
      <c r="G25" s="76" t="s">
        <v>181</v>
      </c>
      <c r="H25" s="71" t="s">
        <v>197</v>
      </c>
      <c r="I25" s="64"/>
      <c r="J25" s="64">
        <v>2</v>
      </c>
      <c r="K25" s="65" t="s">
        <v>451</v>
      </c>
      <c r="L25" s="72" t="s">
        <v>17</v>
      </c>
      <c r="M25" s="49" t="s">
        <v>312</v>
      </c>
      <c r="N25" s="64" t="s">
        <v>229</v>
      </c>
      <c r="O25" s="64">
        <v>1</v>
      </c>
    </row>
    <row r="26" spans="1:15" ht="38.25" x14ac:dyDescent="0.2">
      <c r="A26" s="65" t="s">
        <v>362</v>
      </c>
      <c r="B26" s="100" t="s">
        <v>536</v>
      </c>
      <c r="C26" s="66"/>
      <c r="D26" s="64"/>
      <c r="E26" s="64">
        <v>4</v>
      </c>
      <c r="F26" s="67" t="s">
        <v>397</v>
      </c>
      <c r="G26" s="50" t="s">
        <v>270</v>
      </c>
      <c r="H26" s="71" t="s">
        <v>198</v>
      </c>
      <c r="I26" s="64"/>
      <c r="J26" s="64">
        <v>2</v>
      </c>
      <c r="K26" s="68" t="s">
        <v>452</v>
      </c>
      <c r="L26" s="69" t="s">
        <v>164</v>
      </c>
      <c r="M26" s="70" t="s">
        <v>185</v>
      </c>
      <c r="N26" s="70" t="s">
        <v>0</v>
      </c>
      <c r="O26" s="63">
        <f>SUM(O27:O38)/9/3</f>
        <v>0.44444444444444442</v>
      </c>
    </row>
    <row r="27" spans="1:15" ht="63.75" x14ac:dyDescent="0.2">
      <c r="A27" s="65" t="s">
        <v>363</v>
      </c>
      <c r="B27" s="100" t="s">
        <v>537</v>
      </c>
      <c r="C27" s="66"/>
      <c r="D27" s="64"/>
      <c r="E27" s="64">
        <v>3</v>
      </c>
      <c r="F27" s="67" t="s">
        <v>398</v>
      </c>
      <c r="G27" s="77" t="s">
        <v>272</v>
      </c>
      <c r="H27" s="50" t="s">
        <v>273</v>
      </c>
      <c r="I27" s="64"/>
      <c r="J27" s="64">
        <v>1</v>
      </c>
      <c r="K27" s="65" t="s">
        <v>453</v>
      </c>
      <c r="L27" s="65" t="s">
        <v>171</v>
      </c>
      <c r="M27" s="49" t="s">
        <v>313</v>
      </c>
      <c r="N27" s="78" t="s">
        <v>241</v>
      </c>
      <c r="O27" s="64">
        <v>2</v>
      </c>
    </row>
    <row r="28" spans="1:15" ht="38.25" x14ac:dyDescent="0.2">
      <c r="A28" s="65" t="s">
        <v>364</v>
      </c>
      <c r="B28" s="100" t="s">
        <v>538</v>
      </c>
      <c r="C28" s="66"/>
      <c r="D28" s="64"/>
      <c r="E28" s="64">
        <v>4</v>
      </c>
      <c r="F28" s="65" t="s">
        <v>399</v>
      </c>
      <c r="G28" s="50" t="s">
        <v>268</v>
      </c>
      <c r="H28" s="71" t="s">
        <v>271</v>
      </c>
      <c r="I28" s="64"/>
      <c r="J28" s="64">
        <v>1</v>
      </c>
      <c r="K28" s="65" t="s">
        <v>454</v>
      </c>
      <c r="L28" s="65" t="s">
        <v>172</v>
      </c>
      <c r="M28" s="49" t="s">
        <v>314</v>
      </c>
      <c r="N28" s="78" t="s">
        <v>241</v>
      </c>
      <c r="O28" s="64">
        <v>1</v>
      </c>
    </row>
    <row r="29" spans="1:15" ht="45" x14ac:dyDescent="0.2">
      <c r="A29" s="65" t="s">
        <v>365</v>
      </c>
      <c r="B29" s="100" t="s">
        <v>539</v>
      </c>
      <c r="C29" s="66"/>
      <c r="D29" s="64"/>
      <c r="E29" s="64">
        <v>3</v>
      </c>
      <c r="F29" s="60" t="s">
        <v>400</v>
      </c>
      <c r="G29" s="79" t="s">
        <v>177</v>
      </c>
      <c r="H29" s="62" t="s">
        <v>185</v>
      </c>
      <c r="I29" s="62" t="s">
        <v>0</v>
      </c>
      <c r="J29" s="63">
        <f>SUM(J30:J41)/10/3</f>
        <v>0.43333333333333335</v>
      </c>
      <c r="K29" s="65" t="s">
        <v>455</v>
      </c>
      <c r="L29" s="65" t="s">
        <v>56</v>
      </c>
      <c r="M29" s="49" t="s">
        <v>315</v>
      </c>
      <c r="N29" s="78" t="s">
        <v>241</v>
      </c>
      <c r="O29" s="64">
        <v>1</v>
      </c>
    </row>
    <row r="30" spans="1:15" ht="38.25" x14ac:dyDescent="0.2">
      <c r="A30" s="65" t="s">
        <v>366</v>
      </c>
      <c r="B30" s="100" t="s">
        <v>540</v>
      </c>
      <c r="C30" s="50"/>
      <c r="D30" s="64"/>
      <c r="E30" s="64">
        <v>3</v>
      </c>
      <c r="F30" s="67" t="s">
        <v>401</v>
      </c>
      <c r="G30" s="65" t="s">
        <v>176</v>
      </c>
      <c r="H30" s="71" t="s">
        <v>199</v>
      </c>
      <c r="I30" s="64" t="s">
        <v>255</v>
      </c>
      <c r="J30" s="64">
        <v>1</v>
      </c>
      <c r="K30" s="65" t="s">
        <v>456</v>
      </c>
      <c r="L30" s="65" t="s">
        <v>173</v>
      </c>
      <c r="M30" s="49" t="s">
        <v>316</v>
      </c>
      <c r="N30" s="78" t="s">
        <v>241</v>
      </c>
      <c r="O30" s="64">
        <v>1</v>
      </c>
    </row>
    <row r="31" spans="1:15" ht="30" x14ac:dyDescent="0.2">
      <c r="A31" s="65" t="s">
        <v>541</v>
      </c>
      <c r="B31" s="100" t="s">
        <v>542</v>
      </c>
      <c r="C31" s="50"/>
      <c r="D31" s="64"/>
      <c r="E31" s="64">
        <v>2</v>
      </c>
      <c r="F31" s="67"/>
      <c r="G31" s="65"/>
      <c r="H31" s="71"/>
      <c r="I31" s="64"/>
      <c r="J31" s="64"/>
      <c r="K31" s="65"/>
      <c r="L31" s="65"/>
      <c r="M31" s="49"/>
      <c r="N31" s="78"/>
      <c r="O31" s="64"/>
    </row>
    <row r="32" spans="1:15" ht="60" x14ac:dyDescent="0.2">
      <c r="A32" s="65" t="s">
        <v>544</v>
      </c>
      <c r="B32" s="100" t="s">
        <v>545</v>
      </c>
      <c r="C32" s="50"/>
      <c r="D32" s="64"/>
      <c r="E32" s="64">
        <v>2</v>
      </c>
      <c r="F32" s="67"/>
      <c r="G32" s="65"/>
      <c r="H32" s="71"/>
      <c r="I32" s="64"/>
      <c r="J32" s="64"/>
      <c r="K32" s="65"/>
      <c r="L32" s="65"/>
      <c r="M32" s="49"/>
      <c r="N32" s="78"/>
      <c r="O32" s="64"/>
    </row>
    <row r="33" spans="1:16" ht="25.5" x14ac:dyDescent="0.2">
      <c r="A33" s="65" t="s">
        <v>547</v>
      </c>
      <c r="B33" s="117" t="s">
        <v>1428</v>
      </c>
      <c r="C33" s="50"/>
      <c r="D33" s="64"/>
      <c r="E33" s="64">
        <v>0</v>
      </c>
      <c r="F33" s="67"/>
      <c r="G33" s="65"/>
      <c r="H33" s="71"/>
      <c r="I33" s="64"/>
      <c r="J33" s="64"/>
      <c r="K33" s="65"/>
      <c r="L33" s="65"/>
      <c r="M33" s="49"/>
      <c r="N33" s="78"/>
      <c r="O33" s="64"/>
    </row>
    <row r="34" spans="1:16" ht="51" x14ac:dyDescent="0.2">
      <c r="A34" s="56" t="s">
        <v>367</v>
      </c>
      <c r="B34" s="57" t="s">
        <v>1467</v>
      </c>
      <c r="C34" s="80" t="s">
        <v>185</v>
      </c>
      <c r="D34" s="81" t="s">
        <v>0</v>
      </c>
      <c r="E34" s="59">
        <f>SUM(E35:E39)/4/5</f>
        <v>0.7</v>
      </c>
      <c r="F34" s="67" t="s">
        <v>402</v>
      </c>
      <c r="G34" s="65" t="s">
        <v>177</v>
      </c>
      <c r="H34" s="71" t="s">
        <v>200</v>
      </c>
      <c r="I34" s="64" t="s">
        <v>255</v>
      </c>
      <c r="J34" s="64">
        <v>2</v>
      </c>
      <c r="K34" s="65" t="s">
        <v>457</v>
      </c>
      <c r="L34" s="65" t="s">
        <v>57</v>
      </c>
      <c r="M34" s="49" t="s">
        <v>317</v>
      </c>
      <c r="N34" s="78" t="s">
        <v>241</v>
      </c>
      <c r="O34" s="64">
        <v>1</v>
      </c>
      <c r="P34" s="45"/>
    </row>
    <row r="35" spans="1:16" ht="51" x14ac:dyDescent="0.2">
      <c r="A35" s="65" t="s">
        <v>368</v>
      </c>
      <c r="B35" s="96" t="s">
        <v>551</v>
      </c>
      <c r="C35" s="66"/>
      <c r="D35" s="64" t="s">
        <v>228</v>
      </c>
      <c r="E35" s="64">
        <v>3</v>
      </c>
      <c r="F35" s="67" t="s">
        <v>403</v>
      </c>
      <c r="G35" s="65" t="s">
        <v>256</v>
      </c>
      <c r="H35" s="71" t="s">
        <v>257</v>
      </c>
      <c r="I35" s="64" t="s">
        <v>255</v>
      </c>
      <c r="J35" s="64">
        <v>2</v>
      </c>
      <c r="K35" s="65" t="s">
        <v>458</v>
      </c>
      <c r="L35" s="65" t="s">
        <v>174</v>
      </c>
      <c r="M35" s="49" t="s">
        <v>318</v>
      </c>
      <c r="N35" s="78" t="s">
        <v>241</v>
      </c>
      <c r="O35" s="64">
        <v>1</v>
      </c>
      <c r="P35" s="45"/>
    </row>
    <row r="36" spans="1:16" ht="51" x14ac:dyDescent="0.2">
      <c r="A36" s="65" t="s">
        <v>369</v>
      </c>
      <c r="B36" s="96" t="s">
        <v>552</v>
      </c>
      <c r="C36" s="66"/>
      <c r="D36" s="64" t="s">
        <v>228</v>
      </c>
      <c r="E36" s="64">
        <v>2</v>
      </c>
      <c r="F36" s="67" t="s">
        <v>404</v>
      </c>
      <c r="G36" s="65" t="s">
        <v>11</v>
      </c>
      <c r="H36" s="71" t="s">
        <v>258</v>
      </c>
      <c r="I36" s="64" t="s">
        <v>255</v>
      </c>
      <c r="J36" s="64">
        <v>1</v>
      </c>
      <c r="K36" s="65" t="s">
        <v>459</v>
      </c>
      <c r="L36" s="65" t="s">
        <v>58</v>
      </c>
      <c r="M36" s="49" t="s">
        <v>319</v>
      </c>
      <c r="N36" s="78" t="s">
        <v>241</v>
      </c>
      <c r="O36" s="64">
        <v>1</v>
      </c>
      <c r="P36" s="45"/>
    </row>
    <row r="37" spans="1:16" ht="38.25" x14ac:dyDescent="0.2">
      <c r="A37" s="65" t="s">
        <v>370</v>
      </c>
      <c r="B37" s="96" t="s">
        <v>554</v>
      </c>
      <c r="C37" s="66"/>
      <c r="D37" s="64" t="s">
        <v>228</v>
      </c>
      <c r="E37" s="64">
        <v>3</v>
      </c>
      <c r="F37" s="67" t="s">
        <v>405</v>
      </c>
      <c r="G37" s="65" t="s">
        <v>178</v>
      </c>
      <c r="H37" s="71" t="s">
        <v>202</v>
      </c>
      <c r="I37" s="64" t="s">
        <v>255</v>
      </c>
      <c r="J37" s="64">
        <v>1</v>
      </c>
      <c r="K37" s="65" t="s">
        <v>460</v>
      </c>
      <c r="L37" s="50" t="s">
        <v>175</v>
      </c>
      <c r="M37" s="49" t="s">
        <v>320</v>
      </c>
      <c r="N37" s="78" t="s">
        <v>241</v>
      </c>
      <c r="O37" s="64">
        <v>2</v>
      </c>
      <c r="P37" s="45"/>
    </row>
    <row r="38" spans="1:16" ht="63.75" x14ac:dyDescent="0.2">
      <c r="A38" s="65" t="s">
        <v>371</v>
      </c>
      <c r="B38" s="96" t="s">
        <v>555</v>
      </c>
      <c r="C38" s="66"/>
      <c r="D38" s="64" t="s">
        <v>228</v>
      </c>
      <c r="E38" s="64">
        <v>3</v>
      </c>
      <c r="F38" s="67" t="s">
        <v>406</v>
      </c>
      <c r="G38" s="65" t="s">
        <v>166</v>
      </c>
      <c r="H38" s="71" t="s">
        <v>203</v>
      </c>
      <c r="I38" s="64" t="s">
        <v>255</v>
      </c>
      <c r="J38" s="64">
        <v>1</v>
      </c>
      <c r="K38" s="65" t="s">
        <v>461</v>
      </c>
      <c r="L38" s="50" t="s">
        <v>242</v>
      </c>
      <c r="M38" s="49" t="s">
        <v>321</v>
      </c>
      <c r="N38" s="78" t="s">
        <v>241</v>
      </c>
      <c r="O38" s="64">
        <v>2</v>
      </c>
      <c r="P38" s="45"/>
    </row>
    <row r="39" spans="1:16" ht="60" x14ac:dyDescent="0.2">
      <c r="A39" s="65" t="s">
        <v>372</v>
      </c>
      <c r="B39" s="100" t="s">
        <v>556</v>
      </c>
      <c r="C39" s="66"/>
      <c r="D39" s="64" t="s">
        <v>228</v>
      </c>
      <c r="E39" s="64">
        <v>3</v>
      </c>
      <c r="F39" s="67" t="s">
        <v>407</v>
      </c>
      <c r="G39" s="65" t="s">
        <v>179</v>
      </c>
      <c r="H39" s="71" t="s">
        <v>204</v>
      </c>
      <c r="I39" s="64" t="s">
        <v>255</v>
      </c>
      <c r="J39" s="64">
        <v>2</v>
      </c>
      <c r="K39" s="68" t="s">
        <v>462</v>
      </c>
      <c r="L39" s="69" t="s">
        <v>294</v>
      </c>
      <c r="M39" s="70" t="s">
        <v>185</v>
      </c>
      <c r="N39" s="70" t="s">
        <v>0</v>
      </c>
      <c r="O39" s="63">
        <f>SUM(O40:O46)/7/3</f>
        <v>0.4285714285714286</v>
      </c>
      <c r="P39" s="45"/>
    </row>
    <row r="40" spans="1:16" ht="38.25" x14ac:dyDescent="0.2">
      <c r="A40" s="56" t="s">
        <v>373</v>
      </c>
      <c r="B40" s="57" t="s">
        <v>1468</v>
      </c>
      <c r="C40" s="80" t="s">
        <v>185</v>
      </c>
      <c r="D40" s="81" t="s">
        <v>0</v>
      </c>
      <c r="E40" s="63">
        <f>SUM(E41:E45)/4/4</f>
        <v>0.375</v>
      </c>
      <c r="F40" s="67" t="s">
        <v>408</v>
      </c>
      <c r="G40" s="77" t="s">
        <v>162</v>
      </c>
      <c r="H40" s="71" t="s">
        <v>207</v>
      </c>
      <c r="I40" s="64" t="s">
        <v>255</v>
      </c>
      <c r="J40" s="64">
        <v>2</v>
      </c>
      <c r="K40" s="65" t="s">
        <v>463</v>
      </c>
      <c r="L40" s="65" t="s">
        <v>167</v>
      </c>
      <c r="M40" s="49" t="s">
        <v>322</v>
      </c>
      <c r="N40" s="78" t="s">
        <v>229</v>
      </c>
      <c r="O40" s="64">
        <v>1</v>
      </c>
      <c r="P40" s="45"/>
    </row>
    <row r="41" spans="1:16" ht="90" x14ac:dyDescent="0.2">
      <c r="A41" s="82" t="s">
        <v>374</v>
      </c>
      <c r="B41" s="100" t="s">
        <v>561</v>
      </c>
      <c r="C41" s="66"/>
      <c r="D41" s="64" t="s">
        <v>228</v>
      </c>
      <c r="E41" s="64">
        <v>2</v>
      </c>
      <c r="F41" s="67" t="s">
        <v>409</v>
      </c>
      <c r="G41" s="77" t="s">
        <v>266</v>
      </c>
      <c r="H41" s="50" t="s">
        <v>267</v>
      </c>
      <c r="I41" s="64" t="s">
        <v>255</v>
      </c>
      <c r="J41" s="64">
        <v>1</v>
      </c>
      <c r="K41" s="65" t="s">
        <v>464</v>
      </c>
      <c r="L41" s="65" t="s">
        <v>168</v>
      </c>
      <c r="M41" s="49" t="s">
        <v>323</v>
      </c>
      <c r="N41" s="78" t="s">
        <v>229</v>
      </c>
      <c r="O41" s="64">
        <v>1</v>
      </c>
      <c r="P41" s="45"/>
    </row>
    <row r="42" spans="1:16" ht="38.25" x14ac:dyDescent="0.2">
      <c r="A42" s="82" t="s">
        <v>375</v>
      </c>
      <c r="B42" s="96" t="s">
        <v>563</v>
      </c>
      <c r="C42" s="66"/>
      <c r="D42" s="64" t="s">
        <v>230</v>
      </c>
      <c r="E42" s="64">
        <v>2</v>
      </c>
      <c r="F42" s="83" t="s">
        <v>410</v>
      </c>
      <c r="G42" s="55" t="s">
        <v>161</v>
      </c>
      <c r="H42" s="62" t="s">
        <v>185</v>
      </c>
      <c r="I42" s="62" t="s">
        <v>0</v>
      </c>
      <c r="J42" s="63">
        <f>SUM(J43:J45)/3/3</f>
        <v>0.33333333333333331</v>
      </c>
      <c r="K42" s="65" t="s">
        <v>465</v>
      </c>
      <c r="L42" s="65" t="s">
        <v>170</v>
      </c>
      <c r="M42" s="49" t="s">
        <v>324</v>
      </c>
      <c r="N42" s="78" t="s">
        <v>229</v>
      </c>
      <c r="O42" s="64">
        <v>2</v>
      </c>
    </row>
    <row r="43" spans="1:16" ht="76.5" x14ac:dyDescent="0.2">
      <c r="A43" s="84" t="s">
        <v>376</v>
      </c>
      <c r="B43" s="96" t="s">
        <v>564</v>
      </c>
      <c r="C43" s="50"/>
      <c r="D43" s="64" t="s">
        <v>228</v>
      </c>
      <c r="E43" s="64">
        <v>2</v>
      </c>
      <c r="F43" s="67" t="s">
        <v>411</v>
      </c>
      <c r="G43" s="50" t="s">
        <v>274</v>
      </c>
      <c r="H43" s="50" t="s">
        <v>279</v>
      </c>
      <c r="I43" s="64" t="s">
        <v>255</v>
      </c>
      <c r="J43" s="64">
        <v>1</v>
      </c>
      <c r="K43" s="65" t="s">
        <v>466</v>
      </c>
      <c r="L43" s="50" t="s">
        <v>243</v>
      </c>
      <c r="M43" s="49" t="s">
        <v>325</v>
      </c>
      <c r="N43" s="78" t="s">
        <v>229</v>
      </c>
      <c r="O43" s="64">
        <v>1</v>
      </c>
    </row>
    <row r="44" spans="1:16" ht="127.5" x14ac:dyDescent="0.2">
      <c r="A44" s="84" t="s">
        <v>565</v>
      </c>
      <c r="B44" s="96" t="s">
        <v>566</v>
      </c>
      <c r="C44" s="50"/>
      <c r="D44" s="64" t="s">
        <v>228</v>
      </c>
      <c r="E44" s="64">
        <v>0</v>
      </c>
      <c r="F44" s="67" t="s">
        <v>412</v>
      </c>
      <c r="G44" s="77" t="s">
        <v>275</v>
      </c>
      <c r="H44" s="50" t="s">
        <v>276</v>
      </c>
      <c r="I44" s="64" t="s">
        <v>255</v>
      </c>
      <c r="J44" s="64">
        <v>2</v>
      </c>
      <c r="K44" s="65" t="s">
        <v>467</v>
      </c>
      <c r="L44" s="50" t="s">
        <v>243</v>
      </c>
      <c r="M44" s="49" t="s">
        <v>326</v>
      </c>
      <c r="N44" s="78" t="s">
        <v>244</v>
      </c>
      <c r="O44" s="64">
        <v>1</v>
      </c>
    </row>
    <row r="45" spans="1:16" ht="51" x14ac:dyDescent="0.2">
      <c r="A45" s="84" t="s">
        <v>568</v>
      </c>
      <c r="B45" s="50"/>
      <c r="C45" s="50"/>
      <c r="D45" s="64"/>
      <c r="E45" s="64"/>
      <c r="F45" s="67" t="s">
        <v>413</v>
      </c>
      <c r="G45" s="77" t="s">
        <v>277</v>
      </c>
      <c r="H45" s="50" t="s">
        <v>278</v>
      </c>
      <c r="I45" s="64" t="s">
        <v>255</v>
      </c>
      <c r="J45" s="64">
        <v>0</v>
      </c>
      <c r="K45" s="65" t="s">
        <v>468</v>
      </c>
      <c r="L45" s="50" t="s">
        <v>245</v>
      </c>
      <c r="M45" s="49" t="s">
        <v>327</v>
      </c>
      <c r="N45" s="78" t="s">
        <v>229</v>
      </c>
      <c r="O45" s="64">
        <v>1</v>
      </c>
    </row>
    <row r="46" spans="1:16" ht="38.25" x14ac:dyDescent="0.2">
      <c r="A46" s="56" t="s">
        <v>570</v>
      </c>
      <c r="B46" s="57" t="s">
        <v>1469</v>
      </c>
      <c r="C46" s="80" t="s">
        <v>185</v>
      </c>
      <c r="D46" s="81" t="s">
        <v>0</v>
      </c>
      <c r="E46" s="63">
        <f>SUM(E47:E58)/4/12</f>
        <v>0.60416666666666663</v>
      </c>
      <c r="F46" s="60" t="s">
        <v>414</v>
      </c>
      <c r="G46" s="79" t="s">
        <v>160</v>
      </c>
      <c r="H46" s="62" t="s">
        <v>185</v>
      </c>
      <c r="I46" s="62" t="s">
        <v>0</v>
      </c>
      <c r="J46" s="59">
        <f>SUM(J48:J51)/6/3</f>
        <v>0.3888888888888889</v>
      </c>
      <c r="K46" s="65" t="s">
        <v>469</v>
      </c>
      <c r="L46" s="50" t="s">
        <v>169</v>
      </c>
      <c r="M46" s="49" t="s">
        <v>328</v>
      </c>
      <c r="N46" s="78" t="s">
        <v>229</v>
      </c>
      <c r="O46" s="64">
        <v>2</v>
      </c>
    </row>
    <row r="47" spans="1:16" ht="135" x14ac:dyDescent="0.2">
      <c r="A47" s="82" t="s">
        <v>374</v>
      </c>
      <c r="B47" s="100" t="s">
        <v>574</v>
      </c>
      <c r="C47" s="66"/>
      <c r="D47" s="64"/>
      <c r="E47" s="64">
        <v>2</v>
      </c>
      <c r="F47" s="67" t="s">
        <v>415</v>
      </c>
      <c r="G47" s="65" t="s">
        <v>165</v>
      </c>
      <c r="H47" s="71" t="s">
        <v>201</v>
      </c>
      <c r="I47" s="64" t="s">
        <v>260</v>
      </c>
      <c r="J47" s="64">
        <v>3</v>
      </c>
      <c r="K47" s="68" t="s">
        <v>470</v>
      </c>
      <c r="L47" s="69" t="s">
        <v>295</v>
      </c>
      <c r="M47" s="70" t="s">
        <v>185</v>
      </c>
      <c r="N47" s="70" t="s">
        <v>0</v>
      </c>
      <c r="O47" s="63">
        <f>SUM(O48:O50)/3/3</f>
        <v>0.33333333333333331</v>
      </c>
    </row>
    <row r="48" spans="1:16" ht="75" x14ac:dyDescent="0.2">
      <c r="A48" s="82" t="s">
        <v>375</v>
      </c>
      <c r="B48" s="100" t="s">
        <v>577</v>
      </c>
      <c r="C48" s="66"/>
      <c r="D48" s="64"/>
      <c r="E48" s="64">
        <v>2</v>
      </c>
      <c r="F48" s="67" t="s">
        <v>416</v>
      </c>
      <c r="G48" s="50" t="s">
        <v>282</v>
      </c>
      <c r="H48" s="50" t="s">
        <v>259</v>
      </c>
      <c r="I48" s="64" t="s">
        <v>260</v>
      </c>
      <c r="J48" s="64">
        <v>2</v>
      </c>
      <c r="K48" s="65" t="s">
        <v>471</v>
      </c>
      <c r="L48" s="65" t="s">
        <v>182</v>
      </c>
      <c r="M48" s="49" t="s">
        <v>329</v>
      </c>
      <c r="N48" s="64" t="s">
        <v>280</v>
      </c>
      <c r="O48" s="64">
        <v>1</v>
      </c>
    </row>
    <row r="49" spans="1:15" ht="38.25" x14ac:dyDescent="0.2">
      <c r="A49" s="84" t="s">
        <v>376</v>
      </c>
      <c r="B49" s="100" t="s">
        <v>580</v>
      </c>
      <c r="C49" s="50"/>
      <c r="D49" s="64"/>
      <c r="E49" s="64">
        <v>2</v>
      </c>
      <c r="F49" s="67" t="s">
        <v>417</v>
      </c>
      <c r="G49" s="50" t="s">
        <v>261</v>
      </c>
      <c r="H49" s="71" t="s">
        <v>205</v>
      </c>
      <c r="I49" s="64" t="s">
        <v>260</v>
      </c>
      <c r="J49" s="64">
        <v>2</v>
      </c>
      <c r="K49" s="65" t="s">
        <v>472</v>
      </c>
      <c r="L49" s="65" t="s">
        <v>183</v>
      </c>
      <c r="M49" s="49" t="s">
        <v>330</v>
      </c>
      <c r="N49" s="64" t="s">
        <v>280</v>
      </c>
      <c r="O49" s="64">
        <v>1</v>
      </c>
    </row>
    <row r="50" spans="1:15" ht="51" x14ac:dyDescent="0.2">
      <c r="A50" s="84" t="s">
        <v>565</v>
      </c>
      <c r="B50" s="100" t="s">
        <v>582</v>
      </c>
      <c r="C50" s="50"/>
      <c r="D50" s="64"/>
      <c r="E50" s="64">
        <v>3</v>
      </c>
      <c r="F50" s="67" t="s">
        <v>418</v>
      </c>
      <c r="G50" s="76" t="s">
        <v>262</v>
      </c>
      <c r="H50" s="71" t="s">
        <v>206</v>
      </c>
      <c r="I50" s="64" t="s">
        <v>260</v>
      </c>
      <c r="J50" s="64">
        <v>2</v>
      </c>
      <c r="K50" s="65" t="s">
        <v>473</v>
      </c>
      <c r="L50" s="65" t="s">
        <v>184</v>
      </c>
      <c r="M50" s="49" t="s">
        <v>331</v>
      </c>
      <c r="N50" s="64" t="s">
        <v>280</v>
      </c>
      <c r="O50" s="64">
        <v>1</v>
      </c>
    </row>
    <row r="51" spans="1:15" ht="25.5" x14ac:dyDescent="0.2">
      <c r="A51" s="84" t="s">
        <v>568</v>
      </c>
      <c r="B51" s="100" t="s">
        <v>584</v>
      </c>
      <c r="C51" s="50"/>
      <c r="D51" s="64"/>
      <c r="E51" s="64">
        <v>2</v>
      </c>
      <c r="F51" s="65" t="s">
        <v>419</v>
      </c>
      <c r="G51" s="50" t="s">
        <v>292</v>
      </c>
      <c r="H51" s="71" t="s">
        <v>263</v>
      </c>
      <c r="I51" s="64" t="s">
        <v>260</v>
      </c>
      <c r="J51" s="64">
        <v>1</v>
      </c>
      <c r="K51" s="68" t="s">
        <v>474</v>
      </c>
      <c r="L51" s="69" t="s">
        <v>283</v>
      </c>
      <c r="M51" s="70" t="s">
        <v>185</v>
      </c>
      <c r="N51" s="70" t="s">
        <v>0</v>
      </c>
      <c r="O51" s="63">
        <f>SUM(O52:O55)/4/3</f>
        <v>0.375</v>
      </c>
    </row>
    <row r="52" spans="1:15" ht="51" x14ac:dyDescent="0.2">
      <c r="A52" s="84" t="s">
        <v>569</v>
      </c>
      <c r="B52" s="100" t="s">
        <v>587</v>
      </c>
      <c r="C52" s="50"/>
      <c r="D52" s="64"/>
      <c r="E52" s="40">
        <v>2</v>
      </c>
      <c r="F52" s="60" t="s">
        <v>420</v>
      </c>
      <c r="G52" s="79" t="s">
        <v>163</v>
      </c>
      <c r="H52" s="62" t="s">
        <v>185</v>
      </c>
      <c r="I52" s="62" t="s">
        <v>0</v>
      </c>
      <c r="J52" s="63">
        <f>SUM(J53:J56)/4/3</f>
        <v>0.25</v>
      </c>
      <c r="K52" s="65" t="s">
        <v>475</v>
      </c>
      <c r="L52" s="49" t="s">
        <v>287</v>
      </c>
      <c r="M52" s="49" t="s">
        <v>332</v>
      </c>
      <c r="N52" s="64"/>
      <c r="O52" s="64">
        <v>1</v>
      </c>
    </row>
    <row r="53" spans="1:15" ht="38.25" x14ac:dyDescent="0.2">
      <c r="A53" s="84" t="s">
        <v>880</v>
      </c>
      <c r="B53" s="100" t="s">
        <v>589</v>
      </c>
      <c r="C53" s="50"/>
      <c r="D53" s="64"/>
      <c r="E53" s="64">
        <v>2</v>
      </c>
      <c r="F53" s="67" t="s">
        <v>421</v>
      </c>
      <c r="G53" s="50" t="s">
        <v>208</v>
      </c>
      <c r="H53" s="66" t="s">
        <v>212</v>
      </c>
      <c r="I53" s="64" t="s">
        <v>255</v>
      </c>
      <c r="J53" s="64">
        <v>1</v>
      </c>
      <c r="K53" s="65" t="s">
        <v>476</v>
      </c>
      <c r="L53" s="49" t="s">
        <v>285</v>
      </c>
      <c r="M53" s="49" t="s">
        <v>333</v>
      </c>
      <c r="N53" s="64"/>
      <c r="O53" s="64">
        <v>1</v>
      </c>
    </row>
    <row r="54" spans="1:15" ht="51" x14ac:dyDescent="0.2">
      <c r="A54" s="84" t="s">
        <v>1470</v>
      </c>
      <c r="B54" s="100" t="s">
        <v>591</v>
      </c>
      <c r="C54" s="50"/>
      <c r="D54" s="64"/>
      <c r="E54" s="64">
        <v>3</v>
      </c>
      <c r="F54" s="67" t="s">
        <v>422</v>
      </c>
      <c r="G54" s="50" t="s">
        <v>209</v>
      </c>
      <c r="H54" s="66" t="s">
        <v>213</v>
      </c>
      <c r="I54" s="64" t="s">
        <v>255</v>
      </c>
      <c r="J54" s="64">
        <v>1</v>
      </c>
      <c r="K54" s="65" t="s">
        <v>477</v>
      </c>
      <c r="L54" s="49" t="s">
        <v>286</v>
      </c>
      <c r="M54" s="49" t="s">
        <v>334</v>
      </c>
      <c r="N54" s="64"/>
      <c r="O54" s="64">
        <v>1</v>
      </c>
    </row>
    <row r="55" spans="1:15" ht="45" x14ac:dyDescent="0.2">
      <c r="A55" s="84" t="s">
        <v>1471</v>
      </c>
      <c r="B55" s="100" t="s">
        <v>594</v>
      </c>
      <c r="C55" s="50"/>
      <c r="D55" s="64"/>
      <c r="E55" s="64">
        <v>3</v>
      </c>
      <c r="F55" s="67" t="s">
        <v>423</v>
      </c>
      <c r="G55" s="76" t="s">
        <v>210</v>
      </c>
      <c r="H55" s="66" t="s">
        <v>214</v>
      </c>
      <c r="I55" s="64" t="s">
        <v>255</v>
      </c>
      <c r="J55" s="64">
        <v>0</v>
      </c>
      <c r="K55" s="65" t="s">
        <v>478</v>
      </c>
      <c r="L55" s="50" t="s">
        <v>284</v>
      </c>
      <c r="M55" s="49" t="s">
        <v>335</v>
      </c>
      <c r="N55" s="64"/>
      <c r="O55" s="64">
        <v>1.5</v>
      </c>
    </row>
    <row r="56" spans="1:15" ht="45" x14ac:dyDescent="0.2">
      <c r="A56" s="84" t="s">
        <v>1472</v>
      </c>
      <c r="B56" s="100" t="s">
        <v>596</v>
      </c>
      <c r="C56" s="50"/>
      <c r="D56" s="64"/>
      <c r="E56" s="64">
        <v>3</v>
      </c>
      <c r="F56" s="67" t="s">
        <v>424</v>
      </c>
      <c r="G56" s="77" t="s">
        <v>211</v>
      </c>
      <c r="H56" s="66" t="s">
        <v>215</v>
      </c>
      <c r="I56" s="64" t="s">
        <v>255</v>
      </c>
      <c r="J56" s="64">
        <v>1</v>
      </c>
      <c r="K56" s="68" t="s">
        <v>479</v>
      </c>
      <c r="L56" s="69" t="s">
        <v>288</v>
      </c>
      <c r="M56" s="70" t="s">
        <v>185</v>
      </c>
      <c r="N56" s="70" t="s">
        <v>0</v>
      </c>
      <c r="O56" s="63">
        <f>SUM(O57:O59)/3/3</f>
        <v>0.33333333333333331</v>
      </c>
    </row>
    <row r="57" spans="1:15" ht="38.25" x14ac:dyDescent="0.2">
      <c r="A57" s="84" t="s">
        <v>1473</v>
      </c>
      <c r="B57" s="100" t="s">
        <v>598</v>
      </c>
      <c r="C57" s="50"/>
      <c r="D57" s="64"/>
      <c r="E57" s="64">
        <v>3</v>
      </c>
      <c r="F57" s="60" t="s">
        <v>425</v>
      </c>
      <c r="G57" s="79" t="s">
        <v>10</v>
      </c>
      <c r="H57" s="62" t="s">
        <v>185</v>
      </c>
      <c r="I57" s="62" t="s">
        <v>0</v>
      </c>
      <c r="J57" s="59">
        <f>SUM(J58:J63)/6/3</f>
        <v>0.72222222222222221</v>
      </c>
      <c r="K57" s="65" t="s">
        <v>480</v>
      </c>
      <c r="L57" s="50" t="s">
        <v>290</v>
      </c>
      <c r="M57" s="49" t="s">
        <v>336</v>
      </c>
      <c r="N57" s="64" t="s">
        <v>229</v>
      </c>
      <c r="O57" s="64">
        <v>1</v>
      </c>
    </row>
    <row r="58" spans="1:15" ht="135" x14ac:dyDescent="0.2">
      <c r="A58" s="84" t="s">
        <v>1474</v>
      </c>
      <c r="B58" s="100" t="s">
        <v>600</v>
      </c>
      <c r="C58" s="50"/>
      <c r="D58" s="64"/>
      <c r="E58" s="85">
        <v>2</v>
      </c>
      <c r="F58" s="67" t="s">
        <v>426</v>
      </c>
      <c r="G58" s="50" t="s">
        <v>216</v>
      </c>
      <c r="H58" s="71" t="s">
        <v>222</v>
      </c>
      <c r="I58" s="64" t="s">
        <v>255</v>
      </c>
      <c r="J58" s="64">
        <v>2</v>
      </c>
      <c r="K58" s="65" t="s">
        <v>481</v>
      </c>
      <c r="L58" s="50" t="s">
        <v>289</v>
      </c>
      <c r="M58" s="49" t="s">
        <v>337</v>
      </c>
      <c r="N58" s="64" t="s">
        <v>229</v>
      </c>
      <c r="O58" s="64">
        <v>1</v>
      </c>
    </row>
    <row r="59" spans="1:15" ht="102" x14ac:dyDescent="0.2">
      <c r="A59" s="56" t="s">
        <v>604</v>
      </c>
      <c r="B59" s="57" t="s">
        <v>1475</v>
      </c>
      <c r="C59" s="80" t="s">
        <v>185</v>
      </c>
      <c r="D59" s="81" t="s">
        <v>0</v>
      </c>
      <c r="E59" s="63">
        <f>SUM(E60:E66)/4/7</f>
        <v>0.42857142857142855</v>
      </c>
      <c r="F59" s="67" t="s">
        <v>427</v>
      </c>
      <c r="G59" s="50" t="s">
        <v>217</v>
      </c>
      <c r="H59" s="71" t="s">
        <v>223</v>
      </c>
      <c r="I59" s="64" t="s">
        <v>264</v>
      </c>
      <c r="J59" s="64">
        <v>2</v>
      </c>
      <c r="K59" s="65" t="s">
        <v>482</v>
      </c>
      <c r="L59" s="50" t="s">
        <v>291</v>
      </c>
      <c r="M59" s="49" t="s">
        <v>338</v>
      </c>
      <c r="N59" s="64" t="s">
        <v>229</v>
      </c>
      <c r="O59" s="64">
        <v>1</v>
      </c>
    </row>
    <row r="60" spans="1:15" ht="38.25" x14ac:dyDescent="0.2">
      <c r="A60" s="82" t="s">
        <v>374</v>
      </c>
      <c r="B60" s="96" t="s">
        <v>608</v>
      </c>
      <c r="C60" s="66"/>
      <c r="D60" s="64"/>
      <c r="E60" s="85">
        <v>2</v>
      </c>
      <c r="F60" s="67" t="s">
        <v>428</v>
      </c>
      <c r="G60" s="76" t="s">
        <v>218</v>
      </c>
      <c r="H60" s="71" t="s">
        <v>224</v>
      </c>
      <c r="I60" s="64" t="s">
        <v>265</v>
      </c>
      <c r="J60" s="64">
        <v>2</v>
      </c>
    </row>
    <row r="61" spans="1:15" ht="42.75" x14ac:dyDescent="0.2">
      <c r="A61" s="82" t="s">
        <v>375</v>
      </c>
      <c r="B61" s="96" t="s">
        <v>611</v>
      </c>
      <c r="C61" s="66"/>
      <c r="D61" s="64"/>
      <c r="E61" s="43">
        <v>2</v>
      </c>
      <c r="F61" s="51" t="s">
        <v>429</v>
      </c>
      <c r="G61" s="52" t="s">
        <v>219</v>
      </c>
      <c r="H61" s="53" t="s">
        <v>225</v>
      </c>
      <c r="I61" s="54" t="s">
        <v>264</v>
      </c>
      <c r="J61" s="54">
        <v>3</v>
      </c>
    </row>
    <row r="62" spans="1:15" ht="63.75" x14ac:dyDescent="0.2">
      <c r="A62" s="84" t="s">
        <v>376</v>
      </c>
      <c r="B62" s="96" t="s">
        <v>613</v>
      </c>
      <c r="C62" s="50"/>
      <c r="D62" s="64"/>
      <c r="E62" s="43">
        <v>2</v>
      </c>
      <c r="F62" s="41" t="s">
        <v>430</v>
      </c>
      <c r="G62" s="44" t="s">
        <v>220</v>
      </c>
      <c r="H62" s="47" t="s">
        <v>226</v>
      </c>
      <c r="I62" s="42" t="s">
        <v>249</v>
      </c>
      <c r="J62" s="42">
        <v>2</v>
      </c>
    </row>
    <row r="63" spans="1:15" ht="114.75" x14ac:dyDescent="0.2">
      <c r="A63" s="84" t="s">
        <v>565</v>
      </c>
      <c r="B63" s="96" t="s">
        <v>616</v>
      </c>
      <c r="C63" s="50"/>
      <c r="D63" s="64"/>
      <c r="E63" s="43">
        <v>0</v>
      </c>
      <c r="F63" s="41" t="s">
        <v>431</v>
      </c>
      <c r="G63" s="44" t="s">
        <v>221</v>
      </c>
      <c r="H63" s="47" t="s">
        <v>227</v>
      </c>
      <c r="I63" s="42" t="s">
        <v>264</v>
      </c>
      <c r="J63" s="42">
        <v>2</v>
      </c>
    </row>
    <row r="64" spans="1:15" ht="25.5" x14ac:dyDescent="0.2">
      <c r="A64" s="84" t="s">
        <v>568</v>
      </c>
      <c r="B64" s="96" t="s">
        <v>618</v>
      </c>
      <c r="C64" s="50"/>
      <c r="D64" s="64"/>
      <c r="E64" s="43">
        <v>2</v>
      </c>
    </row>
    <row r="65" spans="1:6" ht="25.5" x14ac:dyDescent="0.2">
      <c r="A65" s="84" t="s">
        <v>569</v>
      </c>
      <c r="B65" s="96" t="s">
        <v>621</v>
      </c>
      <c r="C65" s="50"/>
      <c r="D65" s="64"/>
      <c r="E65" s="43">
        <v>2</v>
      </c>
    </row>
    <row r="66" spans="1:6" ht="51" x14ac:dyDescent="0.2">
      <c r="A66" s="84" t="s">
        <v>880</v>
      </c>
      <c r="B66" s="102" t="s">
        <v>624</v>
      </c>
      <c r="C66" s="50"/>
      <c r="D66" s="64"/>
      <c r="E66" s="43">
        <v>2</v>
      </c>
    </row>
    <row r="78" spans="1:6" x14ac:dyDescent="0.2">
      <c r="F78" s="48"/>
    </row>
  </sheetData>
  <mergeCells count="1">
    <mergeCell ref="A1:O1"/>
  </mergeCells>
  <phoneticPr fontId="14" type="noConversion"/>
  <hyperlinks>
    <hyperlink ref="B2" location="'M1'!A1" display="Manage Strategy" xr:uid="{1C98C4C2-8A06-1F4C-9353-9C0A1B230345}"/>
    <hyperlink ref="B23" location="'EM4 '!A1" display="Manage Innovation" xr:uid="{3F5A50DC-5D26-DE4C-B742-0BA9634400FD}"/>
    <hyperlink ref="L2" location="'E1'!A1" display="Manage Financial Transactions" xr:uid="{509AC884-0F0B-014D-83E1-900ECEA655B2}"/>
    <hyperlink ref="L13" location="'E2'!A1" display="Manage ICT" xr:uid="{49CC7F7C-817C-BE43-8901-328E706114C1}"/>
    <hyperlink ref="L17" location="'E3'!A1" display="Manage Supply Chain" xr:uid="{85DCEEA6-200E-9E46-ADDC-3B6AC9999D3D}"/>
    <hyperlink ref="L39" location="'E6'!A1" display="Manage Facilities" xr:uid="{465C4DCE-4265-1442-AE5F-7AF206124E4A}"/>
    <hyperlink ref="L26" location="'E3'!A1" display="Manage Supply Chain" xr:uid="{4FA2DACD-82B0-2447-B53C-CB93E80FDAD7}"/>
    <hyperlink ref="L47" location="'E6'!A1" display="Manage Facilities" xr:uid="{70337EF4-0795-BB4A-AA6D-EE47491882F0}"/>
    <hyperlink ref="G10" location="'CP2'!A1" display="Manage  Information &amp; Technology" xr:uid="{DFC3EB76-0B4D-AA43-925F-F5E7DC45038E}"/>
    <hyperlink ref="G16" location="'CP3'!A1" display="Manage Training" xr:uid="{5AE01CFF-C434-EE48-AB60-023B2B966CF1}"/>
    <hyperlink ref="G20" location="'CP4'!A1" display="Manage Customer Solutions" xr:uid="{B355FE93-92C1-8146-BD73-0ED4F93B3675}"/>
    <hyperlink ref="G29" location="'CP5'!A1" display="Develop Content &amp; Services" xr:uid="{F61410FF-5586-FA4A-9151-253F261BAB3E}"/>
    <hyperlink ref="G46" location="'CP6'!A1" display="Deliver Content &amp; Services" xr:uid="{A6EB6A36-D4F0-9842-A62F-37950AF6A5A7}"/>
    <hyperlink ref="G2" location="'CP2'!A1" display="Manage  Information &amp; Technology" xr:uid="{A6200A65-EFD2-0D4F-9ED3-FC90B139E567}"/>
    <hyperlink ref="G52" location="'CP6'!A1" display="Deliver Content &amp; Services" xr:uid="{8E6A320D-8BA1-CC4D-B2A9-F5FAB0277150}"/>
    <hyperlink ref="G57" location="'CP6'!A1" display="Deliver Content &amp; Services" xr:uid="{096DDD76-B6A7-E64E-8730-2DA9FA07F871}"/>
    <hyperlink ref="G42" r:id="rId1" location="'CP6'!A1" display="applewebdata://FA8E511C-5179-4993-B31B-B25C1CD2C8C2/ - 'CP6'!A1" xr:uid="{B6973AC7-1D56-AC44-9C4D-579216A97BD2}"/>
    <hyperlink ref="L51" location="'E6'!A1" display="Manage Facilities" xr:uid="{26FB90AC-B348-DA4F-9A30-99C9B553CAE4}"/>
    <hyperlink ref="L56" location="'E6'!A1" display="Manage Facilities" xr:uid="{B74F053F-C1FD-D541-85DD-C9F245B7543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0F78-AB93-2B41-96BE-B7C1705914CD}">
  <dimension ref="A1:K158"/>
  <sheetViews>
    <sheetView showGridLines="0" zoomScale="58" workbookViewId="0">
      <pane xSplit="6" ySplit="2" topLeftCell="G3" activePane="bottomRight" state="frozen"/>
      <selection activeCell="G3" sqref="G3:H7"/>
      <selection pane="topRight" activeCell="G3" sqref="G3:H7"/>
      <selection pane="bottomLeft" activeCell="G3" sqref="G3:H7"/>
      <selection pane="bottomRight" activeCell="G36" sqref="G36:G38"/>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32.28515625" style="15" customWidth="1"/>
    <col min="10" max="10" width="9.7109375" style="15" customWidth="1"/>
    <col min="11" max="11" width="45.140625" style="3" customWidth="1"/>
    <col min="12" max="48" width="12" style="14" customWidth="1"/>
    <col min="49" max="256" width="13.28515625" style="14"/>
    <col min="257" max="257" width="40.28515625" style="14" customWidth="1"/>
    <col min="258" max="258" width="48.85546875" style="14" customWidth="1"/>
    <col min="259" max="259" width="53.28515625" style="14" customWidth="1"/>
    <col min="260" max="260" width="56.28515625" style="14" customWidth="1"/>
    <col min="261" max="304" width="12" style="14" customWidth="1"/>
    <col min="305" max="512" width="13.28515625" style="14"/>
    <col min="513" max="513" width="40.28515625" style="14" customWidth="1"/>
    <col min="514" max="514" width="48.85546875" style="14" customWidth="1"/>
    <col min="515" max="515" width="53.28515625" style="14" customWidth="1"/>
    <col min="516" max="516" width="56.28515625" style="14" customWidth="1"/>
    <col min="517" max="560" width="12" style="14" customWidth="1"/>
    <col min="561" max="768" width="13.28515625" style="14"/>
    <col min="769" max="769" width="40.28515625" style="14" customWidth="1"/>
    <col min="770" max="770" width="48.85546875" style="14" customWidth="1"/>
    <col min="771" max="771" width="53.28515625" style="14" customWidth="1"/>
    <col min="772" max="772" width="56.28515625" style="14" customWidth="1"/>
    <col min="773" max="816" width="12" style="14" customWidth="1"/>
    <col min="817" max="1024" width="13.28515625" style="14"/>
    <col min="1025" max="1025" width="40.28515625" style="14" customWidth="1"/>
    <col min="1026" max="1026" width="48.85546875" style="14" customWidth="1"/>
    <col min="1027" max="1027" width="53.28515625" style="14" customWidth="1"/>
    <col min="1028" max="1028" width="56.28515625" style="14" customWidth="1"/>
    <col min="1029" max="1072" width="12" style="14" customWidth="1"/>
    <col min="1073" max="1280" width="13.28515625" style="14"/>
    <col min="1281" max="1281" width="40.28515625" style="14" customWidth="1"/>
    <col min="1282" max="1282" width="48.85546875" style="14" customWidth="1"/>
    <col min="1283" max="1283" width="53.28515625" style="14" customWidth="1"/>
    <col min="1284" max="1284" width="56.28515625" style="14" customWidth="1"/>
    <col min="1285" max="1328" width="12" style="14" customWidth="1"/>
    <col min="1329" max="1536" width="13.28515625" style="14"/>
    <col min="1537" max="1537" width="40.28515625" style="14" customWidth="1"/>
    <col min="1538" max="1538" width="48.85546875" style="14" customWidth="1"/>
    <col min="1539" max="1539" width="53.28515625" style="14" customWidth="1"/>
    <col min="1540" max="1540" width="56.28515625" style="14" customWidth="1"/>
    <col min="1541" max="1584" width="12" style="14" customWidth="1"/>
    <col min="1585" max="1792" width="13.28515625" style="14"/>
    <col min="1793" max="1793" width="40.28515625" style="14" customWidth="1"/>
    <col min="1794" max="1794" width="48.85546875" style="14" customWidth="1"/>
    <col min="1795" max="1795" width="53.28515625" style="14" customWidth="1"/>
    <col min="1796" max="1796" width="56.28515625" style="14" customWidth="1"/>
    <col min="1797" max="1840" width="12" style="14" customWidth="1"/>
    <col min="1841" max="2048" width="13.28515625" style="14"/>
    <col min="2049" max="2049" width="40.28515625" style="14" customWidth="1"/>
    <col min="2050" max="2050" width="48.85546875" style="14" customWidth="1"/>
    <col min="2051" max="2051" width="53.28515625" style="14" customWidth="1"/>
    <col min="2052" max="2052" width="56.28515625" style="14" customWidth="1"/>
    <col min="2053" max="2096" width="12" style="14" customWidth="1"/>
    <col min="2097" max="2304" width="13.28515625" style="14"/>
    <col min="2305" max="2305" width="40.28515625" style="14" customWidth="1"/>
    <col min="2306" max="2306" width="48.85546875" style="14" customWidth="1"/>
    <col min="2307" max="2307" width="53.28515625" style="14" customWidth="1"/>
    <col min="2308" max="2308" width="56.28515625" style="14" customWidth="1"/>
    <col min="2309" max="2352" width="12" style="14" customWidth="1"/>
    <col min="2353" max="2560" width="13.28515625" style="14"/>
    <col min="2561" max="2561" width="40.28515625" style="14" customWidth="1"/>
    <col min="2562" max="2562" width="48.85546875" style="14" customWidth="1"/>
    <col min="2563" max="2563" width="53.28515625" style="14" customWidth="1"/>
    <col min="2564" max="2564" width="56.28515625" style="14" customWidth="1"/>
    <col min="2565" max="2608" width="12" style="14" customWidth="1"/>
    <col min="2609" max="2816" width="13.28515625" style="14"/>
    <col min="2817" max="2817" width="40.28515625" style="14" customWidth="1"/>
    <col min="2818" max="2818" width="48.85546875" style="14" customWidth="1"/>
    <col min="2819" max="2819" width="53.28515625" style="14" customWidth="1"/>
    <col min="2820" max="2820" width="56.28515625" style="14" customWidth="1"/>
    <col min="2821" max="2864" width="12" style="14" customWidth="1"/>
    <col min="2865" max="3072" width="13.28515625" style="14"/>
    <col min="3073" max="3073" width="40.28515625" style="14" customWidth="1"/>
    <col min="3074" max="3074" width="48.85546875" style="14" customWidth="1"/>
    <col min="3075" max="3075" width="53.28515625" style="14" customWidth="1"/>
    <col min="3076" max="3076" width="56.28515625" style="14" customWidth="1"/>
    <col min="3077" max="3120" width="12" style="14" customWidth="1"/>
    <col min="3121" max="3328" width="13.28515625" style="14"/>
    <col min="3329" max="3329" width="40.28515625" style="14" customWidth="1"/>
    <col min="3330" max="3330" width="48.85546875" style="14" customWidth="1"/>
    <col min="3331" max="3331" width="53.28515625" style="14" customWidth="1"/>
    <col min="3332" max="3332" width="56.28515625" style="14" customWidth="1"/>
    <col min="3333" max="3376" width="12" style="14" customWidth="1"/>
    <col min="3377" max="3584" width="13.28515625" style="14"/>
    <col min="3585" max="3585" width="40.28515625" style="14" customWidth="1"/>
    <col min="3586" max="3586" width="48.85546875" style="14" customWidth="1"/>
    <col min="3587" max="3587" width="53.28515625" style="14" customWidth="1"/>
    <col min="3588" max="3588" width="56.28515625" style="14" customWidth="1"/>
    <col min="3589" max="3632" width="12" style="14" customWidth="1"/>
    <col min="3633" max="3840" width="13.28515625" style="14"/>
    <col min="3841" max="3841" width="40.28515625" style="14" customWidth="1"/>
    <col min="3842" max="3842" width="48.85546875" style="14" customWidth="1"/>
    <col min="3843" max="3843" width="53.28515625" style="14" customWidth="1"/>
    <col min="3844" max="3844" width="56.28515625" style="14" customWidth="1"/>
    <col min="3845" max="3888" width="12" style="14" customWidth="1"/>
    <col min="3889" max="4096" width="13.28515625" style="14"/>
    <col min="4097" max="4097" width="40.28515625" style="14" customWidth="1"/>
    <col min="4098" max="4098" width="48.85546875" style="14" customWidth="1"/>
    <col min="4099" max="4099" width="53.28515625" style="14" customWidth="1"/>
    <col min="4100" max="4100" width="56.28515625" style="14" customWidth="1"/>
    <col min="4101" max="4144" width="12" style="14" customWidth="1"/>
    <col min="4145" max="4352" width="13.28515625" style="14"/>
    <col min="4353" max="4353" width="40.28515625" style="14" customWidth="1"/>
    <col min="4354" max="4354" width="48.85546875" style="14" customWidth="1"/>
    <col min="4355" max="4355" width="53.28515625" style="14" customWidth="1"/>
    <col min="4356" max="4356" width="56.28515625" style="14" customWidth="1"/>
    <col min="4357" max="4400" width="12" style="14" customWidth="1"/>
    <col min="4401" max="4608" width="13.28515625" style="14"/>
    <col min="4609" max="4609" width="40.28515625" style="14" customWidth="1"/>
    <col min="4610" max="4610" width="48.85546875" style="14" customWidth="1"/>
    <col min="4611" max="4611" width="53.28515625" style="14" customWidth="1"/>
    <col min="4612" max="4612" width="56.28515625" style="14" customWidth="1"/>
    <col min="4613" max="4656" width="12" style="14" customWidth="1"/>
    <col min="4657" max="4864" width="13.28515625" style="14"/>
    <col min="4865" max="4865" width="40.28515625" style="14" customWidth="1"/>
    <col min="4866" max="4866" width="48.85546875" style="14" customWidth="1"/>
    <col min="4867" max="4867" width="53.28515625" style="14" customWidth="1"/>
    <col min="4868" max="4868" width="56.28515625" style="14" customWidth="1"/>
    <col min="4869" max="4912" width="12" style="14" customWidth="1"/>
    <col min="4913" max="5120" width="13.28515625" style="14"/>
    <col min="5121" max="5121" width="40.28515625" style="14" customWidth="1"/>
    <col min="5122" max="5122" width="48.85546875" style="14" customWidth="1"/>
    <col min="5123" max="5123" width="53.28515625" style="14" customWidth="1"/>
    <col min="5124" max="5124" width="56.28515625" style="14" customWidth="1"/>
    <col min="5125" max="5168" width="12" style="14" customWidth="1"/>
    <col min="5169" max="5376" width="13.28515625" style="14"/>
    <col min="5377" max="5377" width="40.28515625" style="14" customWidth="1"/>
    <col min="5378" max="5378" width="48.85546875" style="14" customWidth="1"/>
    <col min="5379" max="5379" width="53.28515625" style="14" customWidth="1"/>
    <col min="5380" max="5380" width="56.28515625" style="14" customWidth="1"/>
    <col min="5381" max="5424" width="12" style="14" customWidth="1"/>
    <col min="5425" max="5632" width="13.28515625" style="14"/>
    <col min="5633" max="5633" width="40.28515625" style="14" customWidth="1"/>
    <col min="5634" max="5634" width="48.85546875" style="14" customWidth="1"/>
    <col min="5635" max="5635" width="53.28515625" style="14" customWidth="1"/>
    <col min="5636" max="5636" width="56.28515625" style="14" customWidth="1"/>
    <col min="5637" max="5680" width="12" style="14" customWidth="1"/>
    <col min="5681" max="5888" width="13.28515625" style="14"/>
    <col min="5889" max="5889" width="40.28515625" style="14" customWidth="1"/>
    <col min="5890" max="5890" width="48.85546875" style="14" customWidth="1"/>
    <col min="5891" max="5891" width="53.28515625" style="14" customWidth="1"/>
    <col min="5892" max="5892" width="56.28515625" style="14" customWidth="1"/>
    <col min="5893" max="5936" width="12" style="14" customWidth="1"/>
    <col min="5937" max="6144" width="13.28515625" style="14"/>
    <col min="6145" max="6145" width="40.28515625" style="14" customWidth="1"/>
    <col min="6146" max="6146" width="48.85546875" style="14" customWidth="1"/>
    <col min="6147" max="6147" width="53.28515625" style="14" customWidth="1"/>
    <col min="6148" max="6148" width="56.28515625" style="14" customWidth="1"/>
    <col min="6149" max="6192" width="12" style="14" customWidth="1"/>
    <col min="6193" max="6400" width="13.28515625" style="14"/>
    <col min="6401" max="6401" width="40.28515625" style="14" customWidth="1"/>
    <col min="6402" max="6402" width="48.85546875" style="14" customWidth="1"/>
    <col min="6403" max="6403" width="53.28515625" style="14" customWidth="1"/>
    <col min="6404" max="6404" width="56.28515625" style="14" customWidth="1"/>
    <col min="6405" max="6448" width="12" style="14" customWidth="1"/>
    <col min="6449" max="6656" width="13.28515625" style="14"/>
    <col min="6657" max="6657" width="40.28515625" style="14" customWidth="1"/>
    <col min="6658" max="6658" width="48.85546875" style="14" customWidth="1"/>
    <col min="6659" max="6659" width="53.28515625" style="14" customWidth="1"/>
    <col min="6660" max="6660" width="56.28515625" style="14" customWidth="1"/>
    <col min="6661" max="6704" width="12" style="14" customWidth="1"/>
    <col min="6705" max="6912" width="13.28515625" style="14"/>
    <col min="6913" max="6913" width="40.28515625" style="14" customWidth="1"/>
    <col min="6914" max="6914" width="48.85546875" style="14" customWidth="1"/>
    <col min="6915" max="6915" width="53.28515625" style="14" customWidth="1"/>
    <col min="6916" max="6916" width="56.28515625" style="14" customWidth="1"/>
    <col min="6917" max="6960" width="12" style="14" customWidth="1"/>
    <col min="6961" max="7168" width="13.28515625" style="14"/>
    <col min="7169" max="7169" width="40.28515625" style="14" customWidth="1"/>
    <col min="7170" max="7170" width="48.85546875" style="14" customWidth="1"/>
    <col min="7171" max="7171" width="53.28515625" style="14" customWidth="1"/>
    <col min="7172" max="7172" width="56.28515625" style="14" customWidth="1"/>
    <col min="7173" max="7216" width="12" style="14" customWidth="1"/>
    <col min="7217" max="7424" width="13.28515625" style="14"/>
    <col min="7425" max="7425" width="40.28515625" style="14" customWidth="1"/>
    <col min="7426" max="7426" width="48.85546875" style="14" customWidth="1"/>
    <col min="7427" max="7427" width="53.28515625" style="14" customWidth="1"/>
    <col min="7428" max="7428" width="56.28515625" style="14" customWidth="1"/>
    <col min="7429" max="7472" width="12" style="14" customWidth="1"/>
    <col min="7473" max="7680" width="13.28515625" style="14"/>
    <col min="7681" max="7681" width="40.28515625" style="14" customWidth="1"/>
    <col min="7682" max="7682" width="48.85546875" style="14" customWidth="1"/>
    <col min="7683" max="7683" width="53.28515625" style="14" customWidth="1"/>
    <col min="7684" max="7684" width="56.28515625" style="14" customWidth="1"/>
    <col min="7685" max="7728" width="12" style="14" customWidth="1"/>
    <col min="7729" max="7936" width="13.28515625" style="14"/>
    <col min="7937" max="7937" width="40.28515625" style="14" customWidth="1"/>
    <col min="7938" max="7938" width="48.85546875" style="14" customWidth="1"/>
    <col min="7939" max="7939" width="53.28515625" style="14" customWidth="1"/>
    <col min="7940" max="7940" width="56.28515625" style="14" customWidth="1"/>
    <col min="7941" max="7984" width="12" style="14" customWidth="1"/>
    <col min="7985" max="8192" width="13.28515625" style="14"/>
    <col min="8193" max="8193" width="40.28515625" style="14" customWidth="1"/>
    <col min="8194" max="8194" width="48.85546875" style="14" customWidth="1"/>
    <col min="8195" max="8195" width="53.28515625" style="14" customWidth="1"/>
    <col min="8196" max="8196" width="56.28515625" style="14" customWidth="1"/>
    <col min="8197" max="8240" width="12" style="14" customWidth="1"/>
    <col min="8241" max="8448" width="13.28515625" style="14"/>
    <col min="8449" max="8449" width="40.28515625" style="14" customWidth="1"/>
    <col min="8450" max="8450" width="48.85546875" style="14" customWidth="1"/>
    <col min="8451" max="8451" width="53.28515625" style="14" customWidth="1"/>
    <col min="8452" max="8452" width="56.28515625" style="14" customWidth="1"/>
    <col min="8453" max="8496" width="12" style="14" customWidth="1"/>
    <col min="8497" max="8704" width="13.28515625" style="14"/>
    <col min="8705" max="8705" width="40.28515625" style="14" customWidth="1"/>
    <col min="8706" max="8706" width="48.85546875" style="14" customWidth="1"/>
    <col min="8707" max="8707" width="53.28515625" style="14" customWidth="1"/>
    <col min="8708" max="8708" width="56.28515625" style="14" customWidth="1"/>
    <col min="8709" max="8752" width="12" style="14" customWidth="1"/>
    <col min="8753" max="8960" width="13.28515625" style="14"/>
    <col min="8961" max="8961" width="40.28515625" style="14" customWidth="1"/>
    <col min="8962" max="8962" width="48.85546875" style="14" customWidth="1"/>
    <col min="8963" max="8963" width="53.28515625" style="14" customWidth="1"/>
    <col min="8964" max="8964" width="56.28515625" style="14" customWidth="1"/>
    <col min="8965" max="9008" width="12" style="14" customWidth="1"/>
    <col min="9009" max="9216" width="13.28515625" style="14"/>
    <col min="9217" max="9217" width="40.28515625" style="14" customWidth="1"/>
    <col min="9218" max="9218" width="48.85546875" style="14" customWidth="1"/>
    <col min="9219" max="9219" width="53.28515625" style="14" customWidth="1"/>
    <col min="9220" max="9220" width="56.28515625" style="14" customWidth="1"/>
    <col min="9221" max="9264" width="12" style="14" customWidth="1"/>
    <col min="9265" max="9472" width="13.28515625" style="14"/>
    <col min="9473" max="9473" width="40.28515625" style="14" customWidth="1"/>
    <col min="9474" max="9474" width="48.85546875" style="14" customWidth="1"/>
    <col min="9475" max="9475" width="53.28515625" style="14" customWidth="1"/>
    <col min="9476" max="9476" width="56.28515625" style="14" customWidth="1"/>
    <col min="9477" max="9520" width="12" style="14" customWidth="1"/>
    <col min="9521" max="9728" width="13.28515625" style="14"/>
    <col min="9729" max="9729" width="40.28515625" style="14" customWidth="1"/>
    <col min="9730" max="9730" width="48.85546875" style="14" customWidth="1"/>
    <col min="9731" max="9731" width="53.28515625" style="14" customWidth="1"/>
    <col min="9732" max="9732" width="56.28515625" style="14" customWidth="1"/>
    <col min="9733" max="9776" width="12" style="14" customWidth="1"/>
    <col min="9777" max="9984" width="13.28515625" style="14"/>
    <col min="9985" max="9985" width="40.28515625" style="14" customWidth="1"/>
    <col min="9986" max="9986" width="48.85546875" style="14" customWidth="1"/>
    <col min="9987" max="9987" width="53.28515625" style="14" customWidth="1"/>
    <col min="9988" max="9988" width="56.28515625" style="14" customWidth="1"/>
    <col min="9989" max="10032" width="12" style="14" customWidth="1"/>
    <col min="10033" max="10240" width="13.28515625" style="14"/>
    <col min="10241" max="10241" width="40.28515625" style="14" customWidth="1"/>
    <col min="10242" max="10242" width="48.85546875" style="14" customWidth="1"/>
    <col min="10243" max="10243" width="53.28515625" style="14" customWidth="1"/>
    <col min="10244" max="10244" width="56.28515625" style="14" customWidth="1"/>
    <col min="10245" max="10288" width="12" style="14" customWidth="1"/>
    <col min="10289" max="10496" width="13.28515625" style="14"/>
    <col min="10497" max="10497" width="40.28515625" style="14" customWidth="1"/>
    <col min="10498" max="10498" width="48.85546875" style="14" customWidth="1"/>
    <col min="10499" max="10499" width="53.28515625" style="14" customWidth="1"/>
    <col min="10500" max="10500" width="56.28515625" style="14" customWidth="1"/>
    <col min="10501" max="10544" width="12" style="14" customWidth="1"/>
    <col min="10545" max="10752" width="13.28515625" style="14"/>
    <col min="10753" max="10753" width="40.28515625" style="14" customWidth="1"/>
    <col min="10754" max="10754" width="48.85546875" style="14" customWidth="1"/>
    <col min="10755" max="10755" width="53.28515625" style="14" customWidth="1"/>
    <col min="10756" max="10756" width="56.28515625" style="14" customWidth="1"/>
    <col min="10757" max="10800" width="12" style="14" customWidth="1"/>
    <col min="10801" max="11008" width="13.28515625" style="14"/>
    <col min="11009" max="11009" width="40.28515625" style="14" customWidth="1"/>
    <col min="11010" max="11010" width="48.85546875" style="14" customWidth="1"/>
    <col min="11011" max="11011" width="53.28515625" style="14" customWidth="1"/>
    <col min="11012" max="11012" width="56.28515625" style="14" customWidth="1"/>
    <col min="11013" max="11056" width="12" style="14" customWidth="1"/>
    <col min="11057" max="11264" width="13.28515625" style="14"/>
    <col min="11265" max="11265" width="40.28515625" style="14" customWidth="1"/>
    <col min="11266" max="11266" width="48.85546875" style="14" customWidth="1"/>
    <col min="11267" max="11267" width="53.28515625" style="14" customWidth="1"/>
    <col min="11268" max="11268" width="56.28515625" style="14" customWidth="1"/>
    <col min="11269" max="11312" width="12" style="14" customWidth="1"/>
    <col min="11313" max="11520" width="13.28515625" style="14"/>
    <col min="11521" max="11521" width="40.28515625" style="14" customWidth="1"/>
    <col min="11522" max="11522" width="48.85546875" style="14" customWidth="1"/>
    <col min="11523" max="11523" width="53.28515625" style="14" customWidth="1"/>
    <col min="11524" max="11524" width="56.28515625" style="14" customWidth="1"/>
    <col min="11525" max="11568" width="12" style="14" customWidth="1"/>
    <col min="11569" max="11776" width="13.28515625" style="14"/>
    <col min="11777" max="11777" width="40.28515625" style="14" customWidth="1"/>
    <col min="11778" max="11778" width="48.85546875" style="14" customWidth="1"/>
    <col min="11779" max="11779" width="53.28515625" style="14" customWidth="1"/>
    <col min="11780" max="11780" width="56.28515625" style="14" customWidth="1"/>
    <col min="11781" max="11824" width="12" style="14" customWidth="1"/>
    <col min="11825" max="12032" width="13.28515625" style="14"/>
    <col min="12033" max="12033" width="40.28515625" style="14" customWidth="1"/>
    <col min="12034" max="12034" width="48.85546875" style="14" customWidth="1"/>
    <col min="12035" max="12035" width="53.28515625" style="14" customWidth="1"/>
    <col min="12036" max="12036" width="56.28515625" style="14" customWidth="1"/>
    <col min="12037" max="12080" width="12" style="14" customWidth="1"/>
    <col min="12081" max="12288" width="13.28515625" style="14"/>
    <col min="12289" max="12289" width="40.28515625" style="14" customWidth="1"/>
    <col min="12290" max="12290" width="48.85546875" style="14" customWidth="1"/>
    <col min="12291" max="12291" width="53.28515625" style="14" customWidth="1"/>
    <col min="12292" max="12292" width="56.28515625" style="14" customWidth="1"/>
    <col min="12293" max="12336" width="12" style="14" customWidth="1"/>
    <col min="12337" max="12544" width="13.28515625" style="14"/>
    <col min="12545" max="12545" width="40.28515625" style="14" customWidth="1"/>
    <col min="12546" max="12546" width="48.85546875" style="14" customWidth="1"/>
    <col min="12547" max="12547" width="53.28515625" style="14" customWidth="1"/>
    <col min="12548" max="12548" width="56.28515625" style="14" customWidth="1"/>
    <col min="12549" max="12592" width="12" style="14" customWidth="1"/>
    <col min="12593" max="12800" width="13.28515625" style="14"/>
    <col min="12801" max="12801" width="40.28515625" style="14" customWidth="1"/>
    <col min="12802" max="12802" width="48.85546875" style="14" customWidth="1"/>
    <col min="12803" max="12803" width="53.28515625" style="14" customWidth="1"/>
    <col min="12804" max="12804" width="56.28515625" style="14" customWidth="1"/>
    <col min="12805" max="12848" width="12" style="14" customWidth="1"/>
    <col min="12849" max="13056" width="13.28515625" style="14"/>
    <col min="13057" max="13057" width="40.28515625" style="14" customWidth="1"/>
    <col min="13058" max="13058" width="48.85546875" style="14" customWidth="1"/>
    <col min="13059" max="13059" width="53.28515625" style="14" customWidth="1"/>
    <col min="13060" max="13060" width="56.28515625" style="14" customWidth="1"/>
    <col min="13061" max="13104" width="12" style="14" customWidth="1"/>
    <col min="13105" max="13312" width="13.28515625" style="14"/>
    <col min="13313" max="13313" width="40.28515625" style="14" customWidth="1"/>
    <col min="13314" max="13314" width="48.85546875" style="14" customWidth="1"/>
    <col min="13315" max="13315" width="53.28515625" style="14" customWidth="1"/>
    <col min="13316" max="13316" width="56.28515625" style="14" customWidth="1"/>
    <col min="13317" max="13360" width="12" style="14" customWidth="1"/>
    <col min="13361" max="13568" width="13.28515625" style="14"/>
    <col min="13569" max="13569" width="40.28515625" style="14" customWidth="1"/>
    <col min="13570" max="13570" width="48.85546875" style="14" customWidth="1"/>
    <col min="13571" max="13571" width="53.28515625" style="14" customWidth="1"/>
    <col min="13572" max="13572" width="56.28515625" style="14" customWidth="1"/>
    <col min="13573" max="13616" width="12" style="14" customWidth="1"/>
    <col min="13617" max="13824" width="13.28515625" style="14"/>
    <col min="13825" max="13825" width="40.28515625" style="14" customWidth="1"/>
    <col min="13826" max="13826" width="48.85546875" style="14" customWidth="1"/>
    <col min="13827" max="13827" width="53.28515625" style="14" customWidth="1"/>
    <col min="13828" max="13828" width="56.28515625" style="14" customWidth="1"/>
    <col min="13829" max="13872" width="12" style="14" customWidth="1"/>
    <col min="13873" max="14080" width="13.28515625" style="14"/>
    <col min="14081" max="14081" width="40.28515625" style="14" customWidth="1"/>
    <col min="14082" max="14082" width="48.85546875" style="14" customWidth="1"/>
    <col min="14083" max="14083" width="53.28515625" style="14" customWidth="1"/>
    <col min="14084" max="14084" width="56.28515625" style="14" customWidth="1"/>
    <col min="14085" max="14128" width="12" style="14" customWidth="1"/>
    <col min="14129" max="14336" width="13.28515625" style="14"/>
    <col min="14337" max="14337" width="40.28515625" style="14" customWidth="1"/>
    <col min="14338" max="14338" width="48.85546875" style="14" customWidth="1"/>
    <col min="14339" max="14339" width="53.28515625" style="14" customWidth="1"/>
    <col min="14340" max="14340" width="56.28515625" style="14" customWidth="1"/>
    <col min="14341" max="14384" width="12" style="14" customWidth="1"/>
    <col min="14385" max="14592" width="13.28515625" style="14"/>
    <col min="14593" max="14593" width="40.28515625" style="14" customWidth="1"/>
    <col min="14594" max="14594" width="48.85546875" style="14" customWidth="1"/>
    <col min="14595" max="14595" width="53.28515625" style="14" customWidth="1"/>
    <col min="14596" max="14596" width="56.28515625" style="14" customWidth="1"/>
    <col min="14597" max="14640" width="12" style="14" customWidth="1"/>
    <col min="14641" max="14848" width="13.28515625" style="14"/>
    <col min="14849" max="14849" width="40.28515625" style="14" customWidth="1"/>
    <col min="14850" max="14850" width="48.85546875" style="14" customWidth="1"/>
    <col min="14851" max="14851" width="53.28515625" style="14" customWidth="1"/>
    <col min="14852" max="14852" width="56.28515625" style="14" customWidth="1"/>
    <col min="14853" max="14896" width="12" style="14" customWidth="1"/>
    <col min="14897" max="15104" width="13.28515625" style="14"/>
    <col min="15105" max="15105" width="40.28515625" style="14" customWidth="1"/>
    <col min="15106" max="15106" width="48.85546875" style="14" customWidth="1"/>
    <col min="15107" max="15107" width="53.28515625" style="14" customWidth="1"/>
    <col min="15108" max="15108" width="56.28515625" style="14" customWidth="1"/>
    <col min="15109" max="15152" width="12" style="14" customWidth="1"/>
    <col min="15153" max="15360" width="13.28515625" style="14"/>
    <col min="15361" max="15361" width="40.28515625" style="14" customWidth="1"/>
    <col min="15362" max="15362" width="48.85546875" style="14" customWidth="1"/>
    <col min="15363" max="15363" width="53.28515625" style="14" customWidth="1"/>
    <col min="15364" max="15364" width="56.28515625" style="14" customWidth="1"/>
    <col min="15365" max="15408" width="12" style="14" customWidth="1"/>
    <col min="15409" max="15616" width="13.28515625" style="14"/>
    <col min="15617" max="15617" width="40.28515625" style="14" customWidth="1"/>
    <col min="15618" max="15618" width="48.85546875" style="14" customWidth="1"/>
    <col min="15619" max="15619" width="53.28515625" style="14" customWidth="1"/>
    <col min="15620" max="15620" width="56.28515625" style="14" customWidth="1"/>
    <col min="15621" max="15664" width="12" style="14" customWidth="1"/>
    <col min="15665" max="15872" width="13.28515625" style="14"/>
    <col min="15873" max="15873" width="40.28515625" style="14" customWidth="1"/>
    <col min="15874" max="15874" width="48.85546875" style="14" customWidth="1"/>
    <col min="15875" max="15875" width="53.28515625" style="14" customWidth="1"/>
    <col min="15876" max="15876" width="56.28515625" style="14" customWidth="1"/>
    <col min="15877" max="15920" width="12" style="14" customWidth="1"/>
    <col min="15921" max="16128" width="13.28515625" style="14"/>
    <col min="16129" max="16129" width="40.28515625" style="14" customWidth="1"/>
    <col min="16130" max="16130" width="48.85546875" style="14" customWidth="1"/>
    <col min="16131" max="16131" width="53.28515625" style="14" customWidth="1"/>
    <col min="16132" max="16132" width="56.28515625" style="14" customWidth="1"/>
    <col min="16133" max="16176" width="12" style="14" customWidth="1"/>
    <col min="16177" max="16384" width="13.28515625" style="14"/>
  </cols>
  <sheetData>
    <row r="1" spans="1:11" ht="20.100000000000001"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288" t="s">
        <v>1052</v>
      </c>
      <c r="B3" s="275" t="s">
        <v>1053</v>
      </c>
      <c r="C3" s="275"/>
      <c r="D3" s="275"/>
      <c r="E3" s="275"/>
      <c r="F3" s="288" t="s">
        <v>1054</v>
      </c>
      <c r="G3" s="272"/>
      <c r="H3" s="272"/>
      <c r="I3" s="272"/>
      <c r="J3" s="109" t="s">
        <v>1055</v>
      </c>
      <c r="K3" s="7"/>
    </row>
    <row r="4" spans="1:11" x14ac:dyDescent="0.2">
      <c r="A4" s="288"/>
      <c r="B4" s="275"/>
      <c r="C4" s="275"/>
      <c r="D4" s="275"/>
      <c r="E4" s="275"/>
      <c r="F4" s="288"/>
      <c r="G4" s="272"/>
      <c r="H4" s="272"/>
      <c r="I4" s="272"/>
      <c r="J4" s="109" t="s">
        <v>1056</v>
      </c>
      <c r="K4" s="7"/>
    </row>
    <row r="5" spans="1:11" x14ac:dyDescent="0.2">
      <c r="A5" s="273"/>
      <c r="B5" s="276"/>
      <c r="C5" s="276"/>
      <c r="D5" s="276"/>
      <c r="E5" s="276"/>
      <c r="F5" s="273"/>
      <c r="G5" s="273"/>
      <c r="H5" s="273"/>
      <c r="I5" s="273"/>
      <c r="J5" s="109" t="s">
        <v>1057</v>
      </c>
      <c r="K5" s="7"/>
    </row>
    <row r="6" spans="1:11" ht="15" customHeight="1" x14ac:dyDescent="0.2">
      <c r="A6" s="273"/>
      <c r="B6" s="276"/>
      <c r="C6" s="276"/>
      <c r="D6" s="276"/>
      <c r="E6" s="276"/>
      <c r="F6" s="288" t="s">
        <v>1058</v>
      </c>
      <c r="G6" s="289"/>
      <c r="H6" s="272"/>
      <c r="I6" s="289"/>
      <c r="J6" s="109" t="s">
        <v>1059</v>
      </c>
      <c r="K6" s="7"/>
    </row>
    <row r="7" spans="1:11" ht="15" customHeight="1" x14ac:dyDescent="0.2">
      <c r="A7" s="273"/>
      <c r="B7" s="276"/>
      <c r="C7" s="276"/>
      <c r="D7" s="276"/>
      <c r="E7" s="276"/>
      <c r="F7" s="288"/>
      <c r="G7" s="289"/>
      <c r="H7" s="272"/>
      <c r="I7" s="289"/>
      <c r="J7" s="109" t="s">
        <v>1060</v>
      </c>
      <c r="K7" s="7"/>
    </row>
    <row r="8" spans="1:11" x14ac:dyDescent="0.2">
      <c r="A8" s="273"/>
      <c r="B8" s="276"/>
      <c r="C8" s="276"/>
      <c r="D8" s="276"/>
      <c r="E8" s="276"/>
      <c r="F8" s="273"/>
      <c r="G8" s="273"/>
      <c r="H8" s="273"/>
      <c r="I8" s="273"/>
      <c r="J8" s="109" t="s">
        <v>1061</v>
      </c>
      <c r="K8" s="7"/>
    </row>
    <row r="9" spans="1:11" ht="15" customHeight="1" x14ac:dyDescent="0.2">
      <c r="A9" s="273"/>
      <c r="B9" s="276"/>
      <c r="C9" s="276"/>
      <c r="D9" s="276"/>
      <c r="E9" s="276"/>
      <c r="F9" s="288" t="s">
        <v>1062</v>
      </c>
      <c r="G9" s="272"/>
      <c r="H9" s="272"/>
      <c r="I9" s="272"/>
      <c r="J9" s="26"/>
      <c r="K9" s="7"/>
    </row>
    <row r="10" spans="1:11" ht="15" customHeight="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ht="15" customHeight="1" x14ac:dyDescent="0.2">
      <c r="A12" s="273"/>
      <c r="B12" s="276"/>
      <c r="C12" s="276"/>
      <c r="D12" s="276"/>
      <c r="E12" s="276"/>
      <c r="F12" s="288" t="s">
        <v>1063</v>
      </c>
      <c r="G12" s="272"/>
      <c r="H12" s="272"/>
      <c r="I12" s="272"/>
      <c r="J12" s="26"/>
      <c r="K12" s="7"/>
    </row>
    <row r="13" spans="1:11" ht="15" customHeight="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ht="15" customHeight="1" x14ac:dyDescent="0.2">
      <c r="A15" s="273"/>
      <c r="B15" s="276"/>
      <c r="C15" s="276"/>
      <c r="D15" s="276"/>
      <c r="E15" s="276"/>
      <c r="F15" s="288" t="s">
        <v>1064</v>
      </c>
      <c r="G15" s="272"/>
      <c r="H15" s="272"/>
      <c r="I15" s="272"/>
      <c r="J15" s="26"/>
      <c r="K15" s="7"/>
    </row>
    <row r="16" spans="1:11"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1065</v>
      </c>
      <c r="G18" s="272"/>
      <c r="H18" s="272"/>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1066</v>
      </c>
      <c r="C21" s="277"/>
      <c r="D21" s="277"/>
      <c r="E21" s="277"/>
      <c r="F21" s="288" t="s">
        <v>1067</v>
      </c>
      <c r="G21" s="289"/>
      <c r="H21" s="272"/>
      <c r="I21" s="289"/>
      <c r="J21" s="39"/>
      <c r="K21" s="7"/>
    </row>
    <row r="22" spans="1:11" x14ac:dyDescent="0.2">
      <c r="A22" s="273"/>
      <c r="B22" s="278"/>
      <c r="C22" s="278"/>
      <c r="D22" s="278"/>
      <c r="E22" s="278"/>
      <c r="F22" s="288"/>
      <c r="G22" s="289"/>
      <c r="H22" s="272"/>
      <c r="I22" s="289"/>
      <c r="J22" s="39"/>
      <c r="K22" s="7"/>
    </row>
    <row r="23" spans="1:11" x14ac:dyDescent="0.2">
      <c r="A23" s="273"/>
      <c r="B23" s="279"/>
      <c r="C23" s="279"/>
      <c r="D23" s="279"/>
      <c r="E23" s="279"/>
      <c r="F23" s="273"/>
      <c r="G23" s="273"/>
      <c r="H23" s="273"/>
      <c r="I23" s="273"/>
      <c r="J23" s="89"/>
      <c r="K23" s="7"/>
    </row>
    <row r="24" spans="1:11" ht="15" customHeight="1" x14ac:dyDescent="0.2">
      <c r="A24" s="273"/>
      <c r="B24" s="279"/>
      <c r="C24" s="279"/>
      <c r="D24" s="279"/>
      <c r="E24" s="279"/>
      <c r="F24" s="288" t="s">
        <v>1068</v>
      </c>
      <c r="G24" s="272"/>
      <c r="H24" s="272"/>
      <c r="I24" s="272"/>
      <c r="J24" s="26"/>
      <c r="K24" s="7"/>
    </row>
    <row r="25" spans="1:11" ht="15" customHeight="1" x14ac:dyDescent="0.2">
      <c r="A25" s="273"/>
      <c r="B25" s="279"/>
      <c r="C25" s="279"/>
      <c r="D25" s="279"/>
      <c r="E25" s="279"/>
      <c r="F25" s="288"/>
      <c r="G25" s="272"/>
      <c r="H25" s="272"/>
      <c r="I25" s="272"/>
      <c r="J25" s="26"/>
      <c r="K25" s="7"/>
    </row>
    <row r="26" spans="1:11" x14ac:dyDescent="0.2">
      <c r="A26" s="273"/>
      <c r="B26" s="279"/>
      <c r="C26" s="279"/>
      <c r="D26" s="279"/>
      <c r="E26" s="279"/>
      <c r="F26" s="273"/>
      <c r="G26" s="273"/>
      <c r="H26" s="273"/>
      <c r="I26" s="273"/>
      <c r="J26" s="89"/>
      <c r="K26" s="7"/>
    </row>
    <row r="27" spans="1:11" x14ac:dyDescent="0.2">
      <c r="A27" s="273"/>
      <c r="B27" s="279"/>
      <c r="C27" s="279"/>
      <c r="D27" s="279"/>
      <c r="E27" s="279"/>
      <c r="F27" s="288" t="s">
        <v>1069</v>
      </c>
      <c r="G27" s="272"/>
      <c r="H27" s="272"/>
      <c r="I27" s="272"/>
      <c r="J27" s="26"/>
      <c r="K27" s="7"/>
    </row>
    <row r="28" spans="1:11" x14ac:dyDescent="0.2">
      <c r="A28" s="273"/>
      <c r="B28" s="279"/>
      <c r="C28" s="279"/>
      <c r="D28" s="279"/>
      <c r="E28" s="279"/>
      <c r="F28" s="288"/>
      <c r="G28" s="272"/>
      <c r="H28" s="272"/>
      <c r="I28" s="272"/>
      <c r="J28" s="26"/>
      <c r="K28" s="7"/>
    </row>
    <row r="29" spans="1:11" x14ac:dyDescent="0.2">
      <c r="A29" s="273"/>
      <c r="B29" s="279"/>
      <c r="C29" s="279"/>
      <c r="D29" s="279"/>
      <c r="E29" s="279"/>
      <c r="F29" s="273"/>
      <c r="G29" s="273"/>
      <c r="H29" s="273"/>
      <c r="I29" s="273"/>
      <c r="J29" s="89"/>
      <c r="K29" s="7"/>
    </row>
    <row r="30" spans="1:11" x14ac:dyDescent="0.2">
      <c r="A30" s="273"/>
      <c r="B30" s="279"/>
      <c r="C30" s="279"/>
      <c r="D30" s="279"/>
      <c r="E30" s="279"/>
      <c r="F30" s="288" t="s">
        <v>1070</v>
      </c>
      <c r="G30" s="289"/>
      <c r="H30" s="272"/>
      <c r="I30" s="289"/>
      <c r="J30" s="39"/>
      <c r="K30" s="7"/>
    </row>
    <row r="31" spans="1:11" x14ac:dyDescent="0.2">
      <c r="A31" s="273"/>
      <c r="B31" s="279"/>
      <c r="C31" s="279"/>
      <c r="D31" s="279"/>
      <c r="E31" s="279"/>
      <c r="F31" s="288"/>
      <c r="G31" s="289"/>
      <c r="H31" s="272"/>
      <c r="I31" s="289"/>
      <c r="J31" s="39"/>
      <c r="K31" s="7"/>
    </row>
    <row r="32" spans="1:11" x14ac:dyDescent="0.2">
      <c r="A32" s="273"/>
      <c r="B32" s="279"/>
      <c r="C32" s="279"/>
      <c r="D32" s="279"/>
      <c r="E32" s="279"/>
      <c r="F32" s="273"/>
      <c r="G32" s="273"/>
      <c r="H32" s="273"/>
      <c r="I32" s="273"/>
      <c r="J32" s="89"/>
      <c r="K32" s="37"/>
    </row>
    <row r="33" spans="1:11" x14ac:dyDescent="0.2">
      <c r="A33" s="273"/>
      <c r="B33" s="279"/>
      <c r="C33" s="279"/>
      <c r="D33" s="279"/>
      <c r="E33" s="279"/>
      <c r="F33" s="288" t="s">
        <v>1071</v>
      </c>
      <c r="G33" s="272"/>
      <c r="H33" s="272"/>
      <c r="I33" s="272"/>
      <c r="J33" s="26"/>
      <c r="K33" s="37"/>
    </row>
    <row r="34" spans="1:11" x14ac:dyDescent="0.2">
      <c r="A34" s="273"/>
      <c r="B34" s="279"/>
      <c r="C34" s="279"/>
      <c r="D34" s="279"/>
      <c r="E34" s="279"/>
      <c r="F34" s="288"/>
      <c r="G34" s="272"/>
      <c r="H34" s="272"/>
      <c r="I34" s="272"/>
      <c r="J34" s="26"/>
      <c r="K34" s="37"/>
    </row>
    <row r="35" spans="1:11" x14ac:dyDescent="0.2">
      <c r="A35" s="273"/>
      <c r="B35" s="279"/>
      <c r="C35" s="279"/>
      <c r="D35" s="279"/>
      <c r="E35" s="279"/>
      <c r="F35" s="273"/>
      <c r="G35" s="273"/>
      <c r="H35" s="273"/>
      <c r="I35" s="273"/>
      <c r="J35" s="89"/>
      <c r="K35" s="37"/>
    </row>
    <row r="36" spans="1:11" ht="15" customHeight="1" x14ac:dyDescent="0.25">
      <c r="A36" s="273"/>
      <c r="B36" s="279"/>
      <c r="C36" s="279"/>
      <c r="D36" s="279"/>
      <c r="E36" s="279"/>
      <c r="F36" s="288" t="s">
        <v>1072</v>
      </c>
      <c r="G36" s="272"/>
      <c r="H36" s="272"/>
      <c r="I36" s="272"/>
      <c r="J36" s="26"/>
      <c r="K36" s="104"/>
    </row>
    <row r="37" spans="1:11" ht="15" customHeight="1" x14ac:dyDescent="0.25">
      <c r="A37" s="273"/>
      <c r="B37" s="279"/>
      <c r="C37" s="279"/>
      <c r="D37" s="279"/>
      <c r="E37" s="279"/>
      <c r="F37" s="288"/>
      <c r="G37" s="272"/>
      <c r="H37" s="272"/>
      <c r="I37" s="272"/>
      <c r="J37" s="26"/>
      <c r="K37" s="104"/>
    </row>
    <row r="38" spans="1:11" x14ac:dyDescent="0.25">
      <c r="A38" s="273"/>
      <c r="B38" s="279"/>
      <c r="C38" s="279"/>
      <c r="D38" s="279"/>
      <c r="E38" s="279"/>
      <c r="F38" s="273"/>
      <c r="G38" s="273"/>
      <c r="H38" s="273"/>
      <c r="I38" s="273"/>
      <c r="J38" s="89"/>
      <c r="K38" s="33"/>
    </row>
    <row r="39" spans="1:11" x14ac:dyDescent="0.25">
      <c r="A39" s="276"/>
      <c r="B39" s="280" t="s">
        <v>1073</v>
      </c>
      <c r="C39" s="280"/>
      <c r="D39" s="280"/>
      <c r="E39" s="280"/>
      <c r="F39" s="288" t="s">
        <v>1074</v>
      </c>
      <c r="G39" s="272"/>
      <c r="H39" s="272"/>
      <c r="I39" s="272"/>
      <c r="J39" s="26"/>
      <c r="K39" s="33"/>
    </row>
    <row r="40" spans="1:11" x14ac:dyDescent="0.25">
      <c r="A40" s="276"/>
      <c r="B40" s="280"/>
      <c r="C40" s="280"/>
      <c r="D40" s="280"/>
      <c r="E40" s="280"/>
      <c r="F40" s="288"/>
      <c r="G40" s="272"/>
      <c r="H40" s="272"/>
      <c r="I40" s="272"/>
      <c r="J40" s="26"/>
      <c r="K40" s="33"/>
    </row>
    <row r="41" spans="1:11" x14ac:dyDescent="0.25">
      <c r="A41" s="276"/>
      <c r="B41" s="281"/>
      <c r="C41" s="281"/>
      <c r="D41" s="281"/>
      <c r="E41" s="281"/>
      <c r="F41" s="273"/>
      <c r="G41" s="273"/>
      <c r="H41" s="273"/>
      <c r="I41" s="273"/>
      <c r="J41" s="89"/>
      <c r="K41" s="33"/>
    </row>
    <row r="42" spans="1:11" ht="15" customHeight="1" x14ac:dyDescent="0.25">
      <c r="A42" s="276"/>
      <c r="B42" s="281"/>
      <c r="C42" s="281"/>
      <c r="D42" s="281"/>
      <c r="E42" s="281"/>
      <c r="F42" s="288" t="s">
        <v>1075</v>
      </c>
      <c r="G42" s="272"/>
      <c r="H42" s="272"/>
      <c r="I42" s="272"/>
      <c r="J42" s="26"/>
      <c r="K42" s="33"/>
    </row>
    <row r="43" spans="1:11" ht="15" customHeight="1" x14ac:dyDescent="0.25">
      <c r="A43" s="276"/>
      <c r="B43" s="281"/>
      <c r="C43" s="281"/>
      <c r="D43" s="281"/>
      <c r="E43" s="281"/>
      <c r="F43" s="288"/>
      <c r="G43" s="272"/>
      <c r="H43" s="272"/>
      <c r="I43" s="272"/>
      <c r="J43" s="26"/>
      <c r="K43" s="33"/>
    </row>
    <row r="44" spans="1:11" x14ac:dyDescent="0.25">
      <c r="A44" s="276"/>
      <c r="B44" s="281"/>
      <c r="C44" s="281"/>
      <c r="D44" s="281"/>
      <c r="E44" s="281"/>
      <c r="F44" s="273"/>
      <c r="G44" s="273"/>
      <c r="H44" s="273"/>
      <c r="I44" s="273"/>
      <c r="J44" s="89"/>
      <c r="K44" s="33"/>
    </row>
    <row r="45" spans="1:11" ht="15" customHeight="1" x14ac:dyDescent="0.25">
      <c r="A45" s="276"/>
      <c r="B45" s="281"/>
      <c r="C45" s="281"/>
      <c r="D45" s="281"/>
      <c r="E45" s="281"/>
      <c r="F45" s="288" t="s">
        <v>1076</v>
      </c>
      <c r="G45" s="272"/>
      <c r="H45" s="272"/>
      <c r="I45" s="272"/>
      <c r="J45" s="26"/>
      <c r="K45" s="33"/>
    </row>
    <row r="46" spans="1:11" ht="15" customHeight="1" x14ac:dyDescent="0.25">
      <c r="A46" s="276"/>
      <c r="B46" s="281"/>
      <c r="C46" s="281"/>
      <c r="D46" s="281"/>
      <c r="E46" s="281"/>
      <c r="F46" s="288"/>
      <c r="G46" s="272"/>
      <c r="H46" s="272"/>
      <c r="I46" s="272"/>
      <c r="J46" s="26"/>
      <c r="K46" s="33"/>
    </row>
    <row r="47" spans="1:11" x14ac:dyDescent="0.25">
      <c r="A47" s="276"/>
      <c r="B47" s="281"/>
      <c r="C47" s="281"/>
      <c r="D47" s="281"/>
      <c r="E47" s="281"/>
      <c r="F47" s="273"/>
      <c r="G47" s="273"/>
      <c r="H47" s="273"/>
      <c r="I47" s="273"/>
      <c r="J47" s="89"/>
      <c r="K47" s="33"/>
    </row>
    <row r="48" spans="1:11" x14ac:dyDescent="0.25">
      <c r="A48" s="276"/>
      <c r="B48" s="281"/>
      <c r="C48" s="281"/>
      <c r="D48" s="281"/>
      <c r="E48" s="281"/>
      <c r="F48" s="288" t="s">
        <v>1077</v>
      </c>
      <c r="G48" s="272"/>
      <c r="H48" s="272"/>
      <c r="I48" s="272"/>
      <c r="J48" s="26"/>
      <c r="K48" s="33"/>
    </row>
    <row r="49" spans="1:11" x14ac:dyDescent="0.25">
      <c r="A49" s="276"/>
      <c r="B49" s="281"/>
      <c r="C49" s="281"/>
      <c r="D49" s="281"/>
      <c r="E49" s="281"/>
      <c r="F49" s="288"/>
      <c r="G49" s="272"/>
      <c r="H49" s="272"/>
      <c r="I49" s="272"/>
      <c r="J49" s="26"/>
      <c r="K49" s="33"/>
    </row>
    <row r="50" spans="1:11" x14ac:dyDescent="0.25">
      <c r="A50" s="276"/>
      <c r="B50" s="281"/>
      <c r="C50" s="281"/>
      <c r="D50" s="281"/>
      <c r="E50" s="281"/>
      <c r="F50" s="273"/>
      <c r="G50" s="273"/>
      <c r="H50" s="273"/>
      <c r="I50" s="273"/>
      <c r="J50" s="89"/>
      <c r="K50" s="33"/>
    </row>
    <row r="51" spans="1:11" x14ac:dyDescent="0.25">
      <c r="A51" s="276"/>
      <c r="B51" s="281"/>
      <c r="C51" s="281"/>
      <c r="D51" s="281"/>
      <c r="E51" s="281"/>
      <c r="F51" s="288" t="s">
        <v>1078</v>
      </c>
      <c r="G51" s="272"/>
      <c r="H51" s="272"/>
      <c r="I51" s="272"/>
      <c r="J51" s="26"/>
      <c r="K51" s="33"/>
    </row>
    <row r="52" spans="1:11" x14ac:dyDescent="0.25">
      <c r="A52" s="276"/>
      <c r="B52" s="281"/>
      <c r="C52" s="281"/>
      <c r="D52" s="281"/>
      <c r="E52" s="281"/>
      <c r="F52" s="288"/>
      <c r="G52" s="272"/>
      <c r="H52" s="272"/>
      <c r="I52" s="272"/>
      <c r="J52" s="26"/>
      <c r="K52" s="33"/>
    </row>
    <row r="53" spans="1:11" x14ac:dyDescent="0.25">
      <c r="A53" s="276"/>
      <c r="B53" s="281"/>
      <c r="C53" s="281"/>
      <c r="D53" s="281"/>
      <c r="E53" s="281"/>
      <c r="F53" s="273"/>
      <c r="G53" s="273"/>
      <c r="H53" s="273"/>
      <c r="I53" s="273"/>
      <c r="J53" s="89"/>
      <c r="K53" s="33"/>
    </row>
    <row r="54" spans="1:11" ht="15" customHeight="1" x14ac:dyDescent="0.25">
      <c r="A54" s="276"/>
      <c r="B54" s="281"/>
      <c r="C54" s="281"/>
      <c r="D54" s="281"/>
      <c r="E54" s="281"/>
      <c r="F54" s="288" t="s">
        <v>1079</v>
      </c>
      <c r="G54" s="272"/>
      <c r="H54" s="272"/>
      <c r="I54" s="272"/>
      <c r="J54" s="26"/>
      <c r="K54" s="33"/>
    </row>
    <row r="55" spans="1:11" ht="15" customHeight="1" x14ac:dyDescent="0.25">
      <c r="A55" s="276"/>
      <c r="B55" s="281"/>
      <c r="C55" s="281"/>
      <c r="D55" s="281"/>
      <c r="E55" s="281"/>
      <c r="F55" s="288"/>
      <c r="G55" s="272"/>
      <c r="H55" s="272"/>
      <c r="I55" s="272"/>
      <c r="J55" s="26"/>
      <c r="K55" s="33"/>
    </row>
    <row r="56" spans="1:11" x14ac:dyDescent="0.25">
      <c r="A56" s="276"/>
      <c r="B56" s="281"/>
      <c r="C56" s="281"/>
      <c r="D56" s="281"/>
      <c r="E56" s="281"/>
      <c r="F56" s="273"/>
      <c r="G56" s="273"/>
      <c r="H56" s="273"/>
      <c r="I56" s="273"/>
      <c r="J56" s="89"/>
      <c r="K56" s="33"/>
    </row>
    <row r="57" spans="1:11" x14ac:dyDescent="0.25">
      <c r="A57" s="276"/>
      <c r="B57" s="282" t="s">
        <v>1080</v>
      </c>
      <c r="C57" s="282"/>
      <c r="D57" s="282"/>
      <c r="E57" s="282"/>
      <c r="F57" s="288" t="s">
        <v>1081</v>
      </c>
      <c r="G57" s="272"/>
      <c r="H57" s="272"/>
      <c r="I57" s="272"/>
      <c r="J57" s="26"/>
      <c r="K57" s="33"/>
    </row>
    <row r="58" spans="1:11" x14ac:dyDescent="0.25">
      <c r="A58" s="276"/>
      <c r="B58" s="283"/>
      <c r="C58" s="283"/>
      <c r="D58" s="283"/>
      <c r="E58" s="283"/>
      <c r="F58" s="288"/>
      <c r="G58" s="272"/>
      <c r="H58" s="272"/>
      <c r="I58" s="272"/>
      <c r="J58" s="26"/>
      <c r="K58" s="33"/>
    </row>
    <row r="59" spans="1:11" x14ac:dyDescent="0.2">
      <c r="A59" s="276"/>
      <c r="B59" s="284"/>
      <c r="C59" s="284"/>
      <c r="D59" s="284"/>
      <c r="E59" s="284"/>
      <c r="F59" s="273"/>
      <c r="G59" s="273"/>
      <c r="H59" s="273"/>
      <c r="I59" s="273"/>
      <c r="J59" s="89"/>
      <c r="K59" s="34"/>
    </row>
    <row r="60" spans="1:11" x14ac:dyDescent="0.2">
      <c r="A60" s="276"/>
      <c r="B60" s="285"/>
      <c r="C60" s="285"/>
      <c r="D60" s="285"/>
      <c r="E60" s="285"/>
      <c r="F60" s="288" t="s">
        <v>1082</v>
      </c>
      <c r="G60" s="272"/>
      <c r="H60" s="272"/>
      <c r="I60" s="272"/>
      <c r="J60" s="26"/>
      <c r="K60" s="34"/>
    </row>
    <row r="61" spans="1:11" x14ac:dyDescent="0.2">
      <c r="A61" s="276"/>
      <c r="B61" s="285"/>
      <c r="C61" s="285"/>
      <c r="D61" s="285"/>
      <c r="E61" s="285"/>
      <c r="F61" s="288"/>
      <c r="G61" s="272"/>
      <c r="H61" s="272"/>
      <c r="I61" s="272"/>
      <c r="J61" s="26"/>
      <c r="K61" s="34"/>
    </row>
    <row r="62" spans="1:11" x14ac:dyDescent="0.2">
      <c r="A62" s="276"/>
      <c r="B62" s="285"/>
      <c r="C62" s="285"/>
      <c r="D62" s="285"/>
      <c r="E62" s="285"/>
      <c r="F62" s="273"/>
      <c r="G62" s="273"/>
      <c r="H62" s="273"/>
      <c r="I62" s="273"/>
      <c r="J62" s="89"/>
      <c r="K62" s="34"/>
    </row>
    <row r="63" spans="1:11" ht="16.350000000000001" customHeight="1" x14ac:dyDescent="0.2">
      <c r="A63" s="276"/>
      <c r="B63" s="285"/>
      <c r="C63" s="285"/>
      <c r="D63" s="285"/>
      <c r="E63" s="285"/>
      <c r="F63" s="288" t="s">
        <v>1083</v>
      </c>
      <c r="G63" s="272"/>
      <c r="H63" s="272"/>
      <c r="I63" s="272"/>
      <c r="J63" s="26"/>
      <c r="K63" s="34"/>
    </row>
    <row r="64" spans="1:11" ht="16.350000000000001" customHeight="1" x14ac:dyDescent="0.2">
      <c r="A64" s="276"/>
      <c r="B64" s="285"/>
      <c r="C64" s="285"/>
      <c r="D64" s="285"/>
      <c r="E64" s="285"/>
      <c r="F64" s="288"/>
      <c r="G64" s="272"/>
      <c r="H64" s="272"/>
      <c r="I64" s="272"/>
      <c r="J64" s="26"/>
      <c r="K64" s="34"/>
    </row>
    <row r="65" spans="1:11" x14ac:dyDescent="0.2">
      <c r="A65" s="276"/>
      <c r="B65" s="285"/>
      <c r="C65" s="285"/>
      <c r="D65" s="285"/>
      <c r="E65" s="285"/>
      <c r="F65" s="273"/>
      <c r="G65" s="273"/>
      <c r="H65" s="273"/>
      <c r="I65" s="273"/>
      <c r="J65" s="89"/>
      <c r="K65" s="34"/>
    </row>
    <row r="66" spans="1:11" ht="16.350000000000001" customHeight="1" x14ac:dyDescent="0.2">
      <c r="A66" s="276"/>
      <c r="B66" s="285"/>
      <c r="C66" s="285"/>
      <c r="D66" s="285"/>
      <c r="E66" s="285"/>
      <c r="F66" s="288" t="s">
        <v>1084</v>
      </c>
      <c r="G66" s="272"/>
      <c r="H66" s="272"/>
      <c r="I66" s="272"/>
      <c r="J66" s="26"/>
      <c r="K66" s="34"/>
    </row>
    <row r="67" spans="1:11" ht="16.350000000000001" customHeight="1" x14ac:dyDescent="0.2">
      <c r="A67" s="276"/>
      <c r="B67" s="285"/>
      <c r="C67" s="285"/>
      <c r="D67" s="285"/>
      <c r="E67" s="285"/>
      <c r="F67" s="288"/>
      <c r="G67" s="272"/>
      <c r="H67" s="272"/>
      <c r="I67" s="272"/>
      <c r="J67" s="26"/>
      <c r="K67" s="34"/>
    </row>
    <row r="68" spans="1:11" x14ac:dyDescent="0.2">
      <c r="A68" s="276"/>
      <c r="B68" s="285"/>
      <c r="C68" s="285"/>
      <c r="D68" s="285"/>
      <c r="E68" s="285"/>
      <c r="F68" s="273"/>
      <c r="G68" s="273"/>
      <c r="H68" s="273"/>
      <c r="I68" s="273"/>
      <c r="J68" s="89"/>
      <c r="K68" s="100"/>
    </row>
    <row r="69" spans="1:11" ht="16.350000000000001" customHeight="1" x14ac:dyDescent="0.2">
      <c r="A69" s="276"/>
      <c r="B69" s="285"/>
      <c r="C69" s="285"/>
      <c r="D69" s="285"/>
      <c r="E69" s="285"/>
      <c r="F69" s="288" t="s">
        <v>1085</v>
      </c>
      <c r="G69" s="272"/>
      <c r="H69" s="272"/>
      <c r="I69" s="272"/>
      <c r="J69" s="26"/>
      <c r="K69" s="100"/>
    </row>
    <row r="70" spans="1:11" ht="16.350000000000001" customHeight="1" x14ac:dyDescent="0.2">
      <c r="A70" s="276"/>
      <c r="B70" s="285"/>
      <c r="C70" s="285"/>
      <c r="D70" s="285"/>
      <c r="E70" s="285"/>
      <c r="F70" s="288"/>
      <c r="G70" s="272"/>
      <c r="H70" s="272"/>
      <c r="I70" s="272"/>
      <c r="J70" s="26"/>
      <c r="K70" s="100"/>
    </row>
    <row r="71" spans="1:11" x14ac:dyDescent="0.2">
      <c r="A71" s="276"/>
      <c r="B71" s="285"/>
      <c r="C71" s="285"/>
      <c r="D71" s="285"/>
      <c r="E71" s="285"/>
      <c r="F71" s="273"/>
      <c r="G71" s="273"/>
      <c r="H71" s="273"/>
      <c r="I71" s="273"/>
      <c r="J71" s="89"/>
      <c r="K71" s="37"/>
    </row>
    <row r="72" spans="1:11" ht="16.350000000000001" customHeight="1" x14ac:dyDescent="0.2">
      <c r="A72" s="276"/>
      <c r="B72" s="285"/>
      <c r="C72" s="285"/>
      <c r="D72" s="285"/>
      <c r="E72" s="285"/>
      <c r="F72" s="288" t="s">
        <v>1086</v>
      </c>
      <c r="G72" s="272"/>
      <c r="H72" s="272"/>
      <c r="I72" s="272"/>
      <c r="J72" s="26"/>
      <c r="K72" s="34"/>
    </row>
    <row r="73" spans="1:11" ht="16.350000000000001" customHeight="1" x14ac:dyDescent="0.2">
      <c r="A73" s="276"/>
      <c r="B73" s="285"/>
      <c r="C73" s="285"/>
      <c r="D73" s="285"/>
      <c r="E73" s="285"/>
      <c r="F73" s="288"/>
      <c r="G73" s="272"/>
      <c r="H73" s="272"/>
      <c r="I73" s="272"/>
      <c r="J73" s="26"/>
      <c r="K73" s="34"/>
    </row>
    <row r="74" spans="1:11" x14ac:dyDescent="0.2">
      <c r="A74" s="276"/>
      <c r="B74" s="285"/>
      <c r="C74" s="285"/>
      <c r="D74" s="285"/>
      <c r="E74" s="285"/>
      <c r="F74" s="273"/>
      <c r="G74" s="273"/>
      <c r="H74" s="273"/>
      <c r="I74" s="273"/>
      <c r="J74" s="89"/>
      <c r="K74" s="100"/>
    </row>
    <row r="75" spans="1:11" x14ac:dyDescent="0.25">
      <c r="A75" s="276"/>
      <c r="B75" s="282" t="s">
        <v>1087</v>
      </c>
      <c r="C75" s="282"/>
      <c r="D75" s="282"/>
      <c r="E75" s="282"/>
      <c r="F75" s="288" t="s">
        <v>1088</v>
      </c>
      <c r="G75" s="272"/>
      <c r="H75" s="272"/>
      <c r="I75" s="272"/>
      <c r="J75" s="26"/>
      <c r="K75" s="33"/>
    </row>
    <row r="76" spans="1:11" x14ac:dyDescent="0.25">
      <c r="A76" s="276"/>
      <c r="B76" s="283"/>
      <c r="C76" s="283"/>
      <c r="D76" s="283"/>
      <c r="E76" s="283"/>
      <c r="F76" s="288"/>
      <c r="G76" s="272"/>
      <c r="H76" s="272"/>
      <c r="I76" s="272"/>
      <c r="J76" s="26"/>
      <c r="K76" s="33"/>
    </row>
    <row r="77" spans="1:11" x14ac:dyDescent="0.2">
      <c r="A77" s="276"/>
      <c r="B77" s="284"/>
      <c r="C77" s="284"/>
      <c r="D77" s="284"/>
      <c r="E77" s="284"/>
      <c r="F77" s="273"/>
      <c r="G77" s="273"/>
      <c r="H77" s="273"/>
      <c r="I77" s="273"/>
      <c r="J77" s="89"/>
      <c r="K77" s="34"/>
    </row>
    <row r="78" spans="1:11" ht="15" customHeight="1" x14ac:dyDescent="0.2">
      <c r="A78" s="276"/>
      <c r="B78" s="285"/>
      <c r="C78" s="285"/>
      <c r="D78" s="285"/>
      <c r="E78" s="285"/>
      <c r="F78" s="288" t="s">
        <v>1089</v>
      </c>
      <c r="G78" s="272"/>
      <c r="H78" s="272"/>
      <c r="I78" s="272"/>
      <c r="J78" s="26"/>
      <c r="K78" s="34"/>
    </row>
    <row r="79" spans="1:11" x14ac:dyDescent="0.2">
      <c r="A79" s="276"/>
      <c r="B79" s="285"/>
      <c r="C79" s="285"/>
      <c r="D79" s="285"/>
      <c r="E79" s="285"/>
      <c r="F79" s="288"/>
      <c r="G79" s="272"/>
      <c r="H79" s="272"/>
      <c r="I79" s="272"/>
      <c r="J79" s="26"/>
      <c r="K79" s="34"/>
    </row>
    <row r="80" spans="1:11" x14ac:dyDescent="0.2">
      <c r="A80" s="276"/>
      <c r="B80" s="285"/>
      <c r="C80" s="285"/>
      <c r="D80" s="285"/>
      <c r="E80" s="285"/>
      <c r="F80" s="273"/>
      <c r="G80" s="273"/>
      <c r="H80" s="273"/>
      <c r="I80" s="273"/>
      <c r="J80" s="89"/>
      <c r="K80" s="34"/>
    </row>
    <row r="81" spans="1:11" ht="16.350000000000001" customHeight="1" x14ac:dyDescent="0.2">
      <c r="A81" s="276"/>
      <c r="B81" s="285"/>
      <c r="C81" s="285"/>
      <c r="D81" s="285"/>
      <c r="E81" s="285"/>
      <c r="F81" s="288" t="s">
        <v>1090</v>
      </c>
      <c r="G81" s="272"/>
      <c r="H81" s="272"/>
      <c r="I81" s="272"/>
      <c r="J81" s="26"/>
      <c r="K81" s="34"/>
    </row>
    <row r="82" spans="1:11" ht="16.350000000000001" customHeight="1" x14ac:dyDescent="0.2">
      <c r="A82" s="276"/>
      <c r="B82" s="285"/>
      <c r="C82" s="285"/>
      <c r="D82" s="285"/>
      <c r="E82" s="285"/>
      <c r="F82" s="288"/>
      <c r="G82" s="272"/>
      <c r="H82" s="272"/>
      <c r="I82" s="272"/>
      <c r="J82" s="26"/>
      <c r="K82" s="34"/>
    </row>
    <row r="83" spans="1:11" x14ac:dyDescent="0.2">
      <c r="A83" s="276"/>
      <c r="B83" s="285"/>
      <c r="C83" s="285"/>
      <c r="D83" s="285"/>
      <c r="E83" s="285"/>
      <c r="F83" s="273"/>
      <c r="G83" s="273"/>
      <c r="H83" s="273"/>
      <c r="I83" s="273"/>
      <c r="J83" s="89"/>
      <c r="K83" s="34"/>
    </row>
    <row r="84" spans="1:11" ht="16.350000000000001" customHeight="1" x14ac:dyDescent="0.2">
      <c r="A84" s="276"/>
      <c r="B84" s="285"/>
      <c r="C84" s="285"/>
      <c r="D84" s="285"/>
      <c r="E84" s="285"/>
      <c r="F84" s="288" t="s">
        <v>1091</v>
      </c>
      <c r="G84" s="272"/>
      <c r="H84" s="272"/>
      <c r="I84" s="272"/>
      <c r="J84" s="26"/>
      <c r="K84" s="34"/>
    </row>
    <row r="85" spans="1:11" ht="16.350000000000001" customHeight="1" x14ac:dyDescent="0.2">
      <c r="A85" s="276"/>
      <c r="B85" s="285"/>
      <c r="C85" s="285"/>
      <c r="D85" s="285"/>
      <c r="E85" s="285"/>
      <c r="F85" s="288"/>
      <c r="G85" s="272"/>
      <c r="H85" s="272"/>
      <c r="I85" s="272"/>
      <c r="J85" s="26"/>
      <c r="K85" s="34"/>
    </row>
    <row r="86" spans="1:11" x14ac:dyDescent="0.2">
      <c r="A86" s="276"/>
      <c r="B86" s="285"/>
      <c r="C86" s="285"/>
      <c r="D86" s="285"/>
      <c r="E86" s="285"/>
      <c r="F86" s="273"/>
      <c r="G86" s="273"/>
      <c r="H86" s="273"/>
      <c r="I86" s="273"/>
      <c r="J86" s="89"/>
      <c r="K86" s="100"/>
    </row>
    <row r="87" spans="1:11" ht="16.350000000000001" customHeight="1" x14ac:dyDescent="0.2">
      <c r="A87" s="276"/>
      <c r="B87" s="285"/>
      <c r="C87" s="285"/>
      <c r="D87" s="285"/>
      <c r="E87" s="285"/>
      <c r="F87" s="288" t="s">
        <v>1094</v>
      </c>
      <c r="G87" s="272"/>
      <c r="H87" s="272"/>
      <c r="I87" s="272"/>
      <c r="J87" s="26"/>
      <c r="K87" s="100"/>
    </row>
    <row r="88" spans="1:11" ht="16.350000000000001" customHeight="1" x14ac:dyDescent="0.2">
      <c r="A88" s="276"/>
      <c r="B88" s="285"/>
      <c r="C88" s="285"/>
      <c r="D88" s="285"/>
      <c r="E88" s="285"/>
      <c r="F88" s="288"/>
      <c r="G88" s="272"/>
      <c r="H88" s="272"/>
      <c r="I88" s="272"/>
      <c r="J88" s="26"/>
      <c r="K88" s="100"/>
    </row>
    <row r="89" spans="1:11" x14ac:dyDescent="0.2">
      <c r="A89" s="276"/>
      <c r="B89" s="285"/>
      <c r="C89" s="285"/>
      <c r="D89" s="285"/>
      <c r="E89" s="285"/>
      <c r="F89" s="273"/>
      <c r="G89" s="273"/>
      <c r="H89" s="273"/>
      <c r="I89" s="273"/>
      <c r="J89" s="89"/>
      <c r="K89" s="37"/>
    </row>
    <row r="90" spans="1:11" ht="16.350000000000001" customHeight="1" x14ac:dyDescent="0.2">
      <c r="A90" s="276"/>
      <c r="B90" s="285"/>
      <c r="C90" s="285"/>
      <c r="D90" s="285"/>
      <c r="E90" s="285"/>
      <c r="F90" s="288" t="s">
        <v>1095</v>
      </c>
      <c r="G90" s="272"/>
      <c r="H90" s="272"/>
      <c r="I90" s="272"/>
      <c r="J90" s="26"/>
      <c r="K90" s="34"/>
    </row>
    <row r="91" spans="1:11" ht="16.350000000000001" customHeight="1" x14ac:dyDescent="0.2">
      <c r="A91" s="276"/>
      <c r="B91" s="285"/>
      <c r="C91" s="285"/>
      <c r="D91" s="285"/>
      <c r="E91" s="285"/>
      <c r="F91" s="288"/>
      <c r="G91" s="272"/>
      <c r="H91" s="272"/>
      <c r="I91" s="272"/>
      <c r="J91" s="26"/>
      <c r="K91" s="34"/>
    </row>
    <row r="92" spans="1:11" x14ac:dyDescent="0.2">
      <c r="A92" s="276"/>
      <c r="B92" s="285"/>
      <c r="C92" s="285"/>
      <c r="D92" s="285"/>
      <c r="E92" s="285"/>
      <c r="F92" s="273"/>
      <c r="G92" s="273"/>
      <c r="H92" s="273"/>
      <c r="I92" s="273"/>
      <c r="J92" s="89"/>
      <c r="K92" s="100"/>
    </row>
    <row r="93" spans="1:11" x14ac:dyDescent="0.25">
      <c r="A93" s="276"/>
      <c r="B93" s="282" t="s">
        <v>1092</v>
      </c>
      <c r="C93" s="282"/>
      <c r="D93" s="282"/>
      <c r="E93" s="282"/>
      <c r="F93" s="288" t="s">
        <v>1096</v>
      </c>
      <c r="G93" s="272"/>
      <c r="H93" s="272"/>
      <c r="I93" s="272"/>
      <c r="J93" s="26"/>
      <c r="K93" s="33"/>
    </row>
    <row r="94" spans="1:11" x14ac:dyDescent="0.25">
      <c r="A94" s="276"/>
      <c r="B94" s="283"/>
      <c r="C94" s="283"/>
      <c r="D94" s="283"/>
      <c r="E94" s="283"/>
      <c r="F94" s="288"/>
      <c r="G94" s="272"/>
      <c r="H94" s="272"/>
      <c r="I94" s="272"/>
      <c r="J94" s="26"/>
      <c r="K94" s="33"/>
    </row>
    <row r="95" spans="1:11" x14ac:dyDescent="0.2">
      <c r="A95" s="276"/>
      <c r="B95" s="284"/>
      <c r="C95" s="284"/>
      <c r="D95" s="284"/>
      <c r="E95" s="284"/>
      <c r="F95" s="273"/>
      <c r="G95" s="273"/>
      <c r="H95" s="273"/>
      <c r="I95" s="273"/>
      <c r="J95" s="89"/>
      <c r="K95" s="34"/>
    </row>
    <row r="96" spans="1:11" ht="15" customHeight="1" x14ac:dyDescent="0.2">
      <c r="A96" s="276"/>
      <c r="B96" s="285"/>
      <c r="C96" s="285"/>
      <c r="D96" s="285"/>
      <c r="E96" s="285"/>
      <c r="F96" s="288" t="s">
        <v>1097</v>
      </c>
      <c r="G96" s="272"/>
      <c r="H96" s="272"/>
      <c r="I96" s="272"/>
      <c r="J96" s="26"/>
      <c r="K96" s="34"/>
    </row>
    <row r="97" spans="1:11" x14ac:dyDescent="0.2">
      <c r="A97" s="276"/>
      <c r="B97" s="285"/>
      <c r="C97" s="285"/>
      <c r="D97" s="285"/>
      <c r="E97" s="285"/>
      <c r="F97" s="288"/>
      <c r="G97" s="272"/>
      <c r="H97" s="272"/>
      <c r="I97" s="272"/>
      <c r="J97" s="26"/>
      <c r="K97" s="34"/>
    </row>
    <row r="98" spans="1:11" x14ac:dyDescent="0.2">
      <c r="A98" s="276"/>
      <c r="B98" s="285"/>
      <c r="C98" s="285"/>
      <c r="D98" s="285"/>
      <c r="E98" s="285"/>
      <c r="F98" s="273"/>
      <c r="G98" s="273"/>
      <c r="H98" s="273"/>
      <c r="I98" s="273"/>
      <c r="J98" s="89"/>
      <c r="K98" s="34"/>
    </row>
    <row r="99" spans="1:11" ht="16.350000000000001" customHeight="1" x14ac:dyDescent="0.2">
      <c r="A99" s="276"/>
      <c r="B99" s="285"/>
      <c r="C99" s="285"/>
      <c r="D99" s="285"/>
      <c r="E99" s="285"/>
      <c r="F99" s="288" t="s">
        <v>1098</v>
      </c>
      <c r="G99" s="272"/>
      <c r="H99" s="272"/>
      <c r="I99" s="272"/>
      <c r="J99" s="26"/>
      <c r="K99" s="34"/>
    </row>
    <row r="100" spans="1:11" ht="16.350000000000001" customHeight="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ht="16.350000000000001" customHeight="1" x14ac:dyDescent="0.2">
      <c r="A102" s="276"/>
      <c r="B102" s="285"/>
      <c r="C102" s="285"/>
      <c r="D102" s="285"/>
      <c r="E102" s="285"/>
      <c r="F102" s="288" t="s">
        <v>1099</v>
      </c>
      <c r="G102" s="272"/>
      <c r="H102" s="272"/>
      <c r="I102" s="272"/>
      <c r="J102" s="26"/>
      <c r="K102" s="34"/>
    </row>
    <row r="103" spans="1:11" ht="16.350000000000001" customHeight="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100"/>
    </row>
    <row r="105" spans="1:11" ht="16.350000000000001" customHeight="1" x14ac:dyDescent="0.2">
      <c r="A105" s="276"/>
      <c r="B105" s="285"/>
      <c r="C105" s="285"/>
      <c r="D105" s="285"/>
      <c r="E105" s="285"/>
      <c r="F105" s="288" t="s">
        <v>1100</v>
      </c>
      <c r="G105" s="272"/>
      <c r="H105" s="272"/>
      <c r="I105" s="272"/>
      <c r="J105" s="26"/>
      <c r="K105" s="100"/>
    </row>
    <row r="106" spans="1:11" ht="16.350000000000001" customHeight="1" x14ac:dyDescent="0.2">
      <c r="A106" s="276"/>
      <c r="B106" s="285"/>
      <c r="C106" s="285"/>
      <c r="D106" s="285"/>
      <c r="E106" s="285"/>
      <c r="F106" s="288"/>
      <c r="G106" s="272"/>
      <c r="H106" s="272"/>
      <c r="I106" s="272"/>
      <c r="J106" s="26"/>
      <c r="K106" s="100"/>
    </row>
    <row r="107" spans="1:11" x14ac:dyDescent="0.2">
      <c r="A107" s="276"/>
      <c r="B107" s="285"/>
      <c r="C107" s="285"/>
      <c r="D107" s="285"/>
      <c r="E107" s="285"/>
      <c r="F107" s="273"/>
      <c r="G107" s="273"/>
      <c r="H107" s="273"/>
      <c r="I107" s="273"/>
      <c r="J107" s="89"/>
      <c r="K107" s="37"/>
    </row>
    <row r="108" spans="1:11" ht="16.350000000000001" customHeight="1" x14ac:dyDescent="0.2">
      <c r="A108" s="276"/>
      <c r="B108" s="285"/>
      <c r="C108" s="285"/>
      <c r="D108" s="285"/>
      <c r="E108" s="285"/>
      <c r="F108" s="288" t="s">
        <v>1101</v>
      </c>
      <c r="G108" s="272"/>
      <c r="H108" s="272"/>
      <c r="I108" s="272"/>
      <c r="J108" s="26"/>
      <c r="K108" s="34"/>
    </row>
    <row r="109" spans="1:11" ht="16.350000000000001" customHeight="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x14ac:dyDescent="0.25">
      <c r="A111" s="276"/>
      <c r="B111" s="282" t="s">
        <v>1093</v>
      </c>
      <c r="C111" s="282"/>
      <c r="D111" s="282"/>
      <c r="E111" s="282"/>
      <c r="F111" s="288" t="s">
        <v>1102</v>
      </c>
      <c r="G111" s="272"/>
      <c r="H111" s="272"/>
      <c r="I111" s="272"/>
      <c r="J111" s="26"/>
      <c r="K111" s="33"/>
    </row>
    <row r="112" spans="1:11" x14ac:dyDescent="0.25">
      <c r="A112" s="276"/>
      <c r="B112" s="283"/>
      <c r="C112" s="283"/>
      <c r="D112" s="283"/>
      <c r="E112" s="283"/>
      <c r="F112" s="288"/>
      <c r="G112" s="272"/>
      <c r="H112" s="272"/>
      <c r="I112" s="272"/>
      <c r="J112" s="26"/>
      <c r="K112" s="33"/>
    </row>
    <row r="113" spans="1:11" x14ac:dyDescent="0.2">
      <c r="A113" s="276"/>
      <c r="B113" s="284"/>
      <c r="C113" s="284"/>
      <c r="D113" s="284"/>
      <c r="E113" s="284"/>
      <c r="F113" s="273"/>
      <c r="G113" s="273"/>
      <c r="H113" s="273"/>
      <c r="I113" s="273"/>
      <c r="J113" s="89"/>
      <c r="K113" s="34"/>
    </row>
    <row r="114" spans="1:11" ht="15" customHeight="1" x14ac:dyDescent="0.2">
      <c r="A114" s="276"/>
      <c r="B114" s="285"/>
      <c r="C114" s="285"/>
      <c r="D114" s="285"/>
      <c r="E114" s="285"/>
      <c r="F114" s="288" t="s">
        <v>1103</v>
      </c>
      <c r="G114" s="272"/>
      <c r="H114" s="272"/>
      <c r="I114" s="272"/>
      <c r="J114" s="26"/>
      <c r="K114" s="34"/>
    </row>
    <row r="115" spans="1:1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34"/>
    </row>
    <row r="117" spans="1:11" ht="16.350000000000001" customHeight="1" x14ac:dyDescent="0.2">
      <c r="A117" s="276"/>
      <c r="B117" s="285"/>
      <c r="C117" s="285"/>
      <c r="D117" s="285"/>
      <c r="E117" s="285"/>
      <c r="F117" s="288" t="s">
        <v>1104</v>
      </c>
      <c r="G117" s="272"/>
      <c r="H117" s="272"/>
      <c r="I117" s="272"/>
      <c r="J117" s="26"/>
      <c r="K117" s="34"/>
    </row>
    <row r="118" spans="1:11" ht="16.350000000000001" customHeight="1" x14ac:dyDescent="0.2">
      <c r="A118" s="276"/>
      <c r="B118" s="285"/>
      <c r="C118" s="285"/>
      <c r="D118" s="285"/>
      <c r="E118" s="285"/>
      <c r="F118" s="288"/>
      <c r="G118" s="272"/>
      <c r="H118" s="272"/>
      <c r="I118" s="272"/>
      <c r="J118" s="26"/>
      <c r="K118" s="34"/>
    </row>
    <row r="119" spans="1:11" x14ac:dyDescent="0.2">
      <c r="A119" s="276"/>
      <c r="B119" s="285"/>
      <c r="C119" s="285"/>
      <c r="D119" s="285"/>
      <c r="E119" s="285"/>
      <c r="F119" s="273"/>
      <c r="G119" s="273"/>
      <c r="H119" s="273"/>
      <c r="I119" s="273"/>
      <c r="J119" s="89"/>
      <c r="K119" s="34"/>
    </row>
    <row r="120" spans="1:11" ht="16.350000000000001" customHeight="1" x14ac:dyDescent="0.2">
      <c r="A120" s="276"/>
      <c r="B120" s="285"/>
      <c r="C120" s="285"/>
      <c r="D120" s="285"/>
      <c r="E120" s="285"/>
      <c r="F120" s="288" t="s">
        <v>1105</v>
      </c>
      <c r="G120" s="272"/>
      <c r="H120" s="272"/>
      <c r="I120" s="272"/>
      <c r="J120" s="26"/>
      <c r="K120" s="34"/>
    </row>
    <row r="121" spans="1:11" ht="16.350000000000001" customHeight="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100"/>
    </row>
    <row r="123" spans="1:11" ht="16.350000000000001" customHeight="1" x14ac:dyDescent="0.2">
      <c r="A123" s="276"/>
      <c r="B123" s="285"/>
      <c r="C123" s="285"/>
      <c r="D123" s="285"/>
      <c r="E123" s="285"/>
      <c r="F123" s="288" t="s">
        <v>1106</v>
      </c>
      <c r="G123" s="272"/>
      <c r="H123" s="272"/>
      <c r="I123" s="272"/>
      <c r="J123" s="26"/>
      <c r="K123" s="100"/>
    </row>
    <row r="124" spans="1:11" ht="16.350000000000001" customHeight="1" x14ac:dyDescent="0.2">
      <c r="A124" s="276"/>
      <c r="B124" s="285"/>
      <c r="C124" s="285"/>
      <c r="D124" s="285"/>
      <c r="E124" s="285"/>
      <c r="F124" s="288"/>
      <c r="G124" s="272"/>
      <c r="H124" s="272"/>
      <c r="I124" s="272"/>
      <c r="J124" s="26"/>
      <c r="K124" s="100"/>
    </row>
    <row r="125" spans="1:11" x14ac:dyDescent="0.2">
      <c r="A125" s="276"/>
      <c r="B125" s="285"/>
      <c r="C125" s="285"/>
      <c r="D125" s="285"/>
      <c r="E125" s="285"/>
      <c r="F125" s="273"/>
      <c r="G125" s="273"/>
      <c r="H125" s="273"/>
      <c r="I125" s="273"/>
      <c r="J125" s="89"/>
      <c r="K125" s="37"/>
    </row>
    <row r="126" spans="1:11" ht="16.350000000000001" customHeight="1" x14ac:dyDescent="0.2">
      <c r="A126" s="276"/>
      <c r="B126" s="285"/>
      <c r="C126" s="285"/>
      <c r="D126" s="285"/>
      <c r="E126" s="285"/>
      <c r="F126" s="288" t="s">
        <v>1107</v>
      </c>
      <c r="G126" s="272"/>
      <c r="H126" s="272"/>
      <c r="I126" s="272"/>
      <c r="J126" s="26"/>
      <c r="K126" s="34"/>
    </row>
    <row r="127" spans="1:11" ht="16.350000000000001" customHeight="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x14ac:dyDescent="0.2">
      <c r="A129" s="276"/>
      <c r="B129" s="275" t="s">
        <v>1114</v>
      </c>
      <c r="C129" s="286"/>
      <c r="D129" s="286"/>
      <c r="E129" s="286"/>
      <c r="F129" s="288" t="s">
        <v>1108</v>
      </c>
      <c r="G129" s="272"/>
      <c r="H129" s="272"/>
      <c r="I129" s="272"/>
      <c r="J129" s="26"/>
      <c r="K129" s="37"/>
    </row>
    <row r="130" spans="1:11" x14ac:dyDescent="0.2">
      <c r="A130" s="276"/>
      <c r="B130" s="287"/>
      <c r="C130" s="287"/>
      <c r="D130" s="287"/>
      <c r="E130" s="287"/>
      <c r="F130" s="274"/>
      <c r="G130" s="274"/>
      <c r="H130" s="272"/>
      <c r="I130" s="274"/>
      <c r="J130" s="91"/>
      <c r="K130" s="37"/>
    </row>
    <row r="131" spans="1:11" x14ac:dyDescent="0.2">
      <c r="A131" s="276"/>
      <c r="B131" s="276"/>
      <c r="C131" s="276"/>
      <c r="D131" s="276"/>
      <c r="E131" s="276"/>
      <c r="F131" s="273"/>
      <c r="G131" s="273"/>
      <c r="H131" s="273"/>
      <c r="I131" s="273"/>
      <c r="J131" s="89"/>
      <c r="K131" s="37"/>
    </row>
    <row r="132" spans="1:11" ht="15" customHeight="1" x14ac:dyDescent="0.2">
      <c r="A132" s="276"/>
      <c r="B132" s="276"/>
      <c r="C132" s="276"/>
      <c r="D132" s="276"/>
      <c r="E132" s="276"/>
      <c r="F132" s="288" t="s">
        <v>1109</v>
      </c>
      <c r="G132" s="272"/>
      <c r="H132" s="272"/>
      <c r="I132" s="272"/>
      <c r="J132" s="26"/>
      <c r="K132" s="7"/>
    </row>
    <row r="133" spans="1:11" x14ac:dyDescent="0.2">
      <c r="A133" s="276"/>
      <c r="B133" s="276"/>
      <c r="C133" s="276"/>
      <c r="D133" s="276"/>
      <c r="E133" s="276"/>
      <c r="F133" s="274"/>
      <c r="G133" s="274"/>
      <c r="H133" s="272"/>
      <c r="I133" s="274"/>
      <c r="J133" s="91"/>
      <c r="K133" s="7"/>
    </row>
    <row r="134" spans="1:11" x14ac:dyDescent="0.2">
      <c r="A134" s="276"/>
      <c r="B134" s="276"/>
      <c r="C134" s="276"/>
      <c r="D134" s="276"/>
      <c r="E134" s="276"/>
      <c r="F134" s="273"/>
      <c r="G134" s="273"/>
      <c r="H134" s="273"/>
      <c r="I134" s="273"/>
      <c r="J134" s="89"/>
      <c r="K134" s="7"/>
    </row>
    <row r="135" spans="1:11" ht="16.350000000000001" customHeight="1" x14ac:dyDescent="0.2">
      <c r="A135" s="276"/>
      <c r="B135" s="276"/>
      <c r="C135" s="276"/>
      <c r="D135" s="276"/>
      <c r="E135" s="276"/>
      <c r="F135" s="288" t="s">
        <v>1110</v>
      </c>
      <c r="G135" s="272"/>
      <c r="H135" s="272"/>
      <c r="I135" s="272"/>
      <c r="J135" s="26"/>
      <c r="K135" s="7"/>
    </row>
    <row r="136" spans="1:11" x14ac:dyDescent="0.2">
      <c r="A136" s="276"/>
      <c r="B136" s="276"/>
      <c r="C136" s="276"/>
      <c r="D136" s="276"/>
      <c r="E136" s="276"/>
      <c r="F136" s="274"/>
      <c r="G136" s="274"/>
      <c r="H136" s="272"/>
      <c r="I136" s="274"/>
      <c r="J136" s="91"/>
      <c r="K136" s="7"/>
    </row>
    <row r="137" spans="1:11" x14ac:dyDescent="0.2">
      <c r="A137" s="276"/>
      <c r="B137" s="276"/>
      <c r="C137" s="276"/>
      <c r="D137" s="276"/>
      <c r="E137" s="276"/>
      <c r="F137" s="273"/>
      <c r="G137" s="273"/>
      <c r="H137" s="273"/>
      <c r="I137" s="273"/>
      <c r="J137" s="89"/>
      <c r="K137" s="7"/>
    </row>
    <row r="138" spans="1:11" ht="16.350000000000001" customHeight="1" x14ac:dyDescent="0.2">
      <c r="A138" s="276"/>
      <c r="B138" s="276"/>
      <c r="C138" s="276"/>
      <c r="D138" s="276"/>
      <c r="E138" s="276"/>
      <c r="F138" s="288" t="s">
        <v>1111</v>
      </c>
      <c r="G138" s="272"/>
      <c r="H138" s="272"/>
      <c r="I138" s="272"/>
      <c r="J138" s="26"/>
      <c r="K138" s="6"/>
    </row>
    <row r="139" spans="1:11" x14ac:dyDescent="0.2">
      <c r="A139" s="276"/>
      <c r="B139" s="276"/>
      <c r="C139" s="276"/>
      <c r="D139" s="276"/>
      <c r="E139" s="276"/>
      <c r="F139" s="274"/>
      <c r="G139" s="274"/>
      <c r="H139" s="272"/>
      <c r="I139" s="274"/>
      <c r="J139" s="91"/>
      <c r="K139" s="7"/>
    </row>
    <row r="140" spans="1:11" x14ac:dyDescent="0.2">
      <c r="A140" s="276"/>
      <c r="B140" s="276"/>
      <c r="C140" s="276"/>
      <c r="D140" s="276"/>
      <c r="E140" s="276"/>
      <c r="F140" s="273"/>
      <c r="G140" s="273"/>
      <c r="H140" s="273"/>
      <c r="I140" s="273"/>
      <c r="J140" s="89"/>
      <c r="K140" s="7"/>
    </row>
    <row r="141" spans="1:11" ht="16.350000000000001" customHeight="1" x14ac:dyDescent="0.2">
      <c r="A141" s="276"/>
      <c r="B141" s="276"/>
      <c r="C141" s="276"/>
      <c r="D141" s="276"/>
      <c r="E141" s="276"/>
      <c r="F141" s="288" t="s">
        <v>1112</v>
      </c>
      <c r="G141" s="272"/>
      <c r="H141" s="272"/>
      <c r="I141" s="272"/>
      <c r="J141" s="26"/>
      <c r="K141" s="6"/>
    </row>
    <row r="142" spans="1:11" x14ac:dyDescent="0.2">
      <c r="A142" s="276"/>
      <c r="B142" s="276"/>
      <c r="C142" s="276"/>
      <c r="D142" s="276"/>
      <c r="E142" s="276"/>
      <c r="F142" s="274"/>
      <c r="G142" s="274"/>
      <c r="H142" s="272"/>
      <c r="I142" s="274"/>
      <c r="J142" s="91"/>
      <c r="K142" s="7"/>
    </row>
    <row r="143" spans="1:11" x14ac:dyDescent="0.2">
      <c r="A143" s="276"/>
      <c r="B143" s="276"/>
      <c r="C143" s="276"/>
      <c r="D143" s="276"/>
      <c r="E143" s="276"/>
      <c r="F143" s="273"/>
      <c r="G143" s="273"/>
      <c r="H143" s="273"/>
      <c r="I143" s="273"/>
      <c r="J143" s="89"/>
      <c r="K143" s="7"/>
    </row>
    <row r="144" spans="1:11" ht="16.350000000000001" customHeight="1" x14ac:dyDescent="0.2">
      <c r="A144" s="276"/>
      <c r="B144" s="276"/>
      <c r="C144" s="276"/>
      <c r="D144" s="276"/>
      <c r="E144" s="276"/>
      <c r="F144" s="288" t="s">
        <v>1113</v>
      </c>
      <c r="G144" s="272"/>
      <c r="H144" s="272"/>
      <c r="I144" s="272"/>
      <c r="J144" s="26"/>
      <c r="K144" s="6"/>
    </row>
    <row r="145" spans="1:11" x14ac:dyDescent="0.2">
      <c r="A145" s="276"/>
      <c r="B145" s="276"/>
      <c r="C145" s="276"/>
      <c r="D145" s="276"/>
      <c r="E145" s="276"/>
      <c r="F145" s="274"/>
      <c r="G145" s="274"/>
      <c r="H145" s="272"/>
      <c r="I145" s="274"/>
      <c r="J145" s="91"/>
      <c r="K145" s="7"/>
    </row>
    <row r="146" spans="1:11" x14ac:dyDescent="0.2">
      <c r="A146" s="276"/>
      <c r="B146" s="276"/>
      <c r="C146" s="276"/>
      <c r="D146" s="276"/>
      <c r="E146" s="276"/>
      <c r="F146" s="273"/>
      <c r="G146" s="273"/>
      <c r="H146" s="273"/>
      <c r="I146" s="273"/>
      <c r="J146" s="89"/>
      <c r="K146" s="7"/>
    </row>
    <row r="154" spans="1:11" x14ac:dyDescent="0.2">
      <c r="E154" s="92" t="s">
        <v>528</v>
      </c>
    </row>
    <row r="155" spans="1:11" x14ac:dyDescent="0.2">
      <c r="E155" s="92" t="s">
        <v>511</v>
      </c>
    </row>
    <row r="156" spans="1:11" x14ac:dyDescent="0.2">
      <c r="E156" s="92" t="s">
        <v>515</v>
      </c>
    </row>
    <row r="157" spans="1:11" x14ac:dyDescent="0.2">
      <c r="E157" s="92" t="s">
        <v>505</v>
      </c>
    </row>
    <row r="158" spans="1:11" x14ac:dyDescent="0.2">
      <c r="E158" s="92" t="s">
        <v>507</v>
      </c>
    </row>
  </sheetData>
  <mergeCells count="225">
    <mergeCell ref="A3:A146"/>
    <mergeCell ref="B3:B20"/>
    <mergeCell ref="C3:C20"/>
    <mergeCell ref="F3:F5"/>
    <mergeCell ref="G3:G5"/>
    <mergeCell ref="F6:F8"/>
    <mergeCell ref="G6:G8"/>
    <mergeCell ref="F9:F11"/>
    <mergeCell ref="G9:G11"/>
    <mergeCell ref="F12:F14"/>
    <mergeCell ref="G24:G26"/>
    <mergeCell ref="F27:F29"/>
    <mergeCell ref="G27:G29"/>
    <mergeCell ref="F30:F32"/>
    <mergeCell ref="G30:G32"/>
    <mergeCell ref="F33:F35"/>
    <mergeCell ref="F39:F41"/>
    <mergeCell ref="G39:G41"/>
    <mergeCell ref="G12:G14"/>
    <mergeCell ref="F15:F17"/>
    <mergeCell ref="G15:G17"/>
    <mergeCell ref="F18:F20"/>
    <mergeCell ref="G18:G20"/>
    <mergeCell ref="F21:F23"/>
    <mergeCell ref="B129:B146"/>
    <mergeCell ref="C129:C146"/>
    <mergeCell ref="F129:F131"/>
    <mergeCell ref="G129:G131"/>
    <mergeCell ref="F132:F134"/>
    <mergeCell ref="G132:G134"/>
    <mergeCell ref="B57:B74"/>
    <mergeCell ref="C57:C74"/>
    <mergeCell ref="F57:F59"/>
    <mergeCell ref="G57:G59"/>
    <mergeCell ref="F60:F62"/>
    <mergeCell ref="G60:G62"/>
    <mergeCell ref="B111:B128"/>
    <mergeCell ref="C111:C128"/>
    <mergeCell ref="E111:E128"/>
    <mergeCell ref="F123:F125"/>
    <mergeCell ref="G123:G125"/>
    <mergeCell ref="F126:F128"/>
    <mergeCell ref="E129:E146"/>
    <mergeCell ref="F84:F86"/>
    <mergeCell ref="G84:G86"/>
    <mergeCell ref="F87:F89"/>
    <mergeCell ref="G87:G89"/>
    <mergeCell ref="F90:F92"/>
    <mergeCell ref="F135:F137"/>
    <mergeCell ref="G135:G137"/>
    <mergeCell ref="F144:F146"/>
    <mergeCell ref="G144:G146"/>
    <mergeCell ref="F42:F44"/>
    <mergeCell ref="G42:G44"/>
    <mergeCell ref="F45:F47"/>
    <mergeCell ref="G45:G47"/>
    <mergeCell ref="G99:G101"/>
    <mergeCell ref="F102:F104"/>
    <mergeCell ref="G102:G104"/>
    <mergeCell ref="G126:G128"/>
    <mergeCell ref="F120:F122"/>
    <mergeCell ref="G120:G122"/>
    <mergeCell ref="G90:G92"/>
    <mergeCell ref="F75:F77"/>
    <mergeCell ref="G75:G77"/>
    <mergeCell ref="F78:F80"/>
    <mergeCell ref="G78:G80"/>
    <mergeCell ref="F81:F83"/>
    <mergeCell ref="G81:G83"/>
    <mergeCell ref="F111:F113"/>
    <mergeCell ref="G111:G113"/>
    <mergeCell ref="F93:F95"/>
    <mergeCell ref="E3:E20"/>
    <mergeCell ref="E21:E38"/>
    <mergeCell ref="E39:E56"/>
    <mergeCell ref="E57:E74"/>
    <mergeCell ref="F24:F26"/>
    <mergeCell ref="G33:G35"/>
    <mergeCell ref="F69:F71"/>
    <mergeCell ref="G69:G71"/>
    <mergeCell ref="F72:F74"/>
    <mergeCell ref="G72:G74"/>
    <mergeCell ref="B75:B92"/>
    <mergeCell ref="C75:C92"/>
    <mergeCell ref="E75:E92"/>
    <mergeCell ref="B93:B110"/>
    <mergeCell ref="C93:C110"/>
    <mergeCell ref="B21:B38"/>
    <mergeCell ref="C21:C38"/>
    <mergeCell ref="F36:F38"/>
    <mergeCell ref="G36:G38"/>
    <mergeCell ref="G21:G23"/>
    <mergeCell ref="B39:B56"/>
    <mergeCell ref="C39:C56"/>
    <mergeCell ref="E93:E110"/>
    <mergeCell ref="F63:F65"/>
    <mergeCell ref="G63:G65"/>
    <mergeCell ref="F66:F68"/>
    <mergeCell ref="G66:G68"/>
    <mergeCell ref="F51:F53"/>
    <mergeCell ref="G51:G53"/>
    <mergeCell ref="F54:F56"/>
    <mergeCell ref="G54:G56"/>
    <mergeCell ref="F48:F50"/>
    <mergeCell ref="G48:G50"/>
    <mergeCell ref="H3:H5"/>
    <mergeCell ref="H6:H8"/>
    <mergeCell ref="H9:H11"/>
    <mergeCell ref="H12:H14"/>
    <mergeCell ref="H15:H17"/>
    <mergeCell ref="H18:H20"/>
    <mergeCell ref="F114:F116"/>
    <mergeCell ref="G114:G116"/>
    <mergeCell ref="F117:F119"/>
    <mergeCell ref="G117:G119"/>
    <mergeCell ref="F105:F107"/>
    <mergeCell ref="G105:G107"/>
    <mergeCell ref="F108:F110"/>
    <mergeCell ref="G108:G110"/>
    <mergeCell ref="G93:G95"/>
    <mergeCell ref="F96:F98"/>
    <mergeCell ref="G96:G98"/>
    <mergeCell ref="F99:F101"/>
    <mergeCell ref="H27:H29"/>
    <mergeCell ref="H30:H32"/>
    <mergeCell ref="H33:H35"/>
    <mergeCell ref="H36:H38"/>
    <mergeCell ref="H144:H146"/>
    <mergeCell ref="I3:I5"/>
    <mergeCell ref="I6:I8"/>
    <mergeCell ref="I9:I11"/>
    <mergeCell ref="I12:I14"/>
    <mergeCell ref="I15:I17"/>
    <mergeCell ref="I18:I20"/>
    <mergeCell ref="H111:H113"/>
    <mergeCell ref="H114:H116"/>
    <mergeCell ref="H117:H119"/>
    <mergeCell ref="H120:H122"/>
    <mergeCell ref="H123:H125"/>
    <mergeCell ref="H126:H128"/>
    <mergeCell ref="H93:H95"/>
    <mergeCell ref="H96:H98"/>
    <mergeCell ref="H99:H101"/>
    <mergeCell ref="H102:H104"/>
    <mergeCell ref="H105:H107"/>
    <mergeCell ref="H108:H110"/>
    <mergeCell ref="H75:H77"/>
    <mergeCell ref="H78:H80"/>
    <mergeCell ref="H81:H83"/>
    <mergeCell ref="H84:H86"/>
    <mergeCell ref="H87:H89"/>
    <mergeCell ref="I21:I23"/>
    <mergeCell ref="I24:I26"/>
    <mergeCell ref="I27:I29"/>
    <mergeCell ref="I30:I32"/>
    <mergeCell ref="I33:I35"/>
    <mergeCell ref="I36:I38"/>
    <mergeCell ref="H129:H131"/>
    <mergeCell ref="H132:H134"/>
    <mergeCell ref="H135:H137"/>
    <mergeCell ref="H90:H92"/>
    <mergeCell ref="H57:H59"/>
    <mergeCell ref="H60:H62"/>
    <mergeCell ref="H63:H65"/>
    <mergeCell ref="H66:H68"/>
    <mergeCell ref="H69:H71"/>
    <mergeCell ref="H72:H74"/>
    <mergeCell ref="H39:H41"/>
    <mergeCell ref="H42:H44"/>
    <mergeCell ref="H45:H47"/>
    <mergeCell ref="H48:H50"/>
    <mergeCell ref="H51:H53"/>
    <mergeCell ref="H54:H56"/>
    <mergeCell ref="H21:H23"/>
    <mergeCell ref="H24:H26"/>
    <mergeCell ref="I57:I59"/>
    <mergeCell ref="I60:I62"/>
    <mergeCell ref="I63:I65"/>
    <mergeCell ref="I66:I68"/>
    <mergeCell ref="I69:I71"/>
    <mergeCell ref="I72:I74"/>
    <mergeCell ref="I39:I41"/>
    <mergeCell ref="I42:I44"/>
    <mergeCell ref="I45:I47"/>
    <mergeCell ref="I48:I50"/>
    <mergeCell ref="I51:I53"/>
    <mergeCell ref="I54:I56"/>
    <mergeCell ref="I123:I125"/>
    <mergeCell ref="I126:I128"/>
    <mergeCell ref="I93:I95"/>
    <mergeCell ref="I96:I98"/>
    <mergeCell ref="I99:I101"/>
    <mergeCell ref="I102:I104"/>
    <mergeCell ref="I105:I107"/>
    <mergeCell ref="I108:I110"/>
    <mergeCell ref="I75:I77"/>
    <mergeCell ref="I78:I80"/>
    <mergeCell ref="I81:I83"/>
    <mergeCell ref="I84:I86"/>
    <mergeCell ref="I87:I89"/>
    <mergeCell ref="I90:I92"/>
    <mergeCell ref="H141:H143"/>
    <mergeCell ref="I141:I143"/>
    <mergeCell ref="D3:D20"/>
    <mergeCell ref="D21:D38"/>
    <mergeCell ref="D39:D56"/>
    <mergeCell ref="D57:D74"/>
    <mergeCell ref="D75:D92"/>
    <mergeCell ref="D93:D110"/>
    <mergeCell ref="D111:D128"/>
    <mergeCell ref="D129:D146"/>
    <mergeCell ref="I129:I131"/>
    <mergeCell ref="I132:I134"/>
    <mergeCell ref="I135:I137"/>
    <mergeCell ref="I144:I146"/>
    <mergeCell ref="F138:F140"/>
    <mergeCell ref="G138:G140"/>
    <mergeCell ref="H138:H140"/>
    <mergeCell ref="I138:I140"/>
    <mergeCell ref="F141:F143"/>
    <mergeCell ref="G141:G143"/>
    <mergeCell ref="I111:I113"/>
    <mergeCell ref="I114:I116"/>
    <mergeCell ref="I117:I119"/>
    <mergeCell ref="I120:I122"/>
  </mergeCells>
  <phoneticPr fontId="14" type="noConversion"/>
  <dataValidations count="1">
    <dataValidation type="list" allowBlank="1" showInputMessage="1" showErrorMessage="1" sqref="E3:E146 H3:H146" xr:uid="{2052932E-7196-3849-AB87-ABC76FF77731}">
      <formula1>$E$154:$E$158</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A24D-6DAD-B540-AE09-F06650DA3682}">
  <sheetPr>
    <tabColor rgb="FFFF0000"/>
  </sheetPr>
  <dimension ref="A1:P298"/>
  <sheetViews>
    <sheetView showGridLines="0" topLeftCell="B1" zoomScaleNormal="100" workbookViewId="0">
      <pane xSplit="7" ySplit="8" topLeftCell="I9" activePane="bottomRight" state="frozen"/>
      <selection activeCell="B1" sqref="B1"/>
      <selection pane="topRight" activeCell="I1" sqref="I1"/>
      <selection pane="bottomLeft" activeCell="B9" sqref="B9"/>
      <selection pane="bottomRight" activeCell="F4" sqref="F4"/>
    </sheetView>
  </sheetViews>
  <sheetFormatPr defaultColWidth="11.28515625" defaultRowHeight="12.75" x14ac:dyDescent="0.2"/>
  <cols>
    <col min="1" max="1" width="6.7109375" style="16" customWidth="1"/>
    <col min="2" max="2" width="16.85546875" style="16" customWidth="1"/>
    <col min="3" max="3" width="7.28515625" style="128" customWidth="1"/>
    <col min="4" max="4" width="41.7109375" style="16" customWidth="1"/>
    <col min="5" max="5" width="6.28515625" style="16" customWidth="1"/>
    <col min="6" max="6" width="54" style="16" customWidth="1"/>
    <col min="7" max="7" width="22.140625" style="16" customWidth="1"/>
    <col min="8" max="8" width="4.28515625" style="128" hidden="1" customWidth="1"/>
    <col min="9" max="14" width="16" style="128" customWidth="1"/>
    <col min="15" max="15" width="34" style="16" customWidth="1"/>
    <col min="16" max="16384" width="11.28515625" style="16"/>
  </cols>
  <sheetData>
    <row r="1" spans="1:15" ht="15" x14ac:dyDescent="0.2">
      <c r="A1" s="299" t="s">
        <v>483</v>
      </c>
      <c r="B1" s="299"/>
      <c r="C1" s="299"/>
      <c r="D1" s="299"/>
    </row>
    <row r="2" spans="1:15" x14ac:dyDescent="0.2">
      <c r="A2" s="300" t="s">
        <v>484</v>
      </c>
      <c r="B2" s="300"/>
      <c r="C2" s="300"/>
      <c r="D2" s="300"/>
    </row>
    <row r="3" spans="1:15" x14ac:dyDescent="0.2">
      <c r="A3" s="300" t="s">
        <v>485</v>
      </c>
      <c r="B3" s="300"/>
      <c r="C3" s="300"/>
      <c r="D3" s="300"/>
    </row>
    <row r="4" spans="1:15" ht="36" customHeight="1" x14ac:dyDescent="0.2">
      <c r="A4" s="300" t="s">
        <v>486</v>
      </c>
      <c r="B4" s="300"/>
      <c r="C4" s="300"/>
      <c r="D4" s="300"/>
      <c r="F4" s="129" t="s">
        <v>487</v>
      </c>
    </row>
    <row r="5" spans="1:15" ht="43.15" customHeight="1" x14ac:dyDescent="0.2">
      <c r="A5" s="300" t="s">
        <v>488</v>
      </c>
      <c r="B5" s="300"/>
      <c r="C5" s="300"/>
      <c r="D5" s="300"/>
      <c r="F5" s="129" t="s">
        <v>489</v>
      </c>
    </row>
    <row r="6" spans="1:15" x14ac:dyDescent="0.2">
      <c r="A6" s="300" t="s">
        <v>490</v>
      </c>
      <c r="B6" s="300"/>
      <c r="C6" s="300"/>
      <c r="D6" s="300"/>
    </row>
    <row r="8" spans="1:15" s="128" customFormat="1" ht="89.1" customHeight="1" x14ac:dyDescent="0.2">
      <c r="A8" s="130" t="s">
        <v>491</v>
      </c>
      <c r="B8" s="93" t="s">
        <v>340</v>
      </c>
      <c r="C8" s="93" t="s">
        <v>492</v>
      </c>
      <c r="D8" s="93" t="s">
        <v>185</v>
      </c>
      <c r="E8" s="93" t="s">
        <v>491</v>
      </c>
      <c r="F8" s="93" t="s">
        <v>493</v>
      </c>
      <c r="G8" s="295" t="s">
        <v>494</v>
      </c>
      <c r="H8" s="296"/>
      <c r="I8" s="93" t="s">
        <v>495</v>
      </c>
      <c r="J8" s="93" t="s">
        <v>496</v>
      </c>
      <c r="K8" s="93" t="s">
        <v>497</v>
      </c>
      <c r="L8" s="93" t="s">
        <v>498</v>
      </c>
      <c r="M8" s="93" t="s">
        <v>499</v>
      </c>
      <c r="N8" s="94" t="s">
        <v>500</v>
      </c>
      <c r="O8" s="94" t="s">
        <v>501</v>
      </c>
    </row>
    <row r="9" spans="1:15" ht="15" x14ac:dyDescent="0.2">
      <c r="A9" s="242" t="s">
        <v>342</v>
      </c>
      <c r="B9" s="297" t="s">
        <v>502</v>
      </c>
      <c r="C9" s="236">
        <f>SUM(H9:H16)/COUNTIF(F9:F16,"&gt;""")/4</f>
        <v>0.39285714285714285</v>
      </c>
      <c r="D9" s="298" t="s">
        <v>503</v>
      </c>
      <c r="E9" s="95" t="s">
        <v>343</v>
      </c>
      <c r="F9" s="95" t="s">
        <v>504</v>
      </c>
      <c r="G9" s="95" t="s">
        <v>505</v>
      </c>
      <c r="H9" s="93">
        <f t="shared" ref="H9:H39" si="0">IF(G9=$G$294,4,IF(G9=$G$295,3,IF(G9=$G$296,2,IF(G9=$G$297,1,0))))</f>
        <v>1</v>
      </c>
      <c r="I9" s="131" t="s">
        <v>54</v>
      </c>
      <c r="J9" s="131"/>
      <c r="K9" s="131"/>
      <c r="L9" s="131"/>
      <c r="M9" s="131"/>
      <c r="N9" s="132"/>
      <c r="O9" s="133"/>
    </row>
    <row r="10" spans="1:15" ht="15" x14ac:dyDescent="0.2">
      <c r="A10" s="234"/>
      <c r="B10" s="235"/>
      <c r="C10" s="237"/>
      <c r="D10" s="239"/>
      <c r="E10" s="95" t="s">
        <v>344</v>
      </c>
      <c r="F10" s="96" t="s">
        <v>506</v>
      </c>
      <c r="G10" s="95" t="s">
        <v>507</v>
      </c>
      <c r="H10" s="93">
        <f t="shared" si="0"/>
        <v>0</v>
      </c>
      <c r="I10" s="130" t="s">
        <v>54</v>
      </c>
      <c r="J10" s="130" t="s">
        <v>54</v>
      </c>
      <c r="K10" s="130" t="s">
        <v>54</v>
      </c>
      <c r="L10" s="130"/>
      <c r="M10" s="130"/>
      <c r="N10" s="134"/>
      <c r="O10" s="112"/>
    </row>
    <row r="11" spans="1:15" ht="25.5" x14ac:dyDescent="0.2">
      <c r="A11" s="234"/>
      <c r="B11" s="235"/>
      <c r="C11" s="237"/>
      <c r="D11" s="239"/>
      <c r="E11" s="95" t="s">
        <v>345</v>
      </c>
      <c r="F11" s="96" t="s">
        <v>508</v>
      </c>
      <c r="G11" s="95" t="s">
        <v>507</v>
      </c>
      <c r="H11" s="93">
        <f t="shared" si="0"/>
        <v>0</v>
      </c>
      <c r="I11" s="130" t="s">
        <v>54</v>
      </c>
      <c r="J11" s="130" t="s">
        <v>54</v>
      </c>
      <c r="K11" s="130" t="s">
        <v>54</v>
      </c>
      <c r="L11" s="130"/>
      <c r="M11" s="130"/>
      <c r="N11" s="134"/>
      <c r="O11" s="112" t="s">
        <v>509</v>
      </c>
    </row>
    <row r="12" spans="1:15" ht="15" x14ac:dyDescent="0.2">
      <c r="A12" s="234"/>
      <c r="B12" s="235"/>
      <c r="C12" s="237"/>
      <c r="D12" s="239"/>
      <c r="E12" s="95" t="s">
        <v>346</v>
      </c>
      <c r="F12" s="96" t="s">
        <v>510</v>
      </c>
      <c r="G12" s="95" t="s">
        <v>511</v>
      </c>
      <c r="H12" s="93">
        <f t="shared" si="0"/>
        <v>3</v>
      </c>
      <c r="I12" s="130"/>
      <c r="J12" s="130"/>
      <c r="K12" s="130"/>
      <c r="L12" s="130"/>
      <c r="M12" s="130"/>
      <c r="N12" s="134"/>
      <c r="O12" s="112"/>
    </row>
    <row r="13" spans="1:15" ht="15" x14ac:dyDescent="0.2">
      <c r="A13" s="234"/>
      <c r="B13" s="235"/>
      <c r="C13" s="237"/>
      <c r="D13" s="239"/>
      <c r="E13" s="95" t="s">
        <v>347</v>
      </c>
      <c r="F13" s="96" t="s">
        <v>512</v>
      </c>
      <c r="G13" s="95" t="s">
        <v>511</v>
      </c>
      <c r="H13" s="93">
        <f t="shared" si="0"/>
        <v>3</v>
      </c>
      <c r="I13" s="130"/>
      <c r="J13" s="130"/>
      <c r="K13" s="130"/>
      <c r="L13" s="130"/>
      <c r="M13" s="130"/>
      <c r="N13" s="134"/>
      <c r="O13" s="112"/>
    </row>
    <row r="14" spans="1:15" ht="30" x14ac:dyDescent="0.2">
      <c r="A14" s="234"/>
      <c r="B14" s="235"/>
      <c r="C14" s="237"/>
      <c r="D14" s="239"/>
      <c r="E14" s="95" t="s">
        <v>513</v>
      </c>
      <c r="F14" s="117" t="s">
        <v>1466</v>
      </c>
      <c r="G14" s="95" t="s">
        <v>515</v>
      </c>
      <c r="H14" s="93">
        <f t="shared" si="0"/>
        <v>2</v>
      </c>
      <c r="I14" s="130" t="s">
        <v>54</v>
      </c>
      <c r="J14" s="130" t="s">
        <v>54</v>
      </c>
      <c r="K14" s="130" t="s">
        <v>54</v>
      </c>
      <c r="L14" s="130"/>
      <c r="M14" s="130"/>
      <c r="N14" s="134"/>
      <c r="O14" s="113" t="s">
        <v>516</v>
      </c>
    </row>
    <row r="15" spans="1:15" ht="15" x14ac:dyDescent="0.2">
      <c r="A15" s="234"/>
      <c r="B15" s="235"/>
      <c r="C15" s="237"/>
      <c r="D15" s="239"/>
      <c r="E15" s="95" t="s">
        <v>517</v>
      </c>
      <c r="F15" s="117" t="s">
        <v>946</v>
      </c>
      <c r="G15" s="95" t="s">
        <v>515</v>
      </c>
      <c r="H15" s="93">
        <f t="shared" si="0"/>
        <v>2</v>
      </c>
      <c r="I15" s="130"/>
      <c r="J15" s="130"/>
      <c r="K15" s="130"/>
      <c r="L15" s="130"/>
      <c r="M15" s="130"/>
      <c r="N15" s="134"/>
      <c r="O15" s="112"/>
    </row>
    <row r="16" spans="1:15" ht="15" x14ac:dyDescent="0.2">
      <c r="A16" s="234"/>
      <c r="B16" s="235"/>
      <c r="C16" s="237"/>
      <c r="D16" s="241"/>
      <c r="E16" s="95" t="s">
        <v>518</v>
      </c>
      <c r="F16" s="96"/>
      <c r="G16" s="95"/>
      <c r="H16" s="93">
        <f t="shared" si="0"/>
        <v>0</v>
      </c>
      <c r="I16" s="130"/>
      <c r="J16" s="130"/>
      <c r="K16" s="130"/>
      <c r="L16" s="130"/>
      <c r="M16" s="130"/>
      <c r="N16" s="134"/>
      <c r="O16" s="112"/>
    </row>
    <row r="17" spans="1:15" ht="25.5" x14ac:dyDescent="0.2">
      <c r="A17" s="234" t="s">
        <v>348</v>
      </c>
      <c r="B17" s="235" t="s">
        <v>519</v>
      </c>
      <c r="C17" s="236">
        <f>SUM(H17:H22)/COUNTIF(F17:F22,"&gt;""")/4</f>
        <v>0.5</v>
      </c>
      <c r="D17" s="240" t="s">
        <v>520</v>
      </c>
      <c r="E17" s="99" t="s">
        <v>349</v>
      </c>
      <c r="F17" s="96" t="s">
        <v>521</v>
      </c>
      <c r="G17" s="96" t="s">
        <v>515</v>
      </c>
      <c r="H17" s="93">
        <f t="shared" si="0"/>
        <v>2</v>
      </c>
      <c r="I17" s="130" t="s">
        <v>54</v>
      </c>
      <c r="J17" s="130" t="s">
        <v>54</v>
      </c>
      <c r="K17" s="130" t="s">
        <v>54</v>
      </c>
      <c r="L17" s="130"/>
      <c r="M17" s="130" t="s">
        <v>54</v>
      </c>
      <c r="N17" s="134" t="s">
        <v>54</v>
      </c>
      <c r="O17" s="112"/>
    </row>
    <row r="18" spans="1:15" ht="15" x14ac:dyDescent="0.2">
      <c r="A18" s="234"/>
      <c r="B18" s="235"/>
      <c r="C18" s="237"/>
      <c r="D18" s="239"/>
      <c r="E18" s="99" t="s">
        <v>350</v>
      </c>
      <c r="F18" s="96" t="s">
        <v>522</v>
      </c>
      <c r="G18" s="96" t="s">
        <v>515</v>
      </c>
      <c r="H18" s="93">
        <f t="shared" si="0"/>
        <v>2</v>
      </c>
      <c r="I18" s="130" t="s">
        <v>54</v>
      </c>
      <c r="J18" s="130" t="s">
        <v>54</v>
      </c>
      <c r="K18" s="130" t="s">
        <v>54</v>
      </c>
      <c r="L18" s="130"/>
      <c r="M18" s="130" t="s">
        <v>54</v>
      </c>
      <c r="N18" s="134" t="s">
        <v>54</v>
      </c>
      <c r="O18" s="112"/>
    </row>
    <row r="19" spans="1:15" ht="15" x14ac:dyDescent="0.2">
      <c r="A19" s="234"/>
      <c r="B19" s="235"/>
      <c r="C19" s="237"/>
      <c r="D19" s="239"/>
      <c r="E19" s="99" t="s">
        <v>351</v>
      </c>
      <c r="F19" s="96" t="s">
        <v>523</v>
      </c>
      <c r="G19" s="96" t="s">
        <v>515</v>
      </c>
      <c r="H19" s="93">
        <f t="shared" si="0"/>
        <v>2</v>
      </c>
      <c r="I19" s="130" t="s">
        <v>54</v>
      </c>
      <c r="J19" s="130" t="s">
        <v>54</v>
      </c>
      <c r="K19" s="130" t="s">
        <v>54</v>
      </c>
      <c r="L19" s="130"/>
      <c r="M19" s="130" t="s">
        <v>54</v>
      </c>
      <c r="N19" s="134" t="s">
        <v>54</v>
      </c>
      <c r="O19" s="112"/>
    </row>
    <row r="20" spans="1:15" ht="45" x14ac:dyDescent="0.2">
      <c r="A20" s="234"/>
      <c r="B20" s="235"/>
      <c r="C20" s="237"/>
      <c r="D20" s="239"/>
      <c r="E20" s="99" t="s">
        <v>352</v>
      </c>
      <c r="F20" s="96" t="s">
        <v>524</v>
      </c>
      <c r="G20" s="96" t="s">
        <v>515</v>
      </c>
      <c r="H20" s="93">
        <f t="shared" si="0"/>
        <v>2</v>
      </c>
      <c r="I20" s="130" t="s">
        <v>54</v>
      </c>
      <c r="J20" s="130" t="s">
        <v>54</v>
      </c>
      <c r="K20" s="130" t="s">
        <v>54</v>
      </c>
      <c r="L20" s="130"/>
      <c r="M20" s="130" t="s">
        <v>54</v>
      </c>
      <c r="N20" s="134" t="s">
        <v>54</v>
      </c>
      <c r="O20" s="113" t="s">
        <v>525</v>
      </c>
    </row>
    <row r="21" spans="1:15" ht="15" x14ac:dyDescent="0.2">
      <c r="A21" s="234"/>
      <c r="B21" s="235"/>
      <c r="C21" s="237"/>
      <c r="D21" s="239"/>
      <c r="E21" s="99" t="s">
        <v>353</v>
      </c>
      <c r="F21" s="96"/>
      <c r="G21" s="96"/>
      <c r="H21" s="93">
        <f t="shared" si="0"/>
        <v>0</v>
      </c>
      <c r="I21" s="130"/>
      <c r="J21" s="130"/>
      <c r="K21" s="130"/>
      <c r="L21" s="130"/>
      <c r="M21" s="130"/>
      <c r="N21" s="134"/>
      <c r="O21" s="112"/>
    </row>
    <row r="22" spans="1:15" ht="15" x14ac:dyDescent="0.2">
      <c r="A22" s="234"/>
      <c r="B22" s="235"/>
      <c r="C22" s="237"/>
      <c r="D22" s="241"/>
      <c r="E22" s="99" t="s">
        <v>526</v>
      </c>
      <c r="F22" s="96"/>
      <c r="G22" s="96"/>
      <c r="H22" s="93">
        <f t="shared" si="0"/>
        <v>0</v>
      </c>
      <c r="I22" s="130"/>
      <c r="J22" s="130"/>
      <c r="K22" s="130"/>
      <c r="L22" s="130"/>
      <c r="M22" s="130"/>
      <c r="N22" s="134"/>
      <c r="O22" s="112"/>
    </row>
    <row r="23" spans="1:15" ht="15" x14ac:dyDescent="0.2">
      <c r="A23" s="234" t="s">
        <v>354</v>
      </c>
      <c r="B23" s="235" t="s">
        <v>1554</v>
      </c>
      <c r="C23" s="236">
        <f>SUM(H23:H29)/COUNTIF(F23:F29,"&gt;""")/4</f>
        <v>0.75</v>
      </c>
      <c r="D23" s="238" t="s">
        <v>875</v>
      </c>
      <c r="E23" s="96" t="s">
        <v>355</v>
      </c>
      <c r="F23" s="96" t="s">
        <v>527</v>
      </c>
      <c r="G23" s="96" t="s">
        <v>528</v>
      </c>
      <c r="H23" s="93">
        <f t="shared" si="0"/>
        <v>4</v>
      </c>
      <c r="I23" s="130"/>
      <c r="J23" s="130"/>
      <c r="K23" s="130"/>
      <c r="L23" s="130"/>
      <c r="M23" s="130"/>
      <c r="N23" s="134"/>
      <c r="O23" s="112"/>
    </row>
    <row r="24" spans="1:15" ht="60" x14ac:dyDescent="0.2">
      <c r="A24" s="234"/>
      <c r="B24" s="235"/>
      <c r="C24" s="237"/>
      <c r="D24" s="239"/>
      <c r="E24" s="96" t="s">
        <v>356</v>
      </c>
      <c r="F24" s="117" t="s">
        <v>1553</v>
      </c>
      <c r="G24" s="96" t="s">
        <v>528</v>
      </c>
      <c r="H24" s="93">
        <f t="shared" si="0"/>
        <v>4</v>
      </c>
      <c r="I24" s="130"/>
      <c r="J24" s="130"/>
      <c r="K24" s="130"/>
      <c r="L24" s="130" t="s">
        <v>54</v>
      </c>
      <c r="M24" s="130"/>
      <c r="N24" s="134"/>
      <c r="O24" s="113" t="s">
        <v>529</v>
      </c>
    </row>
    <row r="25" spans="1:15" ht="15" x14ac:dyDescent="0.2">
      <c r="A25" s="234"/>
      <c r="B25" s="235"/>
      <c r="C25" s="237"/>
      <c r="D25" s="239"/>
      <c r="E25" s="96" t="s">
        <v>357</v>
      </c>
      <c r="F25" s="100" t="s">
        <v>1138</v>
      </c>
      <c r="G25" s="96" t="s">
        <v>515</v>
      </c>
      <c r="H25" s="93">
        <f t="shared" si="0"/>
        <v>2</v>
      </c>
      <c r="I25" s="130"/>
      <c r="J25" s="130"/>
      <c r="K25" s="130"/>
      <c r="L25" s="130"/>
      <c r="M25" s="130"/>
      <c r="N25" s="134"/>
      <c r="O25" s="112"/>
    </row>
    <row r="26" spans="1:15" ht="25.5" x14ac:dyDescent="0.2">
      <c r="A26" s="234"/>
      <c r="B26" s="235"/>
      <c r="C26" s="237"/>
      <c r="D26" s="239"/>
      <c r="E26" s="96" t="s">
        <v>358</v>
      </c>
      <c r="F26" s="117" t="s">
        <v>1139</v>
      </c>
      <c r="G26" s="96" t="s">
        <v>515</v>
      </c>
      <c r="H26" s="93">
        <f t="shared" si="0"/>
        <v>2</v>
      </c>
      <c r="I26" s="130" t="s">
        <v>54</v>
      </c>
      <c r="J26" s="130" t="s">
        <v>54</v>
      </c>
      <c r="K26" s="130" t="s">
        <v>54</v>
      </c>
      <c r="L26" s="130" t="s">
        <v>54</v>
      </c>
      <c r="M26" s="130" t="s">
        <v>54</v>
      </c>
      <c r="N26" s="134" t="s">
        <v>54</v>
      </c>
      <c r="O26" s="112"/>
    </row>
    <row r="27" spans="1:15" ht="15" x14ac:dyDescent="0.2">
      <c r="A27" s="234"/>
      <c r="B27" s="235"/>
      <c r="C27" s="237"/>
      <c r="D27" s="239"/>
      <c r="E27" s="96" t="s">
        <v>531</v>
      </c>
      <c r="F27" s="117"/>
      <c r="G27" s="96"/>
      <c r="H27" s="93">
        <f t="shared" si="0"/>
        <v>0</v>
      </c>
      <c r="I27" s="130"/>
      <c r="J27" s="130"/>
      <c r="K27" s="130"/>
      <c r="L27" s="130"/>
      <c r="M27" s="130"/>
      <c r="N27" s="134"/>
      <c r="O27" s="112"/>
    </row>
    <row r="28" spans="1:15" ht="15" x14ac:dyDescent="0.2">
      <c r="A28" s="234"/>
      <c r="B28" s="235"/>
      <c r="C28" s="237"/>
      <c r="D28" s="239"/>
      <c r="E28" s="96" t="s">
        <v>532</v>
      </c>
      <c r="F28" s="117"/>
      <c r="G28" s="96"/>
      <c r="H28" s="93">
        <f t="shared" si="0"/>
        <v>0</v>
      </c>
      <c r="I28" s="130"/>
      <c r="J28" s="130"/>
      <c r="K28" s="130"/>
      <c r="L28" s="130"/>
      <c r="M28" s="130"/>
      <c r="N28" s="134"/>
      <c r="O28" s="112"/>
    </row>
    <row r="29" spans="1:15" ht="15" x14ac:dyDescent="0.2">
      <c r="A29" s="234"/>
      <c r="B29" s="235"/>
      <c r="C29" s="237"/>
      <c r="D29" s="241"/>
      <c r="E29" s="96" t="s">
        <v>1123</v>
      </c>
      <c r="F29" s="117"/>
      <c r="G29" s="96"/>
      <c r="H29" s="93">
        <f t="shared" si="0"/>
        <v>0</v>
      </c>
      <c r="I29" s="130"/>
      <c r="J29" s="130"/>
      <c r="K29" s="130"/>
      <c r="L29" s="130"/>
      <c r="M29" s="130"/>
      <c r="N29" s="134"/>
      <c r="O29" s="112"/>
    </row>
    <row r="30" spans="1:15" ht="15" x14ac:dyDescent="0.2">
      <c r="A30" s="234" t="s">
        <v>359</v>
      </c>
      <c r="B30" s="235" t="s">
        <v>3610</v>
      </c>
      <c r="C30" s="237">
        <f>SUM(H30:H42)/COUNTIF(F30:F42,"&gt;""")/4</f>
        <v>0.60416666666666663</v>
      </c>
      <c r="D30" s="240" t="s">
        <v>533</v>
      </c>
      <c r="E30" s="96" t="s">
        <v>360</v>
      </c>
      <c r="F30" s="100" t="s">
        <v>534</v>
      </c>
      <c r="G30" s="96" t="s">
        <v>528</v>
      </c>
      <c r="H30" s="93">
        <f t="shared" si="0"/>
        <v>4</v>
      </c>
      <c r="I30" s="130"/>
      <c r="J30" s="130"/>
      <c r="K30" s="130"/>
      <c r="L30" s="130"/>
      <c r="M30" s="130"/>
      <c r="N30" s="134"/>
      <c r="O30" s="112"/>
    </row>
    <row r="31" spans="1:15" ht="15" x14ac:dyDescent="0.2">
      <c r="A31" s="234"/>
      <c r="B31" s="235"/>
      <c r="C31" s="237"/>
      <c r="D31" s="239"/>
      <c r="E31" s="96" t="s">
        <v>361</v>
      </c>
      <c r="F31" s="100" t="s">
        <v>535</v>
      </c>
      <c r="G31" s="96" t="s">
        <v>528</v>
      </c>
      <c r="H31" s="93">
        <f t="shared" si="0"/>
        <v>4</v>
      </c>
      <c r="I31" s="130"/>
      <c r="J31" s="130"/>
      <c r="K31" s="130"/>
      <c r="L31" s="130"/>
      <c r="M31" s="130"/>
      <c r="N31" s="134"/>
      <c r="O31" s="112"/>
    </row>
    <row r="32" spans="1:15" ht="15" x14ac:dyDescent="0.2">
      <c r="A32" s="234"/>
      <c r="B32" s="235"/>
      <c r="C32" s="237"/>
      <c r="D32" s="239"/>
      <c r="E32" s="96" t="s">
        <v>362</v>
      </c>
      <c r="F32" s="100" t="s">
        <v>536</v>
      </c>
      <c r="G32" s="96" t="s">
        <v>528</v>
      </c>
      <c r="H32" s="93">
        <f t="shared" si="0"/>
        <v>4</v>
      </c>
      <c r="I32" s="130"/>
      <c r="J32" s="130"/>
      <c r="K32" s="130"/>
      <c r="L32" s="130"/>
      <c r="M32" s="130"/>
      <c r="N32" s="134"/>
      <c r="O32" s="112"/>
    </row>
    <row r="33" spans="1:15" ht="15" x14ac:dyDescent="0.2">
      <c r="A33" s="234"/>
      <c r="B33" s="235"/>
      <c r="C33" s="237"/>
      <c r="D33" s="239"/>
      <c r="E33" s="96" t="s">
        <v>363</v>
      </c>
      <c r="F33" s="100" t="s">
        <v>537</v>
      </c>
      <c r="G33" s="96" t="s">
        <v>511</v>
      </c>
      <c r="H33" s="93">
        <f t="shared" si="0"/>
        <v>3</v>
      </c>
      <c r="I33" s="130"/>
      <c r="J33" s="130"/>
      <c r="K33" s="130"/>
      <c r="L33" s="130"/>
      <c r="M33" s="130"/>
      <c r="N33" s="134"/>
      <c r="O33" s="112"/>
    </row>
    <row r="34" spans="1:15" ht="15" x14ac:dyDescent="0.2">
      <c r="A34" s="234"/>
      <c r="B34" s="235"/>
      <c r="C34" s="237"/>
      <c r="D34" s="239"/>
      <c r="E34" s="96" t="s">
        <v>364</v>
      </c>
      <c r="F34" s="100" t="s">
        <v>538</v>
      </c>
      <c r="G34" s="96" t="s">
        <v>528</v>
      </c>
      <c r="H34" s="93">
        <f t="shared" si="0"/>
        <v>4</v>
      </c>
      <c r="I34" s="130"/>
      <c r="J34" s="130"/>
      <c r="K34" s="130"/>
      <c r="L34" s="130"/>
      <c r="M34" s="130"/>
      <c r="N34" s="134"/>
      <c r="O34" s="112"/>
    </row>
    <row r="35" spans="1:15" ht="15" x14ac:dyDescent="0.2">
      <c r="A35" s="234"/>
      <c r="B35" s="235"/>
      <c r="C35" s="237"/>
      <c r="D35" s="239"/>
      <c r="E35" s="96" t="s">
        <v>365</v>
      </c>
      <c r="F35" s="100" t="s">
        <v>539</v>
      </c>
      <c r="G35" s="96" t="s">
        <v>511</v>
      </c>
      <c r="H35" s="93">
        <f t="shared" si="0"/>
        <v>3</v>
      </c>
      <c r="I35" s="130"/>
      <c r="J35" s="130"/>
      <c r="K35" s="130"/>
      <c r="L35" s="130"/>
      <c r="M35" s="130"/>
      <c r="N35" s="134"/>
      <c r="O35" s="112"/>
    </row>
    <row r="36" spans="1:15" ht="15" x14ac:dyDescent="0.2">
      <c r="A36" s="234"/>
      <c r="B36" s="235"/>
      <c r="C36" s="237"/>
      <c r="D36" s="239"/>
      <c r="E36" s="96" t="s">
        <v>366</v>
      </c>
      <c r="F36" s="100" t="s">
        <v>540</v>
      </c>
      <c r="G36" s="96" t="s">
        <v>511</v>
      </c>
      <c r="H36" s="93">
        <f t="shared" si="0"/>
        <v>3</v>
      </c>
      <c r="I36" s="130"/>
      <c r="J36" s="130"/>
      <c r="K36" s="130"/>
      <c r="L36" s="130"/>
      <c r="M36" s="130"/>
      <c r="N36" s="134"/>
      <c r="O36" s="112"/>
    </row>
    <row r="37" spans="1:15" ht="75" x14ac:dyDescent="0.2">
      <c r="A37" s="234"/>
      <c r="B37" s="235"/>
      <c r="C37" s="237"/>
      <c r="D37" s="239"/>
      <c r="E37" s="96" t="s">
        <v>541</v>
      </c>
      <c r="F37" s="100" t="s">
        <v>542</v>
      </c>
      <c r="G37" s="96" t="s">
        <v>515</v>
      </c>
      <c r="H37" s="93">
        <f t="shared" si="0"/>
        <v>2</v>
      </c>
      <c r="I37" s="130"/>
      <c r="J37" s="130" t="s">
        <v>54</v>
      </c>
      <c r="K37" s="130"/>
      <c r="L37" s="130"/>
      <c r="M37" s="130"/>
      <c r="N37" s="134" t="s">
        <v>54</v>
      </c>
      <c r="O37" s="113" t="s">
        <v>543</v>
      </c>
    </row>
    <row r="38" spans="1:15" ht="45" x14ac:dyDescent="0.2">
      <c r="A38" s="234"/>
      <c r="B38" s="235"/>
      <c r="C38" s="237"/>
      <c r="D38" s="239"/>
      <c r="E38" s="96" t="s">
        <v>544</v>
      </c>
      <c r="F38" s="100" t="s">
        <v>545</v>
      </c>
      <c r="G38" s="96" t="s">
        <v>515</v>
      </c>
      <c r="H38" s="93">
        <f t="shared" si="0"/>
        <v>2</v>
      </c>
      <c r="I38" s="130" t="s">
        <v>54</v>
      </c>
      <c r="J38" s="130" t="s">
        <v>54</v>
      </c>
      <c r="K38" s="130"/>
      <c r="L38" s="130"/>
      <c r="M38" s="130"/>
      <c r="N38" s="134" t="s">
        <v>54</v>
      </c>
      <c r="O38" s="113" t="s">
        <v>546</v>
      </c>
    </row>
    <row r="39" spans="1:15" ht="15" x14ac:dyDescent="0.2">
      <c r="A39" s="234"/>
      <c r="B39" s="235"/>
      <c r="C39" s="237"/>
      <c r="D39" s="239"/>
      <c r="E39" s="96" t="s">
        <v>547</v>
      </c>
      <c r="F39" s="127" t="s">
        <v>1428</v>
      </c>
      <c r="G39" s="96"/>
      <c r="H39" s="93">
        <f t="shared" si="0"/>
        <v>0</v>
      </c>
      <c r="I39" s="130"/>
      <c r="J39" s="130"/>
      <c r="K39" s="130"/>
      <c r="L39" s="130"/>
      <c r="M39" s="130"/>
      <c r="N39" s="134"/>
      <c r="O39" s="112"/>
    </row>
    <row r="40" spans="1:15" ht="15" x14ac:dyDescent="0.2">
      <c r="A40" s="234"/>
      <c r="B40" s="235"/>
      <c r="C40" s="237"/>
      <c r="D40" s="239"/>
      <c r="E40" s="96" t="s">
        <v>548</v>
      </c>
      <c r="F40" s="127" t="s">
        <v>1519</v>
      </c>
      <c r="G40" s="96"/>
      <c r="H40" s="93">
        <f t="shared" ref="H40:H42" si="1">IF(G40=$G$294,4,IF(G40=$G$295,3,IF(G40=$G$296,2,IF(G40=$G$297,1,0))))</f>
        <v>0</v>
      </c>
      <c r="I40" s="130"/>
      <c r="J40" s="130"/>
      <c r="K40" s="130"/>
      <c r="L40" s="130"/>
      <c r="M40" s="130"/>
      <c r="N40" s="134"/>
      <c r="O40" s="112"/>
    </row>
    <row r="41" spans="1:15" ht="15" x14ac:dyDescent="0.2">
      <c r="A41" s="234"/>
      <c r="B41" s="235"/>
      <c r="C41" s="237"/>
      <c r="D41" s="239"/>
      <c r="E41" s="96" t="s">
        <v>1518</v>
      </c>
      <c r="F41" s="127" t="s">
        <v>1495</v>
      </c>
      <c r="G41" s="96"/>
      <c r="H41" s="93">
        <f t="shared" si="1"/>
        <v>0</v>
      </c>
      <c r="I41" s="130"/>
      <c r="J41" s="130"/>
      <c r="K41" s="130"/>
      <c r="L41" s="130"/>
      <c r="M41" s="130"/>
      <c r="N41" s="134"/>
      <c r="O41" s="112"/>
    </row>
    <row r="42" spans="1:15" ht="15" x14ac:dyDescent="0.2">
      <c r="A42" s="234"/>
      <c r="B42" s="235"/>
      <c r="C42" s="237"/>
      <c r="D42" s="241"/>
      <c r="E42" s="96" t="s">
        <v>1537</v>
      </c>
      <c r="F42" s="127"/>
      <c r="G42" s="96"/>
      <c r="H42" s="93">
        <f t="shared" si="1"/>
        <v>0</v>
      </c>
      <c r="I42" s="130"/>
      <c r="J42" s="130"/>
      <c r="K42" s="130"/>
      <c r="L42" s="130"/>
      <c r="M42" s="130"/>
      <c r="N42" s="134"/>
      <c r="O42" s="112"/>
    </row>
    <row r="43" spans="1:15" ht="15" x14ac:dyDescent="0.2">
      <c r="A43" s="234" t="s">
        <v>367</v>
      </c>
      <c r="B43" s="235" t="s">
        <v>549</v>
      </c>
      <c r="C43" s="237">
        <f>SUM(H43:H49)/COUNTIF(F43:F49,"&gt;""")/4</f>
        <v>0.7</v>
      </c>
      <c r="D43" s="240" t="s">
        <v>550</v>
      </c>
      <c r="E43" s="96" t="s">
        <v>368</v>
      </c>
      <c r="F43" s="96" t="s">
        <v>551</v>
      </c>
      <c r="G43" s="96" t="s">
        <v>511</v>
      </c>
      <c r="H43" s="93">
        <f t="shared" ref="H43:H63" si="2">IF(G43=$G$294,4,IF(G43=$G$295,3,IF(G43=$G$296,2,IF(G43=$G$297,1,0))))</f>
        <v>3</v>
      </c>
      <c r="I43" s="130"/>
      <c r="J43" s="130"/>
      <c r="K43" s="130"/>
      <c r="L43" s="130"/>
      <c r="M43" s="130"/>
      <c r="N43" s="134"/>
      <c r="O43" s="112"/>
    </row>
    <row r="44" spans="1:15" ht="25.5" x14ac:dyDescent="0.2">
      <c r="A44" s="234"/>
      <c r="B44" s="235"/>
      <c r="C44" s="237"/>
      <c r="D44" s="239"/>
      <c r="E44" s="96" t="s">
        <v>369</v>
      </c>
      <c r="F44" s="96" t="s">
        <v>552</v>
      </c>
      <c r="G44" s="96" t="s">
        <v>515</v>
      </c>
      <c r="H44" s="93">
        <f t="shared" si="2"/>
        <v>2</v>
      </c>
      <c r="I44" s="130" t="s">
        <v>54</v>
      </c>
      <c r="J44" s="130" t="s">
        <v>54</v>
      </c>
      <c r="K44" s="130" t="s">
        <v>54</v>
      </c>
      <c r="L44" s="130"/>
      <c r="M44" s="130" t="s">
        <v>54</v>
      </c>
      <c r="N44" s="134"/>
      <c r="O44" s="112" t="s">
        <v>553</v>
      </c>
    </row>
    <row r="45" spans="1:15" ht="15" x14ac:dyDescent="0.2">
      <c r="A45" s="234"/>
      <c r="B45" s="235"/>
      <c r="C45" s="237"/>
      <c r="D45" s="239"/>
      <c r="E45" s="96" t="s">
        <v>370</v>
      </c>
      <c r="F45" s="96" t="s">
        <v>554</v>
      </c>
      <c r="G45" s="96" t="s">
        <v>511</v>
      </c>
      <c r="H45" s="93">
        <f t="shared" si="2"/>
        <v>3</v>
      </c>
      <c r="I45" s="130"/>
      <c r="J45" s="130"/>
      <c r="K45" s="130"/>
      <c r="L45" s="130"/>
      <c r="M45" s="130"/>
      <c r="N45" s="134"/>
      <c r="O45" s="112"/>
    </row>
    <row r="46" spans="1:15" ht="25.5" x14ac:dyDescent="0.2">
      <c r="A46" s="234"/>
      <c r="B46" s="235"/>
      <c r="C46" s="237"/>
      <c r="D46" s="239"/>
      <c r="E46" s="96" t="s">
        <v>371</v>
      </c>
      <c r="F46" s="96" t="s">
        <v>555</v>
      </c>
      <c r="G46" s="96" t="s">
        <v>511</v>
      </c>
      <c r="H46" s="93">
        <f t="shared" si="2"/>
        <v>3</v>
      </c>
      <c r="I46" s="130"/>
      <c r="J46" s="130"/>
      <c r="K46" s="130"/>
      <c r="L46" s="130"/>
      <c r="M46" s="130" t="s">
        <v>54</v>
      </c>
      <c r="N46" s="134"/>
      <c r="O46" s="112"/>
    </row>
    <row r="47" spans="1:15" ht="15" x14ac:dyDescent="0.2">
      <c r="A47" s="234"/>
      <c r="B47" s="235"/>
      <c r="C47" s="237"/>
      <c r="D47" s="239"/>
      <c r="E47" s="96" t="s">
        <v>372</v>
      </c>
      <c r="F47" s="100" t="s">
        <v>556</v>
      </c>
      <c r="G47" s="96" t="s">
        <v>511</v>
      </c>
      <c r="H47" s="93">
        <f t="shared" si="2"/>
        <v>3</v>
      </c>
      <c r="I47" s="130"/>
      <c r="J47" s="130"/>
      <c r="K47" s="130"/>
      <c r="L47" s="130"/>
      <c r="M47" s="130" t="s">
        <v>54</v>
      </c>
      <c r="N47" s="134"/>
      <c r="O47" s="112"/>
    </row>
    <row r="48" spans="1:15" ht="15" x14ac:dyDescent="0.2">
      <c r="A48" s="234"/>
      <c r="B48" s="235"/>
      <c r="C48" s="237"/>
      <c r="D48" s="239"/>
      <c r="E48" s="96" t="s">
        <v>557</v>
      </c>
      <c r="F48" s="96"/>
      <c r="G48" s="96"/>
      <c r="H48" s="93">
        <f t="shared" si="2"/>
        <v>0</v>
      </c>
      <c r="I48" s="130"/>
      <c r="J48" s="130"/>
      <c r="K48" s="130"/>
      <c r="L48" s="130"/>
      <c r="M48" s="130"/>
      <c r="N48" s="134"/>
      <c r="O48" s="112"/>
    </row>
    <row r="49" spans="1:15" ht="15" x14ac:dyDescent="0.2">
      <c r="A49" s="234"/>
      <c r="B49" s="235"/>
      <c r="C49" s="237"/>
      <c r="D49" s="241"/>
      <c r="E49" s="96" t="s">
        <v>558</v>
      </c>
      <c r="F49" s="96"/>
      <c r="G49" s="96"/>
      <c r="H49" s="93">
        <f t="shared" si="2"/>
        <v>0</v>
      </c>
      <c r="I49" s="130"/>
      <c r="J49" s="130"/>
      <c r="K49" s="130"/>
      <c r="L49" s="130"/>
      <c r="M49" s="130"/>
      <c r="N49" s="134"/>
      <c r="O49" s="112"/>
    </row>
    <row r="50" spans="1:15" ht="30" x14ac:dyDescent="0.2">
      <c r="A50" s="234" t="s">
        <v>373</v>
      </c>
      <c r="B50" s="235" t="s">
        <v>559</v>
      </c>
      <c r="C50" s="237">
        <f>SUM(H50:H56)/COUNTIF(F50:F56,"&gt;""")/4</f>
        <v>0.375</v>
      </c>
      <c r="D50" s="240" t="s">
        <v>560</v>
      </c>
      <c r="E50" s="96" t="s">
        <v>374</v>
      </c>
      <c r="F50" s="100" t="s">
        <v>561</v>
      </c>
      <c r="G50" s="96" t="s">
        <v>515</v>
      </c>
      <c r="H50" s="93">
        <f t="shared" si="2"/>
        <v>2</v>
      </c>
      <c r="I50" s="130" t="s">
        <v>54</v>
      </c>
      <c r="J50" s="130" t="s">
        <v>54</v>
      </c>
      <c r="K50" s="130" t="s">
        <v>54</v>
      </c>
      <c r="L50" s="130" t="s">
        <v>54</v>
      </c>
      <c r="M50" s="130"/>
      <c r="N50" s="134"/>
      <c r="O50" s="112" t="s">
        <v>562</v>
      </c>
    </row>
    <row r="51" spans="1:15" ht="15" x14ac:dyDescent="0.2">
      <c r="A51" s="234"/>
      <c r="B51" s="235"/>
      <c r="C51" s="237"/>
      <c r="D51" s="239"/>
      <c r="E51" s="96" t="s">
        <v>375</v>
      </c>
      <c r="F51" s="96" t="s">
        <v>563</v>
      </c>
      <c r="G51" s="96" t="s">
        <v>515</v>
      </c>
      <c r="H51" s="93">
        <f t="shared" si="2"/>
        <v>2</v>
      </c>
      <c r="I51" s="130"/>
      <c r="J51" s="130"/>
      <c r="K51" s="130"/>
      <c r="L51" s="130"/>
      <c r="M51" s="130"/>
      <c r="N51" s="134"/>
      <c r="O51" s="112"/>
    </row>
    <row r="52" spans="1:15" ht="25.5" x14ac:dyDescent="0.2">
      <c r="A52" s="234"/>
      <c r="B52" s="235"/>
      <c r="C52" s="237"/>
      <c r="D52" s="239"/>
      <c r="E52" s="96" t="s">
        <v>376</v>
      </c>
      <c r="F52" s="96" t="s">
        <v>564</v>
      </c>
      <c r="G52" s="96" t="s">
        <v>515</v>
      </c>
      <c r="H52" s="93">
        <f t="shared" si="2"/>
        <v>2</v>
      </c>
      <c r="I52" s="130"/>
      <c r="J52" s="130"/>
      <c r="K52" s="130"/>
      <c r="L52" s="130"/>
      <c r="M52" s="130"/>
      <c r="N52" s="134"/>
      <c r="O52" s="112"/>
    </row>
    <row r="53" spans="1:15" ht="38.25" x14ac:dyDescent="0.2">
      <c r="A53" s="234"/>
      <c r="B53" s="235"/>
      <c r="C53" s="237"/>
      <c r="D53" s="239"/>
      <c r="E53" s="96" t="s">
        <v>565</v>
      </c>
      <c r="F53" s="96" t="s">
        <v>566</v>
      </c>
      <c r="G53" s="96" t="s">
        <v>507</v>
      </c>
      <c r="H53" s="93">
        <f t="shared" si="2"/>
        <v>0</v>
      </c>
      <c r="I53" s="130" t="s">
        <v>54</v>
      </c>
      <c r="J53" s="130" t="s">
        <v>54</v>
      </c>
      <c r="K53" s="130" t="s">
        <v>54</v>
      </c>
      <c r="L53" s="130" t="s">
        <v>54</v>
      </c>
      <c r="M53" s="130"/>
      <c r="N53" s="134"/>
      <c r="O53" s="112" t="s">
        <v>562</v>
      </c>
    </row>
    <row r="54" spans="1:15" ht="25.5" x14ac:dyDescent="0.2">
      <c r="A54" s="234"/>
      <c r="B54" s="235"/>
      <c r="C54" s="237"/>
      <c r="D54" s="239"/>
      <c r="E54" s="96" t="s">
        <v>568</v>
      </c>
      <c r="G54" s="96"/>
      <c r="H54" s="93">
        <f t="shared" si="2"/>
        <v>0</v>
      </c>
      <c r="I54" s="130" t="s">
        <v>54</v>
      </c>
      <c r="J54" s="130" t="s">
        <v>54</v>
      </c>
      <c r="K54" s="130" t="s">
        <v>54</v>
      </c>
      <c r="L54" s="130" t="s">
        <v>54</v>
      </c>
      <c r="M54" s="130"/>
      <c r="N54" s="134"/>
      <c r="O54" s="112" t="s">
        <v>567</v>
      </c>
    </row>
    <row r="55" spans="1:15" ht="15" x14ac:dyDescent="0.2">
      <c r="A55" s="234"/>
      <c r="B55" s="235"/>
      <c r="C55" s="237"/>
      <c r="D55" s="239"/>
      <c r="E55" s="96" t="s">
        <v>569</v>
      </c>
      <c r="F55" s="96"/>
      <c r="G55" s="96"/>
      <c r="H55" s="93">
        <f t="shared" si="2"/>
        <v>0</v>
      </c>
      <c r="I55" s="130"/>
      <c r="J55" s="130"/>
      <c r="K55" s="130"/>
      <c r="L55" s="130"/>
      <c r="M55" s="130"/>
      <c r="N55" s="134"/>
      <c r="O55" s="112"/>
    </row>
    <row r="56" spans="1:15" ht="15" x14ac:dyDescent="0.2">
      <c r="A56" s="234"/>
      <c r="B56" s="235"/>
      <c r="C56" s="237"/>
      <c r="D56" s="241"/>
      <c r="E56" s="96" t="s">
        <v>880</v>
      </c>
      <c r="F56" s="96"/>
      <c r="G56" s="96"/>
      <c r="H56" s="93">
        <f t="shared" si="2"/>
        <v>0</v>
      </c>
      <c r="I56" s="130"/>
      <c r="J56" s="130"/>
      <c r="K56" s="130"/>
      <c r="L56" s="130"/>
      <c r="M56" s="130"/>
      <c r="N56" s="134"/>
      <c r="O56" s="112"/>
    </row>
    <row r="57" spans="1:15" ht="63.75" x14ac:dyDescent="0.2">
      <c r="A57" s="234" t="s">
        <v>570</v>
      </c>
      <c r="B57" s="235" t="s">
        <v>571</v>
      </c>
      <c r="C57" s="237">
        <f>SUM(H57:H70)/COUNTIF(F57:F70,"&gt;""")/4</f>
        <v>0.65909090909090906</v>
      </c>
      <c r="D57" s="240" t="s">
        <v>572</v>
      </c>
      <c r="E57" s="96" t="s">
        <v>573</v>
      </c>
      <c r="F57" s="100" t="s">
        <v>574</v>
      </c>
      <c r="G57" s="96" t="s">
        <v>515</v>
      </c>
      <c r="H57" s="93">
        <f t="shared" si="2"/>
        <v>2</v>
      </c>
      <c r="I57" s="130" t="s">
        <v>54</v>
      </c>
      <c r="J57" s="130" t="s">
        <v>54</v>
      </c>
      <c r="K57" s="130"/>
      <c r="L57" s="130" t="s">
        <v>54</v>
      </c>
      <c r="M57" s="130" t="s">
        <v>54</v>
      </c>
      <c r="N57" s="134"/>
      <c r="O57" s="112" t="s">
        <v>575</v>
      </c>
    </row>
    <row r="58" spans="1:15" ht="75" x14ac:dyDescent="0.2">
      <c r="A58" s="234"/>
      <c r="B58" s="235"/>
      <c r="C58" s="237"/>
      <c r="D58" s="239"/>
      <c r="E58" s="96" t="s">
        <v>576</v>
      </c>
      <c r="F58" s="100" t="s">
        <v>577</v>
      </c>
      <c r="G58" s="96" t="s">
        <v>515</v>
      </c>
      <c r="H58" s="93">
        <f t="shared" si="2"/>
        <v>2</v>
      </c>
      <c r="I58" s="130" t="s">
        <v>54</v>
      </c>
      <c r="J58" s="130" t="s">
        <v>54</v>
      </c>
      <c r="K58" s="130" t="s">
        <v>54</v>
      </c>
      <c r="L58" s="130" t="s">
        <v>54</v>
      </c>
      <c r="M58" s="130" t="s">
        <v>54</v>
      </c>
      <c r="N58" s="134"/>
      <c r="O58" s="113" t="s">
        <v>578</v>
      </c>
    </row>
    <row r="59" spans="1:15" ht="15" x14ac:dyDescent="0.2">
      <c r="A59" s="234"/>
      <c r="B59" s="235"/>
      <c r="C59" s="237"/>
      <c r="D59" s="239"/>
      <c r="E59" s="96" t="s">
        <v>579</v>
      </c>
      <c r="F59" s="100" t="s">
        <v>580</v>
      </c>
      <c r="G59" s="96" t="s">
        <v>515</v>
      </c>
      <c r="H59" s="93">
        <f t="shared" si="2"/>
        <v>2</v>
      </c>
      <c r="I59" s="130"/>
      <c r="J59" s="130" t="s">
        <v>54</v>
      </c>
      <c r="K59" s="130"/>
      <c r="L59" s="130" t="s">
        <v>54</v>
      </c>
      <c r="M59" s="130" t="s">
        <v>54</v>
      </c>
      <c r="N59" s="134"/>
      <c r="O59" s="112"/>
    </row>
    <row r="60" spans="1:15" ht="15" x14ac:dyDescent="0.2">
      <c r="A60" s="234"/>
      <c r="B60" s="235"/>
      <c r="C60" s="237"/>
      <c r="D60" s="239"/>
      <c r="E60" s="96" t="s">
        <v>581</v>
      </c>
      <c r="F60" s="100" t="s">
        <v>582</v>
      </c>
      <c r="G60" s="96" t="s">
        <v>511</v>
      </c>
      <c r="H60" s="93">
        <f t="shared" si="2"/>
        <v>3</v>
      </c>
      <c r="I60" s="130" t="s">
        <v>54</v>
      </c>
      <c r="J60" s="130" t="s">
        <v>54</v>
      </c>
      <c r="K60" s="130"/>
      <c r="L60" s="130" t="s">
        <v>54</v>
      </c>
      <c r="M60" s="130" t="s">
        <v>54</v>
      </c>
      <c r="N60" s="134"/>
      <c r="O60" s="112"/>
    </row>
    <row r="61" spans="1:15" ht="45" x14ac:dyDescent="0.2">
      <c r="A61" s="234"/>
      <c r="B61" s="235"/>
      <c r="C61" s="237"/>
      <c r="D61" s="239"/>
      <c r="E61" s="96" t="s">
        <v>583</v>
      </c>
      <c r="F61" s="100" t="s">
        <v>1549</v>
      </c>
      <c r="G61" s="96" t="s">
        <v>515</v>
      </c>
      <c r="H61" s="93">
        <f t="shared" si="2"/>
        <v>2</v>
      </c>
      <c r="I61" s="130" t="s">
        <v>54</v>
      </c>
      <c r="J61" s="130" t="s">
        <v>54</v>
      </c>
      <c r="K61" s="130"/>
      <c r="L61" s="130" t="s">
        <v>54</v>
      </c>
      <c r="M61" s="130" t="s">
        <v>54</v>
      </c>
      <c r="N61" s="134" t="s">
        <v>54</v>
      </c>
      <c r="O61" s="113" t="s">
        <v>585</v>
      </c>
    </row>
    <row r="62" spans="1:15" ht="15" x14ac:dyDescent="0.2">
      <c r="A62" s="234"/>
      <c r="B62" s="235"/>
      <c r="C62" s="237"/>
      <c r="D62" s="239"/>
      <c r="E62" s="96" t="s">
        <v>586</v>
      </c>
      <c r="F62" s="100" t="s">
        <v>1548</v>
      </c>
      <c r="G62" s="96" t="s">
        <v>515</v>
      </c>
      <c r="H62" s="93">
        <f t="shared" si="2"/>
        <v>2</v>
      </c>
      <c r="I62" s="130" t="s">
        <v>54</v>
      </c>
      <c r="J62" s="130" t="s">
        <v>54</v>
      </c>
      <c r="K62" s="130"/>
      <c r="L62" s="130" t="s">
        <v>54</v>
      </c>
      <c r="M62" s="130" t="s">
        <v>54</v>
      </c>
      <c r="N62" s="134"/>
      <c r="O62" s="112"/>
    </row>
    <row r="63" spans="1:15" ht="15" x14ac:dyDescent="0.2">
      <c r="A63" s="234"/>
      <c r="B63" s="235"/>
      <c r="C63" s="237"/>
      <c r="D63" s="239"/>
      <c r="E63" s="96" t="s">
        <v>588</v>
      </c>
      <c r="F63" s="100" t="s">
        <v>589</v>
      </c>
      <c r="G63" s="96" t="s">
        <v>515</v>
      </c>
      <c r="H63" s="93">
        <f t="shared" si="2"/>
        <v>2</v>
      </c>
      <c r="I63" s="130" t="s">
        <v>54</v>
      </c>
      <c r="J63" s="130" t="s">
        <v>54</v>
      </c>
      <c r="K63" s="130"/>
      <c r="L63" s="130" t="s">
        <v>54</v>
      </c>
      <c r="M63" s="130" t="s">
        <v>54</v>
      </c>
      <c r="N63" s="134"/>
      <c r="O63" s="112"/>
    </row>
    <row r="64" spans="1:15" ht="45" x14ac:dyDescent="0.2">
      <c r="A64" s="234"/>
      <c r="B64" s="235"/>
      <c r="C64" s="237"/>
      <c r="D64" s="239"/>
      <c r="E64" s="96" t="s">
        <v>590</v>
      </c>
      <c r="F64" s="100" t="s">
        <v>591</v>
      </c>
      <c r="G64" s="96" t="s">
        <v>511</v>
      </c>
      <c r="H64" s="93">
        <v>3</v>
      </c>
      <c r="I64" s="130" t="s">
        <v>54</v>
      </c>
      <c r="J64" s="130" t="s">
        <v>54</v>
      </c>
      <c r="K64" s="130"/>
      <c r="L64" s="130" t="s">
        <v>54</v>
      </c>
      <c r="M64" s="130" t="s">
        <v>54</v>
      </c>
      <c r="N64" s="134"/>
      <c r="O64" s="113" t="s">
        <v>592</v>
      </c>
    </row>
    <row r="65" spans="1:15" ht="15" x14ac:dyDescent="0.2">
      <c r="A65" s="234"/>
      <c r="B65" s="235"/>
      <c r="C65" s="237"/>
      <c r="D65" s="239"/>
      <c r="E65" s="96" t="s">
        <v>593</v>
      </c>
      <c r="F65" s="100" t="s">
        <v>594</v>
      </c>
      <c r="G65" s="96" t="s">
        <v>511</v>
      </c>
      <c r="H65" s="93">
        <f t="shared" ref="H65:H79" si="3">IF(G65=$G$294,4,IF(G65=$G$295,3,IF(G65=$G$296,2,IF(G65=$G$297,1,0))))</f>
        <v>3</v>
      </c>
      <c r="I65" s="130" t="s">
        <v>54</v>
      </c>
      <c r="J65" s="130" t="s">
        <v>54</v>
      </c>
      <c r="K65" s="130"/>
      <c r="L65" s="130" t="s">
        <v>54</v>
      </c>
      <c r="M65" s="130" t="s">
        <v>54</v>
      </c>
      <c r="N65" s="134"/>
      <c r="O65" s="112"/>
    </row>
    <row r="66" spans="1:15" ht="15" x14ac:dyDescent="0.2">
      <c r="A66" s="234"/>
      <c r="B66" s="235"/>
      <c r="C66" s="237"/>
      <c r="D66" s="239"/>
      <c r="E66" s="96" t="s">
        <v>595</v>
      </c>
      <c r="F66" s="100" t="s">
        <v>596</v>
      </c>
      <c r="G66" s="96" t="s">
        <v>511</v>
      </c>
      <c r="H66" s="93">
        <f t="shared" si="3"/>
        <v>3</v>
      </c>
      <c r="I66" s="130" t="s">
        <v>54</v>
      </c>
      <c r="J66" s="130" t="s">
        <v>54</v>
      </c>
      <c r="K66" s="130"/>
      <c r="L66" s="130" t="s">
        <v>54</v>
      </c>
      <c r="M66" s="130" t="s">
        <v>54</v>
      </c>
      <c r="N66" s="134"/>
      <c r="O66" s="112"/>
    </row>
    <row r="67" spans="1:15" ht="15" x14ac:dyDescent="0.2">
      <c r="A67" s="234"/>
      <c r="B67" s="235"/>
      <c r="C67" s="237"/>
      <c r="D67" s="239"/>
      <c r="E67" s="96" t="s">
        <v>597</v>
      </c>
      <c r="F67" s="100" t="s">
        <v>598</v>
      </c>
      <c r="G67" s="96" t="s">
        <v>511</v>
      </c>
      <c r="H67" s="93">
        <f t="shared" si="3"/>
        <v>3</v>
      </c>
      <c r="I67" s="130" t="s">
        <v>54</v>
      </c>
      <c r="J67" s="130" t="s">
        <v>54</v>
      </c>
      <c r="K67" s="130"/>
      <c r="L67" s="130" t="s">
        <v>54</v>
      </c>
      <c r="M67" s="130" t="s">
        <v>54</v>
      </c>
      <c r="N67" s="134"/>
      <c r="O67" s="112"/>
    </row>
    <row r="68" spans="1:15" ht="45" x14ac:dyDescent="0.2">
      <c r="A68" s="234"/>
      <c r="B68" s="235"/>
      <c r="C68" s="237"/>
      <c r="D68" s="239"/>
      <c r="E68" s="96" t="s">
        <v>599</v>
      </c>
      <c r="F68" s="117"/>
      <c r="G68" s="96" t="s">
        <v>515</v>
      </c>
      <c r="H68" s="93">
        <f t="shared" si="3"/>
        <v>2</v>
      </c>
      <c r="I68" s="130" t="s">
        <v>54</v>
      </c>
      <c r="J68" s="130" t="s">
        <v>54</v>
      </c>
      <c r="K68" s="130"/>
      <c r="L68" s="130" t="s">
        <v>54</v>
      </c>
      <c r="M68" s="130" t="s">
        <v>54</v>
      </c>
      <c r="N68" s="134"/>
      <c r="O68" s="113" t="s">
        <v>601</v>
      </c>
    </row>
    <row r="69" spans="1:15" ht="15" x14ac:dyDescent="0.2">
      <c r="A69" s="234"/>
      <c r="B69" s="235"/>
      <c r="C69" s="237"/>
      <c r="D69" s="239"/>
      <c r="E69" s="96" t="s">
        <v>602</v>
      </c>
      <c r="F69" s="117"/>
      <c r="G69" s="96"/>
      <c r="H69" s="93">
        <f t="shared" si="3"/>
        <v>0</v>
      </c>
      <c r="I69" s="130"/>
      <c r="J69" s="130"/>
      <c r="K69" s="130"/>
      <c r="L69" s="130"/>
      <c r="M69" s="130"/>
      <c r="N69" s="134"/>
      <c r="O69" s="112"/>
    </row>
    <row r="70" spans="1:15" ht="15" x14ac:dyDescent="0.2">
      <c r="A70" s="234"/>
      <c r="B70" s="235"/>
      <c r="C70" s="237"/>
      <c r="D70" s="241"/>
      <c r="E70" s="96" t="s">
        <v>603</v>
      </c>
      <c r="F70" s="96"/>
      <c r="G70" s="96"/>
      <c r="H70" s="93">
        <f t="shared" si="3"/>
        <v>0</v>
      </c>
      <c r="I70" s="130"/>
      <c r="J70" s="130"/>
      <c r="K70" s="130"/>
      <c r="L70" s="130"/>
      <c r="M70" s="130"/>
      <c r="N70" s="134"/>
      <c r="O70" s="112"/>
    </row>
    <row r="71" spans="1:15" ht="60" x14ac:dyDescent="0.2">
      <c r="A71" s="234" t="s">
        <v>604</v>
      </c>
      <c r="B71" s="235" t="s">
        <v>605</v>
      </c>
      <c r="C71" s="237">
        <f>SUM(H71:H79)/COUNTIF(F71:F79,"&gt;""")/4</f>
        <v>0.42857142857142855</v>
      </c>
      <c r="D71" s="240" t="s">
        <v>606</v>
      </c>
      <c r="E71" s="96" t="s">
        <v>607</v>
      </c>
      <c r="F71" s="96" t="s">
        <v>608</v>
      </c>
      <c r="G71" s="96" t="s">
        <v>515</v>
      </c>
      <c r="H71" s="93">
        <f t="shared" si="3"/>
        <v>2</v>
      </c>
      <c r="I71" s="130"/>
      <c r="J71" s="130"/>
      <c r="K71" s="130"/>
      <c r="L71" s="130"/>
      <c r="M71" s="130"/>
      <c r="N71" s="134"/>
      <c r="O71" s="113" t="s">
        <v>609</v>
      </c>
    </row>
    <row r="72" spans="1:15" ht="15" x14ac:dyDescent="0.2">
      <c r="A72" s="234"/>
      <c r="B72" s="235"/>
      <c r="C72" s="237"/>
      <c r="D72" s="239"/>
      <c r="E72" s="96" t="s">
        <v>610</v>
      </c>
      <c r="F72" s="96" t="s">
        <v>611</v>
      </c>
      <c r="G72" s="96" t="s">
        <v>515</v>
      </c>
      <c r="H72" s="93">
        <f t="shared" si="3"/>
        <v>2</v>
      </c>
      <c r="I72" s="130"/>
      <c r="J72" s="130"/>
      <c r="K72" s="130"/>
      <c r="L72" s="130"/>
      <c r="M72" s="130"/>
      <c r="N72" s="134"/>
      <c r="O72" s="112"/>
    </row>
    <row r="73" spans="1:15" ht="25.5" x14ac:dyDescent="0.2">
      <c r="A73" s="234"/>
      <c r="B73" s="235"/>
      <c r="C73" s="237"/>
      <c r="D73" s="239"/>
      <c r="E73" s="96" t="s">
        <v>612</v>
      </c>
      <c r="F73" s="96" t="s">
        <v>613</v>
      </c>
      <c r="G73" s="96" t="s">
        <v>515</v>
      </c>
      <c r="H73" s="93">
        <f t="shared" si="3"/>
        <v>2</v>
      </c>
      <c r="I73" s="130" t="s">
        <v>54</v>
      </c>
      <c r="J73" s="130" t="s">
        <v>54</v>
      </c>
      <c r="K73" s="130" t="s">
        <v>54</v>
      </c>
      <c r="L73" s="130" t="s">
        <v>54</v>
      </c>
      <c r="M73" s="130"/>
      <c r="N73" s="134"/>
      <c r="O73" s="112" t="s">
        <v>614</v>
      </c>
    </row>
    <row r="74" spans="1:15" ht="38.25" x14ac:dyDescent="0.2">
      <c r="A74" s="234"/>
      <c r="B74" s="235"/>
      <c r="C74" s="237"/>
      <c r="D74" s="239"/>
      <c r="E74" s="96" t="s">
        <v>615</v>
      </c>
      <c r="F74" s="96" t="s">
        <v>616</v>
      </c>
      <c r="G74" s="96" t="s">
        <v>507</v>
      </c>
      <c r="H74" s="93">
        <f t="shared" si="3"/>
        <v>0</v>
      </c>
      <c r="I74" s="130"/>
      <c r="J74" s="130"/>
      <c r="K74" s="130"/>
      <c r="L74" s="130"/>
      <c r="M74" s="130"/>
      <c r="N74" s="134"/>
      <c r="O74" s="112"/>
    </row>
    <row r="75" spans="1:15" ht="76.5" x14ac:dyDescent="0.2">
      <c r="A75" s="234"/>
      <c r="B75" s="235"/>
      <c r="C75" s="237"/>
      <c r="D75" s="239"/>
      <c r="E75" s="96" t="s">
        <v>617</v>
      </c>
      <c r="F75" s="96" t="s">
        <v>618</v>
      </c>
      <c r="G75" s="96" t="s">
        <v>515</v>
      </c>
      <c r="H75" s="93">
        <f t="shared" si="3"/>
        <v>2</v>
      </c>
      <c r="I75" s="130" t="s">
        <v>54</v>
      </c>
      <c r="J75" s="130" t="s">
        <v>54</v>
      </c>
      <c r="K75" s="130"/>
      <c r="L75" s="130" t="s">
        <v>54</v>
      </c>
      <c r="M75" s="130"/>
      <c r="N75" s="134"/>
      <c r="O75" s="112" t="s">
        <v>619</v>
      </c>
    </row>
    <row r="76" spans="1:15" ht="15" x14ac:dyDescent="0.2">
      <c r="A76" s="234"/>
      <c r="B76" s="235"/>
      <c r="C76" s="237"/>
      <c r="D76" s="239"/>
      <c r="E76" s="96" t="s">
        <v>620</v>
      </c>
      <c r="F76" s="96" t="s">
        <v>621</v>
      </c>
      <c r="G76" s="96" t="s">
        <v>515</v>
      </c>
      <c r="H76" s="93">
        <f t="shared" si="3"/>
        <v>2</v>
      </c>
      <c r="I76" s="130" t="s">
        <v>54</v>
      </c>
      <c r="J76" s="130" t="s">
        <v>54</v>
      </c>
      <c r="K76" s="130" t="s">
        <v>54</v>
      </c>
      <c r="L76" s="130" t="s">
        <v>54</v>
      </c>
      <c r="M76" s="130"/>
      <c r="N76" s="134"/>
      <c r="O76" s="112" t="s">
        <v>622</v>
      </c>
    </row>
    <row r="77" spans="1:15" ht="25.5" x14ac:dyDescent="0.2">
      <c r="A77" s="245"/>
      <c r="B77" s="246"/>
      <c r="C77" s="247"/>
      <c r="D77" s="239"/>
      <c r="E77" s="96" t="s">
        <v>623</v>
      </c>
      <c r="F77" s="102" t="s">
        <v>624</v>
      </c>
      <c r="G77" s="96" t="s">
        <v>515</v>
      </c>
      <c r="H77" s="93">
        <f t="shared" si="3"/>
        <v>2</v>
      </c>
      <c r="I77" s="135" t="s">
        <v>54</v>
      </c>
      <c r="J77" s="135" t="s">
        <v>54</v>
      </c>
      <c r="K77" s="135" t="s">
        <v>54</v>
      </c>
      <c r="L77" s="135" t="s">
        <v>54</v>
      </c>
      <c r="M77" s="135"/>
      <c r="N77" s="136"/>
      <c r="O77" s="112" t="s">
        <v>622</v>
      </c>
    </row>
    <row r="78" spans="1:15" ht="15" x14ac:dyDescent="0.2">
      <c r="A78" s="245"/>
      <c r="B78" s="246"/>
      <c r="C78" s="247"/>
      <c r="D78" s="239"/>
      <c r="E78" s="96" t="s">
        <v>625</v>
      </c>
      <c r="F78" s="102"/>
      <c r="G78" s="96"/>
      <c r="H78" s="93">
        <f t="shared" si="3"/>
        <v>0</v>
      </c>
      <c r="I78" s="135"/>
      <c r="J78" s="135"/>
      <c r="K78" s="135"/>
      <c r="L78" s="135"/>
      <c r="M78" s="135"/>
      <c r="N78" s="136"/>
      <c r="O78" s="137"/>
    </row>
    <row r="79" spans="1:15" ht="15" x14ac:dyDescent="0.2">
      <c r="A79" s="291"/>
      <c r="B79" s="292"/>
      <c r="C79" s="293"/>
      <c r="D79" s="294"/>
      <c r="E79" s="96" t="s">
        <v>626</v>
      </c>
      <c r="F79" s="102"/>
      <c r="G79" s="96"/>
      <c r="H79" s="93">
        <f t="shared" si="3"/>
        <v>0</v>
      </c>
      <c r="I79" s="138"/>
      <c r="J79" s="138"/>
      <c r="K79" s="138"/>
      <c r="L79" s="138"/>
      <c r="M79" s="138"/>
      <c r="N79" s="139"/>
      <c r="O79" s="140"/>
    </row>
    <row r="80" spans="1:15" ht="15.75" thickBot="1" x14ac:dyDescent="0.25">
      <c r="A80" s="141"/>
      <c r="B80" s="141"/>
      <c r="C80" s="142"/>
      <c r="D80" s="141"/>
      <c r="E80" s="141"/>
      <c r="F80" s="141"/>
      <c r="G80" s="141"/>
      <c r="H80" s="103"/>
      <c r="I80" s="143"/>
      <c r="J80" s="143"/>
      <c r="K80" s="143"/>
      <c r="L80" s="143"/>
      <c r="M80" s="143"/>
      <c r="N80" s="143"/>
      <c r="O80" s="141"/>
    </row>
    <row r="81" spans="1:15" ht="165" x14ac:dyDescent="0.2">
      <c r="A81" s="248" t="s">
        <v>377</v>
      </c>
      <c r="B81" s="251" t="s">
        <v>627</v>
      </c>
      <c r="C81" s="254">
        <f>SUM(H81:H88)/COUNTIF(F81:F88,"&gt;""")/4</f>
        <v>0.41666666666666669</v>
      </c>
      <c r="D81" s="248" t="s">
        <v>628</v>
      </c>
      <c r="E81" s="16" t="s">
        <v>378</v>
      </c>
      <c r="F81" s="96" t="s">
        <v>629</v>
      </c>
      <c r="G81" s="96" t="s">
        <v>515</v>
      </c>
      <c r="H81" s="93">
        <f t="shared" ref="H81:H100" si="4">IF(G81=$G$294,4,IF(G81=$G$295,3,IF(G81=$G$296,2,IF(G81=$G$297,1,0))))</f>
        <v>2</v>
      </c>
      <c r="I81" s="130" t="s">
        <v>54</v>
      </c>
      <c r="J81" s="130" t="s">
        <v>54</v>
      </c>
      <c r="K81" s="130" t="s">
        <v>54</v>
      </c>
      <c r="L81" s="130" t="s">
        <v>54</v>
      </c>
      <c r="M81" s="130"/>
      <c r="N81" s="130"/>
      <c r="O81" s="100" t="s">
        <v>630</v>
      </c>
    </row>
    <row r="82" spans="1:15" ht="51" x14ac:dyDescent="0.2">
      <c r="A82" s="249"/>
      <c r="B82" s="252"/>
      <c r="C82" s="255"/>
      <c r="D82" s="249"/>
      <c r="E82" s="16" t="s">
        <v>379</v>
      </c>
      <c r="F82" s="96" t="s">
        <v>631</v>
      </c>
      <c r="G82" s="96" t="s">
        <v>515</v>
      </c>
      <c r="H82" s="93">
        <f t="shared" si="4"/>
        <v>2</v>
      </c>
      <c r="I82" s="130" t="s">
        <v>54</v>
      </c>
      <c r="J82" s="130"/>
      <c r="K82" s="130"/>
      <c r="L82" s="130"/>
      <c r="M82" s="130"/>
      <c r="N82" s="130"/>
      <c r="O82" s="96" t="s">
        <v>632</v>
      </c>
    </row>
    <row r="83" spans="1:15" ht="15" x14ac:dyDescent="0.2">
      <c r="A83" s="249"/>
      <c r="B83" s="252"/>
      <c r="C83" s="255"/>
      <c r="D83" s="249"/>
      <c r="E83" s="16" t="s">
        <v>380</v>
      </c>
      <c r="F83" s="96" t="s">
        <v>633</v>
      </c>
      <c r="G83" s="96" t="s">
        <v>515</v>
      </c>
      <c r="H83" s="93">
        <f t="shared" si="4"/>
        <v>2</v>
      </c>
      <c r="I83" s="130"/>
      <c r="J83" s="130"/>
      <c r="K83" s="130" t="s">
        <v>54</v>
      </c>
      <c r="L83" s="130"/>
      <c r="M83" s="130"/>
      <c r="N83" s="130"/>
      <c r="O83" s="96"/>
    </row>
    <row r="84" spans="1:15" ht="51" x14ac:dyDescent="0.2">
      <c r="A84" s="249"/>
      <c r="B84" s="252"/>
      <c r="C84" s="255"/>
      <c r="D84" s="249"/>
      <c r="E84" s="16" t="s">
        <v>381</v>
      </c>
      <c r="F84" s="96" t="s">
        <v>634</v>
      </c>
      <c r="G84" s="96" t="s">
        <v>515</v>
      </c>
      <c r="H84" s="93">
        <f t="shared" si="4"/>
        <v>2</v>
      </c>
      <c r="I84" s="130"/>
      <c r="J84" s="130"/>
      <c r="K84" s="130"/>
      <c r="L84" s="130"/>
      <c r="M84" s="130"/>
      <c r="N84" s="130"/>
      <c r="O84" s="96" t="s">
        <v>635</v>
      </c>
    </row>
    <row r="85" spans="1:15" ht="25.5" x14ac:dyDescent="0.2">
      <c r="A85" s="249"/>
      <c r="B85" s="252"/>
      <c r="C85" s="255"/>
      <c r="D85" s="249"/>
      <c r="E85" s="16" t="s">
        <v>382</v>
      </c>
      <c r="F85" s="96" t="s">
        <v>636</v>
      </c>
      <c r="G85" s="96" t="s">
        <v>515</v>
      </c>
      <c r="H85" s="93">
        <f t="shared" si="4"/>
        <v>2</v>
      </c>
      <c r="I85" s="130"/>
      <c r="J85" s="130"/>
      <c r="K85" s="130"/>
      <c r="L85" s="130"/>
      <c r="M85" s="130"/>
      <c r="N85" s="130"/>
      <c r="O85" s="96"/>
    </row>
    <row r="86" spans="1:15" ht="25.5" x14ac:dyDescent="0.2">
      <c r="A86" s="249"/>
      <c r="B86" s="252"/>
      <c r="C86" s="255"/>
      <c r="D86" s="249"/>
      <c r="E86" s="16" t="s">
        <v>637</v>
      </c>
      <c r="F86" s="96" t="s">
        <v>638</v>
      </c>
      <c r="G86" s="96" t="s">
        <v>507</v>
      </c>
      <c r="H86" s="93">
        <f t="shared" si="4"/>
        <v>0</v>
      </c>
      <c r="I86" s="130"/>
      <c r="J86" s="130"/>
      <c r="K86" s="130"/>
      <c r="L86" s="130"/>
      <c r="M86" s="130"/>
      <c r="N86" s="130"/>
      <c r="O86" s="96" t="s">
        <v>639</v>
      </c>
    </row>
    <row r="87" spans="1:15" ht="15" x14ac:dyDescent="0.2">
      <c r="A87" s="249"/>
      <c r="B87" s="252"/>
      <c r="C87" s="255"/>
      <c r="D87" s="249"/>
      <c r="E87" s="16" t="s">
        <v>640</v>
      </c>
      <c r="F87" s="96"/>
      <c r="G87" s="96"/>
      <c r="H87" s="93">
        <f t="shared" si="4"/>
        <v>0</v>
      </c>
      <c r="I87" s="130"/>
      <c r="J87" s="130"/>
      <c r="K87" s="130"/>
      <c r="L87" s="130"/>
      <c r="M87" s="130"/>
      <c r="N87" s="130"/>
      <c r="O87" s="96"/>
    </row>
    <row r="88" spans="1:15" ht="15.75" thickBot="1" x14ac:dyDescent="0.25">
      <c r="A88" s="250"/>
      <c r="B88" s="253"/>
      <c r="C88" s="256"/>
      <c r="D88" s="250"/>
      <c r="E88" s="16" t="s">
        <v>641</v>
      </c>
      <c r="F88" s="98"/>
      <c r="G88" s="96"/>
      <c r="H88" s="93">
        <f t="shared" si="4"/>
        <v>0</v>
      </c>
      <c r="I88" s="130"/>
      <c r="J88" s="130"/>
      <c r="K88" s="130"/>
      <c r="L88" s="130"/>
      <c r="M88" s="130"/>
      <c r="N88" s="130"/>
      <c r="O88" s="96"/>
    </row>
    <row r="89" spans="1:15" ht="25.5" x14ac:dyDescent="0.2">
      <c r="A89" s="248" t="s">
        <v>383</v>
      </c>
      <c r="B89" s="251" t="s">
        <v>642</v>
      </c>
      <c r="C89" s="254">
        <f>SUM(H89:H101)/COUNTIF(F89:F101,"&gt;""")/4</f>
        <v>0.5</v>
      </c>
      <c r="D89" s="248" t="s">
        <v>643</v>
      </c>
      <c r="E89" s="96" t="s">
        <v>384</v>
      </c>
      <c r="F89" s="100" t="s">
        <v>644</v>
      </c>
      <c r="G89" s="100" t="s">
        <v>507</v>
      </c>
      <c r="H89" s="93">
        <f t="shared" si="4"/>
        <v>0</v>
      </c>
      <c r="I89" s="130" t="s">
        <v>54</v>
      </c>
      <c r="J89" s="130" t="s">
        <v>54</v>
      </c>
      <c r="K89" s="130"/>
      <c r="L89" s="130"/>
      <c r="M89" s="130"/>
      <c r="N89" s="130"/>
      <c r="O89" s="96" t="s">
        <v>645</v>
      </c>
    </row>
    <row r="90" spans="1:15" ht="38.25" x14ac:dyDescent="0.2">
      <c r="A90" s="249"/>
      <c r="B90" s="252"/>
      <c r="C90" s="255"/>
      <c r="D90" s="249"/>
      <c r="E90" s="96" t="s">
        <v>385</v>
      </c>
      <c r="F90" s="100" t="s">
        <v>646</v>
      </c>
      <c r="G90" s="100" t="s">
        <v>515</v>
      </c>
      <c r="H90" s="93">
        <f t="shared" si="4"/>
        <v>2</v>
      </c>
      <c r="I90" s="130"/>
      <c r="J90" s="130"/>
      <c r="K90" s="130"/>
      <c r="L90" s="130"/>
      <c r="M90" s="130"/>
      <c r="N90" s="130"/>
      <c r="O90" s="96" t="s">
        <v>647</v>
      </c>
    </row>
    <row r="91" spans="1:15" ht="15" x14ac:dyDescent="0.2">
      <c r="A91" s="249"/>
      <c r="B91" s="252"/>
      <c r="C91" s="255"/>
      <c r="D91" s="249"/>
      <c r="E91" s="96" t="s">
        <v>386</v>
      </c>
      <c r="F91" s="100" t="s">
        <v>648</v>
      </c>
      <c r="G91" s="100" t="s">
        <v>515</v>
      </c>
      <c r="H91" s="93">
        <f t="shared" si="4"/>
        <v>2</v>
      </c>
      <c r="I91" s="130"/>
      <c r="J91" s="130"/>
      <c r="K91" s="130"/>
      <c r="L91" s="130"/>
      <c r="M91" s="130"/>
      <c r="N91" s="130"/>
      <c r="O91" s="96"/>
    </row>
    <row r="92" spans="1:15" ht="15" x14ac:dyDescent="0.2">
      <c r="A92" s="249"/>
      <c r="B92" s="252"/>
      <c r="C92" s="255"/>
      <c r="D92" s="249"/>
      <c r="E92" s="96" t="s">
        <v>387</v>
      </c>
      <c r="F92" s="100" t="s">
        <v>649</v>
      </c>
      <c r="G92" s="100" t="s">
        <v>515</v>
      </c>
      <c r="H92" s="93">
        <f t="shared" si="4"/>
        <v>2</v>
      </c>
      <c r="I92" s="130"/>
      <c r="J92" s="130"/>
      <c r="K92" s="130"/>
      <c r="L92" s="130"/>
      <c r="M92" s="130"/>
      <c r="N92" s="130"/>
      <c r="O92" s="96" t="s">
        <v>650</v>
      </c>
    </row>
    <row r="93" spans="1:15" ht="25.5" x14ac:dyDescent="0.2">
      <c r="A93" s="249"/>
      <c r="B93" s="252"/>
      <c r="C93" s="255"/>
      <c r="D93" s="249"/>
      <c r="E93" s="96" t="s">
        <v>388</v>
      </c>
      <c r="F93" s="100" t="s">
        <v>651</v>
      </c>
      <c r="G93" s="100" t="s">
        <v>515</v>
      </c>
      <c r="H93" s="93">
        <f t="shared" si="4"/>
        <v>2</v>
      </c>
      <c r="I93" s="130" t="s">
        <v>54</v>
      </c>
      <c r="J93" s="130"/>
      <c r="K93" s="130"/>
      <c r="L93" s="130" t="s">
        <v>54</v>
      </c>
      <c r="M93" s="130"/>
      <c r="N93" s="130"/>
      <c r="O93" s="96" t="s">
        <v>652</v>
      </c>
    </row>
    <row r="94" spans="1:15" ht="15" x14ac:dyDescent="0.2">
      <c r="A94" s="249"/>
      <c r="B94" s="252"/>
      <c r="C94" s="255"/>
      <c r="D94" s="249"/>
      <c r="E94" s="96" t="s">
        <v>653</v>
      </c>
      <c r="F94" s="100" t="s">
        <v>654</v>
      </c>
      <c r="G94" s="100" t="s">
        <v>507</v>
      </c>
      <c r="H94" s="93">
        <f t="shared" si="4"/>
        <v>0</v>
      </c>
      <c r="I94" s="130"/>
      <c r="J94" s="130"/>
      <c r="K94" s="130"/>
      <c r="L94" s="130"/>
      <c r="M94" s="130"/>
      <c r="N94" s="130"/>
      <c r="O94" s="96" t="s">
        <v>655</v>
      </c>
    </row>
    <row r="95" spans="1:15" ht="15" x14ac:dyDescent="0.2">
      <c r="A95" s="249"/>
      <c r="B95" s="252"/>
      <c r="C95" s="255"/>
      <c r="D95" s="249"/>
      <c r="E95" s="96" t="s">
        <v>656</v>
      </c>
      <c r="F95" s="100" t="s">
        <v>657</v>
      </c>
      <c r="G95" s="100" t="s">
        <v>511</v>
      </c>
      <c r="H95" s="93">
        <f t="shared" si="4"/>
        <v>3</v>
      </c>
      <c r="I95" s="130"/>
      <c r="J95" s="130"/>
      <c r="K95" s="130"/>
      <c r="L95" s="130"/>
      <c r="M95" s="130"/>
      <c r="N95" s="130"/>
      <c r="O95" s="96"/>
    </row>
    <row r="96" spans="1:15" ht="15" x14ac:dyDescent="0.2">
      <c r="A96" s="249"/>
      <c r="B96" s="252"/>
      <c r="C96" s="255"/>
      <c r="D96" s="249"/>
      <c r="E96" s="96" t="s">
        <v>658</v>
      </c>
      <c r="F96" s="100" t="s">
        <v>1550</v>
      </c>
      <c r="G96" s="100" t="s">
        <v>515</v>
      </c>
      <c r="H96" s="93">
        <f t="shared" si="4"/>
        <v>2</v>
      </c>
      <c r="I96" s="130"/>
      <c r="J96" s="130"/>
      <c r="K96" s="130"/>
      <c r="L96" s="130"/>
      <c r="M96" s="130"/>
      <c r="N96" s="130"/>
      <c r="O96" s="96"/>
    </row>
    <row r="97" spans="1:15" ht="15" x14ac:dyDescent="0.2">
      <c r="A97" s="249"/>
      <c r="B97" s="252"/>
      <c r="C97" s="255"/>
      <c r="D97" s="249"/>
      <c r="E97" s="96" t="s">
        <v>659</v>
      </c>
      <c r="F97" s="100" t="s">
        <v>660</v>
      </c>
      <c r="G97" s="100" t="s">
        <v>511</v>
      </c>
      <c r="H97" s="93">
        <f t="shared" si="4"/>
        <v>3</v>
      </c>
      <c r="I97" s="130"/>
      <c r="J97" s="130"/>
      <c r="K97" s="130"/>
      <c r="L97" s="130"/>
      <c r="M97" s="130"/>
      <c r="N97" s="130"/>
      <c r="O97" s="96"/>
    </row>
    <row r="98" spans="1:15" ht="15" x14ac:dyDescent="0.2">
      <c r="A98" s="249"/>
      <c r="B98" s="252"/>
      <c r="C98" s="255"/>
      <c r="D98" s="249"/>
      <c r="E98" s="96" t="s">
        <v>661</v>
      </c>
      <c r="F98" s="100" t="s">
        <v>662</v>
      </c>
      <c r="G98" s="100" t="s">
        <v>511</v>
      </c>
      <c r="H98" s="93">
        <f t="shared" si="4"/>
        <v>3</v>
      </c>
      <c r="I98" s="130"/>
      <c r="J98" s="130"/>
      <c r="K98" s="130"/>
      <c r="L98" s="130"/>
      <c r="M98" s="130"/>
      <c r="N98" s="130"/>
      <c r="O98" s="96"/>
    </row>
    <row r="99" spans="1:15" ht="15" x14ac:dyDescent="0.2">
      <c r="A99" s="249"/>
      <c r="B99" s="252"/>
      <c r="C99" s="255"/>
      <c r="D99" s="249"/>
      <c r="E99" s="96" t="s">
        <v>663</v>
      </c>
      <c r="F99" s="100" t="s">
        <v>664</v>
      </c>
      <c r="G99" s="100" t="s">
        <v>511</v>
      </c>
      <c r="H99" s="93">
        <f t="shared" si="4"/>
        <v>3</v>
      </c>
      <c r="I99" s="130"/>
      <c r="J99" s="130"/>
      <c r="K99" s="130"/>
      <c r="L99" s="130"/>
      <c r="M99" s="130"/>
      <c r="N99" s="130"/>
      <c r="O99" s="96"/>
    </row>
    <row r="100" spans="1:15" ht="76.5" x14ac:dyDescent="0.2">
      <c r="A100" s="249"/>
      <c r="B100" s="252"/>
      <c r="C100" s="255"/>
      <c r="D100" s="249"/>
      <c r="E100" s="96" t="s">
        <v>665</v>
      </c>
      <c r="F100" s="100" t="s">
        <v>1551</v>
      </c>
      <c r="G100" s="100" t="s">
        <v>515</v>
      </c>
      <c r="H100" s="93">
        <f t="shared" si="4"/>
        <v>2</v>
      </c>
      <c r="I100" s="130" t="s">
        <v>54</v>
      </c>
      <c r="J100" s="130" t="s">
        <v>54</v>
      </c>
      <c r="K100" s="130"/>
      <c r="L100" s="130" t="s">
        <v>54</v>
      </c>
      <c r="M100" s="130"/>
      <c r="N100" s="130"/>
      <c r="O100" s="96" t="s">
        <v>666</v>
      </c>
    </row>
    <row r="101" spans="1:15" ht="15.75" thickBot="1" x14ac:dyDescent="0.25">
      <c r="A101" s="250"/>
      <c r="B101" s="253"/>
      <c r="C101" s="256"/>
      <c r="D101" s="250"/>
      <c r="E101" s="96" t="s">
        <v>667</v>
      </c>
      <c r="F101" s="96"/>
      <c r="G101" s="100"/>
      <c r="H101" s="93"/>
      <c r="I101" s="130"/>
      <c r="J101" s="130"/>
      <c r="K101" s="130"/>
      <c r="L101" s="130"/>
      <c r="M101" s="130"/>
      <c r="N101" s="130"/>
      <c r="O101" s="96"/>
    </row>
    <row r="102" spans="1:15" ht="15" x14ac:dyDescent="0.2">
      <c r="A102" s="248" t="s">
        <v>389</v>
      </c>
      <c r="B102" s="251" t="s">
        <v>1908</v>
      </c>
      <c r="C102" s="254">
        <f>SUM(H102:H109)/COUNTIF(F102:F109,"&gt;""")/4</f>
        <v>0.2857142857142857</v>
      </c>
      <c r="D102" s="248" t="s">
        <v>668</v>
      </c>
      <c r="E102" s="96" t="s">
        <v>390</v>
      </c>
      <c r="F102" s="97" t="s">
        <v>669</v>
      </c>
      <c r="G102" s="96" t="s">
        <v>507</v>
      </c>
      <c r="H102" s="93">
        <f t="shared" ref="H102:H107" si="5">IF(G102=$G$294,4,IF(G102=$G$295,3,IF(G102=$G$296,2,IF(G102=$G$297,1,0))))</f>
        <v>0</v>
      </c>
      <c r="I102" s="130"/>
      <c r="J102" s="130"/>
      <c r="K102" s="130"/>
      <c r="L102" s="130" t="s">
        <v>54</v>
      </c>
      <c r="M102" s="130"/>
      <c r="N102" s="130"/>
      <c r="O102" s="96" t="s">
        <v>670</v>
      </c>
    </row>
    <row r="103" spans="1:15" ht="15" x14ac:dyDescent="0.2">
      <c r="A103" s="249"/>
      <c r="B103" s="252"/>
      <c r="C103" s="255"/>
      <c r="D103" s="249"/>
      <c r="E103" s="96" t="s">
        <v>391</v>
      </c>
      <c r="F103" s="97" t="s">
        <v>671</v>
      </c>
      <c r="G103" s="96" t="s">
        <v>507</v>
      </c>
      <c r="H103" s="93">
        <f t="shared" si="5"/>
        <v>0</v>
      </c>
      <c r="I103" s="130"/>
      <c r="J103" s="130"/>
      <c r="K103" s="130"/>
      <c r="L103" s="130"/>
      <c r="M103" s="130"/>
      <c r="N103" s="130"/>
      <c r="O103" s="96"/>
    </row>
    <row r="104" spans="1:15" ht="15" x14ac:dyDescent="0.2">
      <c r="A104" s="249"/>
      <c r="B104" s="252"/>
      <c r="C104" s="255"/>
      <c r="D104" s="249"/>
      <c r="E104" s="96" t="s">
        <v>392</v>
      </c>
      <c r="F104" s="96" t="s">
        <v>672</v>
      </c>
      <c r="G104" s="96" t="s">
        <v>507</v>
      </c>
      <c r="H104" s="93">
        <f t="shared" si="5"/>
        <v>0</v>
      </c>
      <c r="I104" s="130"/>
      <c r="J104" s="130"/>
      <c r="K104" s="130"/>
      <c r="L104" s="130"/>
      <c r="M104" s="130"/>
      <c r="N104" s="130"/>
      <c r="O104" s="96"/>
    </row>
    <row r="105" spans="1:15" ht="38.25" x14ac:dyDescent="0.2">
      <c r="A105" s="249"/>
      <c r="B105" s="252"/>
      <c r="C105" s="255"/>
      <c r="D105" s="249"/>
      <c r="E105" s="96" t="s">
        <v>673</v>
      </c>
      <c r="F105" s="96" t="s">
        <v>674</v>
      </c>
      <c r="G105" s="100" t="s">
        <v>515</v>
      </c>
      <c r="H105" s="93">
        <f t="shared" si="5"/>
        <v>2</v>
      </c>
      <c r="I105" s="130" t="s">
        <v>54</v>
      </c>
      <c r="J105" s="130" t="s">
        <v>54</v>
      </c>
      <c r="K105" s="130" t="s">
        <v>54</v>
      </c>
      <c r="L105" s="130"/>
      <c r="M105" s="130"/>
      <c r="N105" s="130"/>
      <c r="O105" s="96" t="s">
        <v>675</v>
      </c>
    </row>
    <row r="106" spans="1:15" ht="15" x14ac:dyDescent="0.2">
      <c r="A106" s="249"/>
      <c r="B106" s="252"/>
      <c r="C106" s="255"/>
      <c r="D106" s="249"/>
      <c r="E106" s="96" t="s">
        <v>676</v>
      </c>
      <c r="F106" s="96" t="s">
        <v>677</v>
      </c>
      <c r="G106" s="100" t="s">
        <v>515</v>
      </c>
      <c r="H106" s="93">
        <f t="shared" si="5"/>
        <v>2</v>
      </c>
      <c r="I106" s="130" t="s">
        <v>54</v>
      </c>
      <c r="J106" s="130" t="s">
        <v>54</v>
      </c>
      <c r="K106" s="130" t="s">
        <v>54</v>
      </c>
      <c r="L106" s="130"/>
      <c r="M106" s="130"/>
      <c r="N106" s="130"/>
      <c r="O106" s="96"/>
    </row>
    <row r="107" spans="1:15" ht="25.5" x14ac:dyDescent="0.2">
      <c r="A107" s="249"/>
      <c r="B107" s="252"/>
      <c r="C107" s="255"/>
      <c r="D107" s="249"/>
      <c r="E107" s="96" t="s">
        <v>678</v>
      </c>
      <c r="F107" s="105" t="s">
        <v>679</v>
      </c>
      <c r="G107" s="96" t="s">
        <v>511</v>
      </c>
      <c r="H107" s="93">
        <f t="shared" si="5"/>
        <v>3</v>
      </c>
      <c r="I107" s="130"/>
      <c r="J107" s="130"/>
      <c r="K107" s="130"/>
      <c r="L107" s="130"/>
      <c r="M107" s="130"/>
      <c r="N107" s="130"/>
      <c r="O107" s="96" t="s">
        <v>680</v>
      </c>
    </row>
    <row r="108" spans="1:15" ht="51" x14ac:dyDescent="0.2">
      <c r="A108" s="249"/>
      <c r="B108" s="252"/>
      <c r="C108" s="255"/>
      <c r="D108" s="249"/>
      <c r="E108" s="96" t="s">
        <v>681</v>
      </c>
      <c r="F108" s="96" t="s">
        <v>682</v>
      </c>
      <c r="G108" s="96" t="s">
        <v>505</v>
      </c>
      <c r="H108" s="93">
        <v>1</v>
      </c>
      <c r="I108" s="130"/>
      <c r="J108" s="130"/>
      <c r="K108" s="130"/>
      <c r="L108" s="130" t="s">
        <v>54</v>
      </c>
      <c r="M108" s="130"/>
      <c r="N108" s="130"/>
      <c r="O108" s="96" t="s">
        <v>683</v>
      </c>
    </row>
    <row r="109" spans="1:15" ht="15.75" thickBot="1" x14ac:dyDescent="0.25">
      <c r="A109" s="250"/>
      <c r="B109" s="253"/>
      <c r="C109" s="256"/>
      <c r="D109" s="250"/>
      <c r="E109" s="96" t="s">
        <v>684</v>
      </c>
      <c r="F109" s="96"/>
      <c r="G109" s="96"/>
      <c r="H109" s="93">
        <f t="shared" ref="H109:H140" si="6">IF(G109=$G$294,4,IF(G109=$G$295,3,IF(G109=$G$296,2,IF(G109=$G$297,1,0))))</f>
        <v>0</v>
      </c>
      <c r="I109" s="130"/>
      <c r="J109" s="130"/>
      <c r="K109" s="130"/>
      <c r="L109" s="130"/>
      <c r="M109" s="130"/>
      <c r="N109" s="130"/>
      <c r="O109" s="96"/>
    </row>
    <row r="110" spans="1:15" ht="15" x14ac:dyDescent="0.2">
      <c r="A110" s="248" t="s">
        <v>393</v>
      </c>
      <c r="B110" s="251" t="s">
        <v>1909</v>
      </c>
      <c r="C110" s="254">
        <f>SUM(H110:H117)/COUNTIF(F110:F117,"&gt;""")/4</f>
        <v>0.78125</v>
      </c>
      <c r="D110" s="248" t="s">
        <v>685</v>
      </c>
      <c r="E110" s="96" t="s">
        <v>394</v>
      </c>
      <c r="F110" s="96" t="s">
        <v>686</v>
      </c>
      <c r="G110" s="96" t="s">
        <v>528</v>
      </c>
      <c r="H110" s="93">
        <f t="shared" si="6"/>
        <v>4</v>
      </c>
      <c r="I110" s="130"/>
      <c r="J110" s="130"/>
      <c r="K110" s="130"/>
      <c r="L110" s="130"/>
      <c r="M110" s="130"/>
      <c r="N110" s="130"/>
      <c r="O110" s="96"/>
    </row>
    <row r="111" spans="1:15" ht="15" x14ac:dyDescent="0.2">
      <c r="A111" s="249"/>
      <c r="B111" s="252"/>
      <c r="C111" s="255"/>
      <c r="D111" s="249"/>
      <c r="E111" s="96" t="s">
        <v>395</v>
      </c>
      <c r="F111" s="96" t="s">
        <v>687</v>
      </c>
      <c r="G111" s="96" t="s">
        <v>528</v>
      </c>
      <c r="H111" s="93">
        <f t="shared" si="6"/>
        <v>4</v>
      </c>
      <c r="I111" s="130"/>
      <c r="J111" s="130"/>
      <c r="K111" s="130"/>
      <c r="L111" s="130"/>
      <c r="M111" s="130"/>
      <c r="N111" s="130"/>
      <c r="O111" s="96"/>
    </row>
    <row r="112" spans="1:15" ht="25.5" x14ac:dyDescent="0.2">
      <c r="A112" s="249"/>
      <c r="B112" s="252"/>
      <c r="C112" s="255"/>
      <c r="D112" s="249"/>
      <c r="E112" s="96" t="s">
        <v>396</v>
      </c>
      <c r="F112" s="96" t="s">
        <v>688</v>
      </c>
      <c r="G112" s="96" t="s">
        <v>511</v>
      </c>
      <c r="H112" s="93">
        <f t="shared" si="6"/>
        <v>3</v>
      </c>
      <c r="I112" s="130"/>
      <c r="J112" s="130"/>
      <c r="K112" s="130"/>
      <c r="L112" s="130"/>
      <c r="M112" s="130"/>
      <c r="N112" s="130"/>
      <c r="O112" s="96" t="s">
        <v>689</v>
      </c>
    </row>
    <row r="113" spans="1:15" ht="15" x14ac:dyDescent="0.2">
      <c r="A113" s="249"/>
      <c r="B113" s="252"/>
      <c r="C113" s="255"/>
      <c r="D113" s="249"/>
      <c r="E113" s="96" t="s">
        <v>397</v>
      </c>
      <c r="F113" s="96" t="s">
        <v>690</v>
      </c>
      <c r="G113" s="96" t="s">
        <v>511</v>
      </c>
      <c r="H113" s="93">
        <f t="shared" si="6"/>
        <v>3</v>
      </c>
      <c r="I113" s="130"/>
      <c r="J113" s="130"/>
      <c r="K113" s="130"/>
      <c r="L113" s="130"/>
      <c r="M113" s="130"/>
      <c r="N113" s="130"/>
      <c r="O113" s="96"/>
    </row>
    <row r="114" spans="1:15" ht="51" x14ac:dyDescent="0.2">
      <c r="A114" s="249"/>
      <c r="B114" s="252"/>
      <c r="C114" s="255"/>
      <c r="D114" s="249"/>
      <c r="E114" s="96" t="s">
        <v>398</v>
      </c>
      <c r="F114" s="96" t="s">
        <v>691</v>
      </c>
      <c r="G114" s="96" t="s">
        <v>511</v>
      </c>
      <c r="H114" s="93">
        <f t="shared" si="6"/>
        <v>3</v>
      </c>
      <c r="I114" s="130"/>
      <c r="J114" s="130"/>
      <c r="K114" s="130"/>
      <c r="L114" s="130"/>
      <c r="M114" s="130"/>
      <c r="N114" s="130"/>
      <c r="O114" s="96" t="s">
        <v>692</v>
      </c>
    </row>
    <row r="115" spans="1:15" ht="15" x14ac:dyDescent="0.2">
      <c r="A115" s="249"/>
      <c r="B115" s="252"/>
      <c r="C115" s="255"/>
      <c r="D115" s="249"/>
      <c r="E115" s="96" t="s">
        <v>399</v>
      </c>
      <c r="F115" s="96" t="s">
        <v>693</v>
      </c>
      <c r="G115" s="96" t="s">
        <v>511</v>
      </c>
      <c r="H115" s="93">
        <f t="shared" si="6"/>
        <v>3</v>
      </c>
      <c r="I115" s="130"/>
      <c r="J115" s="130"/>
      <c r="K115" s="130"/>
      <c r="L115" s="130"/>
      <c r="M115" s="130"/>
      <c r="N115" s="130"/>
      <c r="O115" s="96"/>
    </row>
    <row r="116" spans="1:15" ht="25.5" x14ac:dyDescent="0.2">
      <c r="A116" s="249"/>
      <c r="B116" s="252"/>
      <c r="C116" s="255"/>
      <c r="D116" s="249"/>
      <c r="E116" s="96" t="s">
        <v>694</v>
      </c>
      <c r="F116" s="96" t="s">
        <v>695</v>
      </c>
      <c r="G116" s="96" t="s">
        <v>515</v>
      </c>
      <c r="H116" s="93">
        <f t="shared" si="6"/>
        <v>2</v>
      </c>
      <c r="I116" s="130" t="s">
        <v>54</v>
      </c>
      <c r="J116" s="130" t="s">
        <v>54</v>
      </c>
      <c r="K116" s="130"/>
      <c r="L116" s="130" t="s">
        <v>54</v>
      </c>
      <c r="M116" s="130"/>
      <c r="N116" s="130"/>
      <c r="O116" s="96" t="s">
        <v>696</v>
      </c>
    </row>
    <row r="117" spans="1:15" ht="15.75" thickBot="1" x14ac:dyDescent="0.25">
      <c r="A117" s="249"/>
      <c r="B117" s="252"/>
      <c r="C117" s="256"/>
      <c r="D117" s="250"/>
      <c r="E117" s="96" t="s">
        <v>697</v>
      </c>
      <c r="F117" s="96" t="s">
        <v>698</v>
      </c>
      <c r="G117" s="96" t="s">
        <v>511</v>
      </c>
      <c r="H117" s="93">
        <f t="shared" si="6"/>
        <v>3</v>
      </c>
      <c r="I117" s="130"/>
      <c r="J117" s="130"/>
      <c r="K117" s="130"/>
      <c r="L117" s="130"/>
      <c r="M117" s="130"/>
      <c r="N117" s="130"/>
      <c r="O117" s="96"/>
    </row>
    <row r="118" spans="1:15" ht="15" x14ac:dyDescent="0.2">
      <c r="A118" s="248" t="s">
        <v>400</v>
      </c>
      <c r="B118" s="251" t="s">
        <v>1910</v>
      </c>
      <c r="C118" s="254">
        <f>SUM(H118:H128)/COUNTIF(F118:F128,"&gt;""")/4</f>
        <v>0.67500000000000004</v>
      </c>
      <c r="D118" s="248" t="s">
        <v>699</v>
      </c>
      <c r="E118" s="96" t="s">
        <v>401</v>
      </c>
      <c r="F118" s="96" t="s">
        <v>700</v>
      </c>
      <c r="G118" s="100" t="s">
        <v>528</v>
      </c>
      <c r="H118" s="93">
        <f t="shared" si="6"/>
        <v>4</v>
      </c>
      <c r="I118" s="130"/>
      <c r="J118" s="130"/>
      <c r="K118" s="130"/>
      <c r="L118" s="130"/>
      <c r="M118" s="130"/>
      <c r="N118" s="130"/>
      <c r="O118" s="96"/>
    </row>
    <row r="119" spans="1:15" ht="15" x14ac:dyDescent="0.2">
      <c r="A119" s="249"/>
      <c r="B119" s="252"/>
      <c r="C119" s="255"/>
      <c r="D119" s="249"/>
      <c r="E119" s="96" t="s">
        <v>402</v>
      </c>
      <c r="F119" s="96" t="s">
        <v>701</v>
      </c>
      <c r="G119" s="96" t="s">
        <v>511</v>
      </c>
      <c r="H119" s="93">
        <f t="shared" si="6"/>
        <v>3</v>
      </c>
      <c r="I119" s="130"/>
      <c r="J119" s="130"/>
      <c r="K119" s="130"/>
      <c r="L119" s="130"/>
      <c r="M119" s="130"/>
      <c r="N119" s="130"/>
      <c r="O119" s="96"/>
    </row>
    <row r="120" spans="1:15" ht="25.5" x14ac:dyDescent="0.2">
      <c r="A120" s="249"/>
      <c r="B120" s="252"/>
      <c r="C120" s="255"/>
      <c r="D120" s="249"/>
      <c r="E120" s="96" t="s">
        <v>403</v>
      </c>
      <c r="F120" s="96" t="s">
        <v>702</v>
      </c>
      <c r="G120" s="96" t="s">
        <v>511</v>
      </c>
      <c r="H120" s="93">
        <f t="shared" si="6"/>
        <v>3</v>
      </c>
      <c r="I120" s="130" t="s">
        <v>54</v>
      </c>
      <c r="J120" s="130"/>
      <c r="K120" s="130"/>
      <c r="L120" s="130"/>
      <c r="M120" s="130" t="s">
        <v>54</v>
      </c>
      <c r="N120" s="130"/>
      <c r="O120" s="96" t="s">
        <v>703</v>
      </c>
    </row>
    <row r="121" spans="1:15" ht="15" x14ac:dyDescent="0.2">
      <c r="A121" s="249"/>
      <c r="B121" s="252"/>
      <c r="C121" s="255"/>
      <c r="D121" s="249"/>
      <c r="E121" s="96" t="s">
        <v>404</v>
      </c>
      <c r="F121" s="96" t="s">
        <v>704</v>
      </c>
      <c r="G121" s="96" t="s">
        <v>505</v>
      </c>
      <c r="H121" s="93">
        <f t="shared" si="6"/>
        <v>1</v>
      </c>
      <c r="I121" s="130" t="s">
        <v>54</v>
      </c>
      <c r="J121" s="130" t="s">
        <v>54</v>
      </c>
      <c r="K121" s="130"/>
      <c r="L121" s="130" t="s">
        <v>54</v>
      </c>
      <c r="M121" s="130" t="s">
        <v>54</v>
      </c>
      <c r="N121" s="130"/>
      <c r="O121" s="96" t="s">
        <v>705</v>
      </c>
    </row>
    <row r="122" spans="1:15" ht="38.25" x14ac:dyDescent="0.2">
      <c r="A122" s="249"/>
      <c r="B122" s="252"/>
      <c r="C122" s="255"/>
      <c r="D122" s="249"/>
      <c r="E122" s="96" t="s">
        <v>405</v>
      </c>
      <c r="F122" s="96" t="s">
        <v>706</v>
      </c>
      <c r="G122" s="96" t="s">
        <v>511</v>
      </c>
      <c r="H122" s="93">
        <f t="shared" si="6"/>
        <v>3</v>
      </c>
      <c r="I122" s="130"/>
      <c r="J122" s="130"/>
      <c r="K122" s="130"/>
      <c r="L122" s="130"/>
      <c r="M122" s="130"/>
      <c r="N122" s="130"/>
      <c r="O122" s="96"/>
    </row>
    <row r="123" spans="1:15" ht="15" x14ac:dyDescent="0.2">
      <c r="A123" s="249"/>
      <c r="B123" s="252"/>
      <c r="C123" s="255"/>
      <c r="D123" s="249"/>
      <c r="E123" s="96" t="s">
        <v>406</v>
      </c>
      <c r="F123" s="96" t="s">
        <v>707</v>
      </c>
      <c r="G123" s="96" t="s">
        <v>507</v>
      </c>
      <c r="H123" s="93">
        <f t="shared" si="6"/>
        <v>0</v>
      </c>
      <c r="I123" s="130"/>
      <c r="J123" s="130"/>
      <c r="K123" s="130"/>
      <c r="L123" s="130"/>
      <c r="M123" s="130"/>
      <c r="N123" s="130"/>
      <c r="O123" s="96"/>
    </row>
    <row r="124" spans="1:15" ht="15" x14ac:dyDescent="0.2">
      <c r="A124" s="249"/>
      <c r="B124" s="252"/>
      <c r="C124" s="255"/>
      <c r="D124" s="249"/>
      <c r="E124" s="96" t="s">
        <v>407</v>
      </c>
      <c r="F124" s="96" t="s">
        <v>708</v>
      </c>
      <c r="G124" s="100" t="s">
        <v>528</v>
      </c>
      <c r="H124" s="93">
        <f t="shared" si="6"/>
        <v>4</v>
      </c>
      <c r="I124" s="130"/>
      <c r="J124" s="130"/>
      <c r="K124" s="130"/>
      <c r="L124" s="130"/>
      <c r="M124" s="130"/>
      <c r="N124" s="130"/>
      <c r="O124" s="96"/>
    </row>
    <row r="125" spans="1:15" ht="15" x14ac:dyDescent="0.2">
      <c r="A125" s="249"/>
      <c r="B125" s="252"/>
      <c r="C125" s="255"/>
      <c r="D125" s="249"/>
      <c r="E125" s="96" t="s">
        <v>408</v>
      </c>
      <c r="F125" s="96" t="s">
        <v>709</v>
      </c>
      <c r="G125" s="96" t="s">
        <v>511</v>
      </c>
      <c r="H125" s="93">
        <f t="shared" si="6"/>
        <v>3</v>
      </c>
      <c r="I125" s="130"/>
      <c r="J125" s="130"/>
      <c r="K125" s="130"/>
      <c r="L125" s="130"/>
      <c r="M125" s="130"/>
      <c r="N125" s="130"/>
      <c r="O125" s="96"/>
    </row>
    <row r="126" spans="1:15" ht="15" x14ac:dyDescent="0.2">
      <c r="A126" s="249"/>
      <c r="B126" s="252"/>
      <c r="C126" s="255"/>
      <c r="D126" s="249"/>
      <c r="E126" s="96" t="s">
        <v>409</v>
      </c>
      <c r="F126" s="105" t="s">
        <v>710</v>
      </c>
      <c r="G126" s="96" t="s">
        <v>511</v>
      </c>
      <c r="H126" s="93">
        <f t="shared" si="6"/>
        <v>3</v>
      </c>
      <c r="I126" s="130"/>
      <c r="J126" s="130"/>
      <c r="K126" s="130"/>
      <c r="L126" s="130"/>
      <c r="M126" s="130" t="s">
        <v>54</v>
      </c>
      <c r="N126" s="130"/>
      <c r="O126" s="96"/>
    </row>
    <row r="127" spans="1:15" ht="38.25" x14ac:dyDescent="0.2">
      <c r="A127" s="249"/>
      <c r="B127" s="252"/>
      <c r="C127" s="255"/>
      <c r="D127" s="249"/>
      <c r="E127" s="96" t="s">
        <v>711</v>
      </c>
      <c r="F127" s="101" t="s">
        <v>712</v>
      </c>
      <c r="G127" s="96" t="s">
        <v>511</v>
      </c>
      <c r="H127" s="93">
        <f t="shared" si="6"/>
        <v>3</v>
      </c>
      <c r="I127" s="130"/>
      <c r="J127" s="130"/>
      <c r="K127" s="130"/>
      <c r="L127" s="130"/>
      <c r="M127" s="130"/>
      <c r="N127" s="130"/>
      <c r="O127" s="96" t="s">
        <v>713</v>
      </c>
    </row>
    <row r="128" spans="1:15" ht="15.75" thickBot="1" x14ac:dyDescent="0.25">
      <c r="A128" s="250"/>
      <c r="B128" s="253"/>
      <c r="C128" s="256"/>
      <c r="D128" s="250"/>
      <c r="E128" s="96" t="s">
        <v>714</v>
      </c>
      <c r="F128" s="98"/>
      <c r="G128" s="96"/>
      <c r="H128" s="93">
        <f t="shared" si="6"/>
        <v>0</v>
      </c>
      <c r="I128" s="130"/>
      <c r="J128" s="130"/>
      <c r="K128" s="130"/>
      <c r="L128" s="130"/>
      <c r="M128" s="130"/>
      <c r="N128" s="130"/>
      <c r="O128" s="96"/>
    </row>
    <row r="129" spans="1:15" ht="38.25" x14ac:dyDescent="0.2">
      <c r="A129" s="248" t="s">
        <v>410</v>
      </c>
      <c r="B129" s="251" t="s">
        <v>3408</v>
      </c>
      <c r="C129" s="254">
        <f>SUM(H129:H141)/COUNTIF(F129:F141,"&gt;""")/4</f>
        <v>0</v>
      </c>
      <c r="D129" s="248" t="s">
        <v>715</v>
      </c>
      <c r="E129" s="96" t="s">
        <v>411</v>
      </c>
      <c r="F129" s="96" t="s">
        <v>716</v>
      </c>
      <c r="G129" s="96" t="s">
        <v>507</v>
      </c>
      <c r="H129" s="93">
        <f t="shared" si="6"/>
        <v>0</v>
      </c>
      <c r="I129" s="130" t="s">
        <v>54</v>
      </c>
      <c r="J129" s="130" t="s">
        <v>54</v>
      </c>
      <c r="K129" s="130" t="s">
        <v>54</v>
      </c>
      <c r="L129" s="130" t="s">
        <v>54</v>
      </c>
      <c r="M129" s="130"/>
      <c r="N129" s="130"/>
      <c r="O129" s="96" t="s">
        <v>717</v>
      </c>
    </row>
    <row r="130" spans="1:15" ht="15" x14ac:dyDescent="0.2">
      <c r="A130" s="249"/>
      <c r="B130" s="252"/>
      <c r="C130" s="255"/>
      <c r="D130" s="249"/>
      <c r="E130" s="96" t="s">
        <v>412</v>
      </c>
      <c r="F130" s="96" t="s">
        <v>718</v>
      </c>
      <c r="G130" s="96" t="s">
        <v>507</v>
      </c>
      <c r="H130" s="93">
        <f t="shared" si="6"/>
        <v>0</v>
      </c>
      <c r="I130" s="130" t="s">
        <v>54</v>
      </c>
      <c r="J130" s="130" t="s">
        <v>54</v>
      </c>
      <c r="K130" s="130" t="s">
        <v>54</v>
      </c>
      <c r="L130" s="130" t="s">
        <v>54</v>
      </c>
      <c r="M130" s="130"/>
      <c r="N130" s="130"/>
      <c r="O130" s="96" t="s">
        <v>719</v>
      </c>
    </row>
    <row r="131" spans="1:15" ht="15" x14ac:dyDescent="0.2">
      <c r="A131" s="249"/>
      <c r="B131" s="252"/>
      <c r="C131" s="255"/>
      <c r="D131" s="249"/>
      <c r="E131" s="96" t="s">
        <v>413</v>
      </c>
      <c r="F131" s="96" t="s">
        <v>720</v>
      </c>
      <c r="G131" s="96" t="s">
        <v>507</v>
      </c>
      <c r="H131" s="93">
        <f t="shared" si="6"/>
        <v>0</v>
      </c>
      <c r="I131" s="130" t="s">
        <v>54</v>
      </c>
      <c r="J131" s="130" t="s">
        <v>54</v>
      </c>
      <c r="K131" s="130" t="s">
        <v>54</v>
      </c>
      <c r="L131" s="130" t="s">
        <v>54</v>
      </c>
      <c r="M131" s="130"/>
      <c r="N131" s="130"/>
      <c r="O131" s="96"/>
    </row>
    <row r="132" spans="1:15" ht="25.5" x14ac:dyDescent="0.2">
      <c r="A132" s="249"/>
      <c r="B132" s="252"/>
      <c r="C132" s="255"/>
      <c r="D132" s="249"/>
      <c r="E132" s="96" t="s">
        <v>721</v>
      </c>
      <c r="F132" s="96" t="s">
        <v>722</v>
      </c>
      <c r="G132" s="96" t="s">
        <v>507</v>
      </c>
      <c r="H132" s="93">
        <f t="shared" si="6"/>
        <v>0</v>
      </c>
      <c r="I132" s="130" t="s">
        <v>54</v>
      </c>
      <c r="J132" s="130" t="s">
        <v>54</v>
      </c>
      <c r="K132" s="130" t="s">
        <v>54</v>
      </c>
      <c r="L132" s="130" t="s">
        <v>54</v>
      </c>
      <c r="M132" s="130"/>
      <c r="N132" s="130"/>
      <c r="O132" s="96"/>
    </row>
    <row r="133" spans="1:15" ht="15" x14ac:dyDescent="0.2">
      <c r="A133" s="249"/>
      <c r="B133" s="252"/>
      <c r="C133" s="255"/>
      <c r="D133" s="249"/>
      <c r="E133" s="96" t="s">
        <v>723</v>
      </c>
      <c r="F133" s="96" t="s">
        <v>724</v>
      </c>
      <c r="G133" s="96" t="s">
        <v>507</v>
      </c>
      <c r="H133" s="93">
        <f t="shared" si="6"/>
        <v>0</v>
      </c>
      <c r="I133" s="130" t="s">
        <v>54</v>
      </c>
      <c r="J133" s="130" t="s">
        <v>54</v>
      </c>
      <c r="K133" s="130" t="s">
        <v>54</v>
      </c>
      <c r="L133" s="130" t="s">
        <v>54</v>
      </c>
      <c r="M133" s="130"/>
      <c r="N133" s="130"/>
      <c r="O133" s="96"/>
    </row>
    <row r="134" spans="1:15" ht="15" x14ac:dyDescent="0.2">
      <c r="A134" s="249"/>
      <c r="B134" s="252"/>
      <c r="C134" s="255"/>
      <c r="D134" s="249"/>
      <c r="E134" s="96" t="s">
        <v>725</v>
      </c>
      <c r="F134" s="96" t="s">
        <v>726</v>
      </c>
      <c r="G134" s="96" t="s">
        <v>507</v>
      </c>
      <c r="H134" s="93">
        <f t="shared" si="6"/>
        <v>0</v>
      </c>
      <c r="I134" s="130" t="s">
        <v>54</v>
      </c>
      <c r="J134" s="130" t="s">
        <v>54</v>
      </c>
      <c r="K134" s="130" t="s">
        <v>54</v>
      </c>
      <c r="L134" s="130" t="s">
        <v>54</v>
      </c>
      <c r="M134" s="130"/>
      <c r="N134" s="130"/>
      <c r="O134" s="96"/>
    </row>
    <row r="135" spans="1:15" ht="15" x14ac:dyDescent="0.2">
      <c r="A135" s="249"/>
      <c r="B135" s="252"/>
      <c r="C135" s="255"/>
      <c r="D135" s="249"/>
      <c r="E135" s="96" t="s">
        <v>727</v>
      </c>
      <c r="F135" s="96" t="s">
        <v>728</v>
      </c>
      <c r="G135" s="96" t="s">
        <v>507</v>
      </c>
      <c r="H135" s="93">
        <f t="shared" si="6"/>
        <v>0</v>
      </c>
      <c r="I135" s="130" t="s">
        <v>54</v>
      </c>
      <c r="J135" s="130" t="s">
        <v>54</v>
      </c>
      <c r="K135" s="130" t="s">
        <v>54</v>
      </c>
      <c r="L135" s="130" t="s">
        <v>54</v>
      </c>
      <c r="M135" s="130"/>
      <c r="N135" s="130"/>
      <c r="O135" s="96"/>
    </row>
    <row r="136" spans="1:15" ht="15" x14ac:dyDescent="0.2">
      <c r="A136" s="249"/>
      <c r="B136" s="252"/>
      <c r="C136" s="255"/>
      <c r="D136" s="249"/>
      <c r="E136" s="96" t="s">
        <v>729</v>
      </c>
      <c r="F136" s="96" t="s">
        <v>730</v>
      </c>
      <c r="G136" s="96" t="s">
        <v>507</v>
      </c>
      <c r="H136" s="93">
        <f t="shared" si="6"/>
        <v>0</v>
      </c>
      <c r="I136" s="130" t="s">
        <v>54</v>
      </c>
      <c r="J136" s="130" t="s">
        <v>54</v>
      </c>
      <c r="K136" s="130" t="s">
        <v>54</v>
      </c>
      <c r="L136" s="130" t="s">
        <v>54</v>
      </c>
      <c r="M136" s="130"/>
      <c r="N136" s="130"/>
      <c r="O136" s="96"/>
    </row>
    <row r="137" spans="1:15" ht="15" x14ac:dyDescent="0.2">
      <c r="A137" s="249"/>
      <c r="B137" s="252"/>
      <c r="C137" s="255"/>
      <c r="D137" s="249"/>
      <c r="E137" s="96" t="s">
        <v>731</v>
      </c>
      <c r="F137" s="117" t="s">
        <v>732</v>
      </c>
      <c r="G137" s="96" t="s">
        <v>507</v>
      </c>
      <c r="H137" s="93">
        <f t="shared" si="6"/>
        <v>0</v>
      </c>
      <c r="I137" s="130" t="s">
        <v>54</v>
      </c>
      <c r="J137" s="130" t="s">
        <v>54</v>
      </c>
      <c r="K137" s="130" t="s">
        <v>54</v>
      </c>
      <c r="L137" s="130" t="s">
        <v>54</v>
      </c>
      <c r="M137" s="130"/>
      <c r="N137" s="130"/>
      <c r="O137" s="96"/>
    </row>
    <row r="138" spans="1:15" ht="15" x14ac:dyDescent="0.2">
      <c r="A138" s="249"/>
      <c r="B138" s="252"/>
      <c r="C138" s="255"/>
      <c r="D138" s="249"/>
      <c r="E138" s="96" t="s">
        <v>733</v>
      </c>
      <c r="F138" s="96" t="s">
        <v>734</v>
      </c>
      <c r="G138" s="96" t="s">
        <v>507</v>
      </c>
      <c r="H138" s="93">
        <f t="shared" si="6"/>
        <v>0</v>
      </c>
      <c r="I138" s="130" t="s">
        <v>54</v>
      </c>
      <c r="J138" s="130" t="s">
        <v>54</v>
      </c>
      <c r="K138" s="130" t="s">
        <v>54</v>
      </c>
      <c r="L138" s="130" t="s">
        <v>54</v>
      </c>
      <c r="M138" s="130"/>
      <c r="N138" s="130"/>
      <c r="O138" s="96"/>
    </row>
    <row r="139" spans="1:15" ht="15" x14ac:dyDescent="0.2">
      <c r="A139" s="249"/>
      <c r="B139" s="252"/>
      <c r="C139" s="255"/>
      <c r="D139" s="249"/>
      <c r="E139" s="96" t="s">
        <v>735</v>
      </c>
      <c r="F139" s="96" t="s">
        <v>736</v>
      </c>
      <c r="G139" s="96" t="s">
        <v>507</v>
      </c>
      <c r="H139" s="93">
        <f t="shared" si="6"/>
        <v>0</v>
      </c>
      <c r="I139" s="130" t="s">
        <v>54</v>
      </c>
      <c r="J139" s="130" t="s">
        <v>54</v>
      </c>
      <c r="K139" s="130" t="s">
        <v>54</v>
      </c>
      <c r="L139" s="130" t="s">
        <v>54</v>
      </c>
      <c r="M139" s="130"/>
      <c r="N139" s="130"/>
      <c r="O139" s="96"/>
    </row>
    <row r="140" spans="1:15" ht="15" x14ac:dyDescent="0.2">
      <c r="A140" s="249"/>
      <c r="B140" s="252"/>
      <c r="C140" s="255"/>
      <c r="D140" s="249"/>
      <c r="E140" s="96" t="s">
        <v>737</v>
      </c>
      <c r="F140" s="96"/>
      <c r="G140" s="96"/>
      <c r="H140" s="93">
        <f t="shared" si="6"/>
        <v>0</v>
      </c>
      <c r="I140" s="130"/>
      <c r="J140" s="130"/>
      <c r="K140" s="130"/>
      <c r="L140" s="130"/>
      <c r="M140" s="130"/>
      <c r="N140" s="130"/>
      <c r="O140" s="96"/>
    </row>
    <row r="141" spans="1:15" ht="15.75" thickBot="1" x14ac:dyDescent="0.25">
      <c r="A141" s="250"/>
      <c r="B141" s="253"/>
      <c r="C141" s="256"/>
      <c r="D141" s="250"/>
      <c r="E141" s="96" t="s">
        <v>738</v>
      </c>
      <c r="F141" s="96"/>
      <c r="G141" s="96"/>
      <c r="H141" s="93">
        <f t="shared" ref="H141:H172" si="7">IF(G141=$G$294,4,IF(G141=$G$295,3,IF(G141=$G$296,2,IF(G141=$G$297,1,0))))</f>
        <v>0</v>
      </c>
      <c r="I141" s="130"/>
      <c r="J141" s="130"/>
      <c r="K141" s="130"/>
      <c r="L141" s="130"/>
      <c r="M141" s="130"/>
      <c r="N141" s="130"/>
      <c r="O141" s="96"/>
    </row>
    <row r="142" spans="1:15" ht="180" x14ac:dyDescent="0.2">
      <c r="A142" s="258" t="s">
        <v>414</v>
      </c>
      <c r="B142" s="261" t="s">
        <v>739</v>
      </c>
      <c r="C142" s="254">
        <f>SUM(H142:H152)/COUNTIF(F142:F152,"&gt;""")/4</f>
        <v>0.5</v>
      </c>
      <c r="D142" s="258" t="s">
        <v>740</v>
      </c>
      <c r="E142" s="106" t="s">
        <v>415</v>
      </c>
      <c r="F142" s="100" t="s">
        <v>741</v>
      </c>
      <c r="G142" s="100" t="s">
        <v>515</v>
      </c>
      <c r="H142" s="93">
        <f t="shared" si="7"/>
        <v>2</v>
      </c>
      <c r="I142" s="114" t="s">
        <v>54</v>
      </c>
      <c r="J142" s="114" t="s">
        <v>54</v>
      </c>
      <c r="K142" s="115" t="s">
        <v>742</v>
      </c>
      <c r="L142" s="116" t="s">
        <v>743</v>
      </c>
      <c r="M142" s="116" t="s">
        <v>744</v>
      </c>
      <c r="N142" s="116" t="s">
        <v>745</v>
      </c>
      <c r="O142" s="96"/>
    </row>
    <row r="143" spans="1:15" ht="15" x14ac:dyDescent="0.2">
      <c r="A143" s="259"/>
      <c r="B143" s="262"/>
      <c r="C143" s="255"/>
      <c r="D143" s="259"/>
      <c r="E143" s="106" t="s">
        <v>416</v>
      </c>
      <c r="F143" s="100" t="s">
        <v>746</v>
      </c>
      <c r="G143" s="100" t="s">
        <v>515</v>
      </c>
      <c r="H143" s="93">
        <f t="shared" si="7"/>
        <v>2</v>
      </c>
      <c r="I143" s="114" t="s">
        <v>54</v>
      </c>
      <c r="J143" s="114" t="s">
        <v>54</v>
      </c>
      <c r="K143" s="114" t="s">
        <v>747</v>
      </c>
      <c r="L143" s="114" t="s">
        <v>747</v>
      </c>
      <c r="M143" s="114" t="s">
        <v>747</v>
      </c>
      <c r="N143" s="114" t="s">
        <v>747</v>
      </c>
      <c r="O143" s="96"/>
    </row>
    <row r="144" spans="1:15" ht="15" x14ac:dyDescent="0.2">
      <c r="A144" s="259"/>
      <c r="B144" s="262"/>
      <c r="C144" s="255"/>
      <c r="D144" s="259"/>
      <c r="E144" s="106" t="s">
        <v>417</v>
      </c>
      <c r="F144" s="100" t="s">
        <v>748</v>
      </c>
      <c r="G144" s="100" t="s">
        <v>515</v>
      </c>
      <c r="H144" s="93">
        <f t="shared" si="7"/>
        <v>2</v>
      </c>
      <c r="I144" s="114" t="s">
        <v>54</v>
      </c>
      <c r="J144" s="114" t="s">
        <v>54</v>
      </c>
      <c r="K144" s="114" t="s">
        <v>747</v>
      </c>
      <c r="L144" s="114" t="s">
        <v>747</v>
      </c>
      <c r="M144" s="114" t="s">
        <v>747</v>
      </c>
      <c r="N144" s="114" t="s">
        <v>747</v>
      </c>
      <c r="O144" s="96"/>
    </row>
    <row r="145" spans="1:15" ht="15" x14ac:dyDescent="0.2">
      <c r="A145" s="259"/>
      <c r="B145" s="262"/>
      <c r="C145" s="255"/>
      <c r="D145" s="259"/>
      <c r="E145" s="106" t="s">
        <v>418</v>
      </c>
      <c r="F145" s="100" t="s">
        <v>749</v>
      </c>
      <c r="G145" s="100" t="s">
        <v>515</v>
      </c>
      <c r="H145" s="93">
        <f t="shared" si="7"/>
        <v>2</v>
      </c>
      <c r="I145" s="114" t="s">
        <v>54</v>
      </c>
      <c r="J145" s="114" t="s">
        <v>54</v>
      </c>
      <c r="K145" s="114" t="s">
        <v>747</v>
      </c>
      <c r="L145" s="114" t="s">
        <v>747</v>
      </c>
      <c r="M145" s="114" t="s">
        <v>747</v>
      </c>
      <c r="N145" s="114" t="s">
        <v>747</v>
      </c>
      <c r="O145" s="96"/>
    </row>
    <row r="146" spans="1:15" ht="15" x14ac:dyDescent="0.2">
      <c r="A146" s="259"/>
      <c r="B146" s="262"/>
      <c r="C146" s="255"/>
      <c r="D146" s="259"/>
      <c r="E146" s="106" t="s">
        <v>419</v>
      </c>
      <c r="F146" s="100" t="s">
        <v>750</v>
      </c>
      <c r="G146" s="100" t="s">
        <v>515</v>
      </c>
      <c r="H146" s="93">
        <f t="shared" si="7"/>
        <v>2</v>
      </c>
      <c r="I146" s="114" t="s">
        <v>54</v>
      </c>
      <c r="J146" s="114" t="s">
        <v>54</v>
      </c>
      <c r="K146" s="114" t="s">
        <v>747</v>
      </c>
      <c r="L146" s="114" t="s">
        <v>747</v>
      </c>
      <c r="M146" s="114" t="s">
        <v>747</v>
      </c>
      <c r="N146" s="114" t="s">
        <v>747</v>
      </c>
      <c r="O146" s="96"/>
    </row>
    <row r="147" spans="1:15" ht="15" x14ac:dyDescent="0.2">
      <c r="A147" s="259"/>
      <c r="B147" s="262"/>
      <c r="C147" s="255"/>
      <c r="D147" s="259"/>
      <c r="E147" s="106" t="s">
        <v>751</v>
      </c>
      <c r="F147" s="100" t="s">
        <v>752</v>
      </c>
      <c r="G147" s="100" t="s">
        <v>515</v>
      </c>
      <c r="H147" s="93">
        <f t="shared" si="7"/>
        <v>2</v>
      </c>
      <c r="I147" s="114" t="s">
        <v>54</v>
      </c>
      <c r="J147" s="114" t="s">
        <v>54</v>
      </c>
      <c r="K147" s="114" t="s">
        <v>747</v>
      </c>
      <c r="L147" s="114" t="s">
        <v>747</v>
      </c>
      <c r="M147" s="114" t="s">
        <v>747</v>
      </c>
      <c r="N147" s="114" t="s">
        <v>747</v>
      </c>
      <c r="O147" s="96"/>
    </row>
    <row r="148" spans="1:15" ht="15" x14ac:dyDescent="0.2">
      <c r="A148" s="259"/>
      <c r="B148" s="262"/>
      <c r="C148" s="255"/>
      <c r="D148" s="259"/>
      <c r="E148" s="106" t="s">
        <v>753</v>
      </c>
      <c r="F148" s="100" t="s">
        <v>754</v>
      </c>
      <c r="G148" s="100" t="s">
        <v>515</v>
      </c>
      <c r="H148" s="93">
        <f t="shared" si="7"/>
        <v>2</v>
      </c>
      <c r="I148" s="114" t="s">
        <v>54</v>
      </c>
      <c r="J148" s="114" t="s">
        <v>54</v>
      </c>
      <c r="K148" s="114" t="s">
        <v>747</v>
      </c>
      <c r="L148" s="114" t="s">
        <v>747</v>
      </c>
      <c r="M148" s="114" t="s">
        <v>747</v>
      </c>
      <c r="N148" s="114" t="s">
        <v>747</v>
      </c>
      <c r="O148" s="96"/>
    </row>
    <row r="149" spans="1:15" ht="15" x14ac:dyDescent="0.2">
      <c r="A149" s="259"/>
      <c r="B149" s="262"/>
      <c r="C149" s="255"/>
      <c r="D149" s="259"/>
      <c r="E149" s="106" t="s">
        <v>755</v>
      </c>
      <c r="F149" s="100" t="s">
        <v>756</v>
      </c>
      <c r="G149" s="100" t="s">
        <v>515</v>
      </c>
      <c r="H149" s="93">
        <f t="shared" si="7"/>
        <v>2</v>
      </c>
      <c r="I149" s="114" t="s">
        <v>54</v>
      </c>
      <c r="J149" s="114" t="s">
        <v>54</v>
      </c>
      <c r="K149" s="114" t="s">
        <v>747</v>
      </c>
      <c r="L149" s="114" t="s">
        <v>747</v>
      </c>
      <c r="M149" s="114" t="s">
        <v>747</v>
      </c>
      <c r="N149" s="114" t="s">
        <v>747</v>
      </c>
      <c r="O149" s="96"/>
    </row>
    <row r="150" spans="1:15" ht="30" x14ac:dyDescent="0.2">
      <c r="A150" s="259"/>
      <c r="B150" s="262"/>
      <c r="C150" s="255"/>
      <c r="D150" s="259"/>
      <c r="E150" s="106" t="s">
        <v>757</v>
      </c>
      <c r="F150" s="100" t="s">
        <v>758</v>
      </c>
      <c r="G150" s="100" t="s">
        <v>515</v>
      </c>
      <c r="H150" s="93">
        <f t="shared" si="7"/>
        <v>2</v>
      </c>
      <c r="I150" s="114" t="s">
        <v>54</v>
      </c>
      <c r="J150" s="114" t="s">
        <v>54</v>
      </c>
      <c r="K150" s="114" t="s">
        <v>747</v>
      </c>
      <c r="L150" s="114" t="s">
        <v>747</v>
      </c>
      <c r="M150" s="114" t="s">
        <v>747</v>
      </c>
      <c r="N150" s="114" t="s">
        <v>747</v>
      </c>
      <c r="O150" s="96"/>
    </row>
    <row r="151" spans="1:15" ht="15" x14ac:dyDescent="0.2">
      <c r="A151" s="259"/>
      <c r="B151" s="262"/>
      <c r="C151" s="255"/>
      <c r="D151" s="259"/>
      <c r="E151" s="106" t="s">
        <v>759</v>
      </c>
      <c r="F151" s="100" t="s">
        <v>760</v>
      </c>
      <c r="G151" s="100" t="s">
        <v>515</v>
      </c>
      <c r="H151" s="93">
        <f t="shared" si="7"/>
        <v>2</v>
      </c>
      <c r="I151" s="114" t="s">
        <v>54</v>
      </c>
      <c r="J151" s="114" t="s">
        <v>54</v>
      </c>
      <c r="K151" s="114" t="s">
        <v>747</v>
      </c>
      <c r="L151" s="114" t="s">
        <v>747</v>
      </c>
      <c r="M151" s="114" t="s">
        <v>747</v>
      </c>
      <c r="N151" s="114" t="s">
        <v>747</v>
      </c>
      <c r="O151" s="96"/>
    </row>
    <row r="152" spans="1:15" ht="15.75" thickBot="1" x14ac:dyDescent="0.25">
      <c r="A152" s="260"/>
      <c r="B152" s="263"/>
      <c r="C152" s="256"/>
      <c r="D152" s="260"/>
      <c r="E152" s="106" t="s">
        <v>761</v>
      </c>
      <c r="F152" s="96"/>
      <c r="G152" s="96"/>
      <c r="H152" s="93">
        <f t="shared" si="7"/>
        <v>0</v>
      </c>
      <c r="I152" s="130"/>
      <c r="J152" s="130"/>
      <c r="K152" s="130"/>
      <c r="L152" s="130"/>
      <c r="M152" s="130"/>
      <c r="N152" s="130"/>
      <c r="O152" s="96"/>
    </row>
    <row r="153" spans="1:15" ht="150" x14ac:dyDescent="0.2">
      <c r="A153" s="258" t="s">
        <v>420</v>
      </c>
      <c r="B153" s="261" t="s">
        <v>762</v>
      </c>
      <c r="C153" s="254">
        <f>SUM(H153:H167)/COUNTIF(F155:F167,"&gt;""")/4</f>
        <v>0.75</v>
      </c>
      <c r="D153" s="258" t="s">
        <v>763</v>
      </c>
      <c r="E153" s="34" t="s">
        <v>421</v>
      </c>
      <c r="F153" s="100" t="s">
        <v>764</v>
      </c>
      <c r="G153" s="96" t="s">
        <v>511</v>
      </c>
      <c r="H153" s="93">
        <f t="shared" si="7"/>
        <v>3</v>
      </c>
      <c r="I153" s="114"/>
      <c r="J153" s="114"/>
      <c r="K153" s="115" t="s">
        <v>765</v>
      </c>
      <c r="L153" s="115" t="s">
        <v>766</v>
      </c>
      <c r="M153" s="116" t="s">
        <v>767</v>
      </c>
      <c r="N153" s="116" t="s">
        <v>745</v>
      </c>
      <c r="O153" s="96" t="s">
        <v>768</v>
      </c>
    </row>
    <row r="154" spans="1:15" ht="150" x14ac:dyDescent="0.2">
      <c r="A154" s="259"/>
      <c r="B154" s="262"/>
      <c r="C154" s="255"/>
      <c r="D154" s="259"/>
      <c r="E154" s="34" t="s">
        <v>422</v>
      </c>
      <c r="F154" s="100" t="s">
        <v>769</v>
      </c>
      <c r="G154" s="96" t="s">
        <v>511</v>
      </c>
      <c r="H154" s="93">
        <f t="shared" si="7"/>
        <v>3</v>
      </c>
      <c r="I154" s="114"/>
      <c r="J154" s="114"/>
      <c r="K154" s="115" t="s">
        <v>765</v>
      </c>
      <c r="L154" s="115" t="s">
        <v>766</v>
      </c>
      <c r="M154" s="116" t="s">
        <v>767</v>
      </c>
      <c r="N154" s="116" t="s">
        <v>745</v>
      </c>
      <c r="O154" s="96" t="s">
        <v>768</v>
      </c>
    </row>
    <row r="155" spans="1:15" ht="180" x14ac:dyDescent="0.2">
      <c r="A155" s="259"/>
      <c r="B155" s="262"/>
      <c r="C155" s="255"/>
      <c r="D155" s="259"/>
      <c r="E155" s="34" t="s">
        <v>423</v>
      </c>
      <c r="F155" s="100" t="s">
        <v>770</v>
      </c>
      <c r="G155" s="96" t="s">
        <v>511</v>
      </c>
      <c r="H155" s="93">
        <f t="shared" si="7"/>
        <v>3</v>
      </c>
      <c r="I155" s="114"/>
      <c r="J155" s="114"/>
      <c r="K155" s="115" t="s">
        <v>742</v>
      </c>
      <c r="L155" s="116" t="s">
        <v>743</v>
      </c>
      <c r="M155" s="116" t="s">
        <v>744</v>
      </c>
      <c r="N155" s="116" t="s">
        <v>745</v>
      </c>
      <c r="O155" s="96" t="s">
        <v>768</v>
      </c>
    </row>
    <row r="156" spans="1:15" ht="25.5" x14ac:dyDescent="0.2">
      <c r="A156" s="259"/>
      <c r="B156" s="262"/>
      <c r="C156" s="255"/>
      <c r="D156" s="259"/>
      <c r="E156" s="34" t="s">
        <v>424</v>
      </c>
      <c r="F156" s="100" t="s">
        <v>771</v>
      </c>
      <c r="G156" s="96" t="s">
        <v>511</v>
      </c>
      <c r="H156" s="93">
        <f t="shared" si="7"/>
        <v>3</v>
      </c>
      <c r="I156" s="114"/>
      <c r="J156" s="114"/>
      <c r="K156" s="114" t="s">
        <v>747</v>
      </c>
      <c r="L156" s="114" t="s">
        <v>747</v>
      </c>
      <c r="M156" s="114" t="s">
        <v>747</v>
      </c>
      <c r="N156" s="114" t="s">
        <v>747</v>
      </c>
      <c r="O156" s="96" t="s">
        <v>768</v>
      </c>
    </row>
    <row r="157" spans="1:15" ht="30" x14ac:dyDescent="0.2">
      <c r="A157" s="259"/>
      <c r="B157" s="262"/>
      <c r="C157" s="255"/>
      <c r="D157" s="259"/>
      <c r="E157" s="34" t="s">
        <v>772</v>
      </c>
      <c r="F157" s="100" t="s">
        <v>773</v>
      </c>
      <c r="G157" s="96" t="s">
        <v>511</v>
      </c>
      <c r="H157" s="93">
        <f t="shared" si="7"/>
        <v>3</v>
      </c>
      <c r="I157" s="114"/>
      <c r="J157" s="114"/>
      <c r="K157" s="114" t="s">
        <v>747</v>
      </c>
      <c r="L157" s="114" t="s">
        <v>747</v>
      </c>
      <c r="M157" s="114" t="s">
        <v>747</v>
      </c>
      <c r="N157" s="114" t="s">
        <v>747</v>
      </c>
      <c r="O157" s="96" t="s">
        <v>768</v>
      </c>
    </row>
    <row r="158" spans="1:15" ht="30" x14ac:dyDescent="0.2">
      <c r="A158" s="259"/>
      <c r="B158" s="262"/>
      <c r="C158" s="255"/>
      <c r="D158" s="259"/>
      <c r="E158" s="34" t="s">
        <v>774</v>
      </c>
      <c r="F158" s="100" t="s">
        <v>775</v>
      </c>
      <c r="G158" s="96" t="s">
        <v>511</v>
      </c>
      <c r="H158" s="93">
        <f t="shared" si="7"/>
        <v>3</v>
      </c>
      <c r="I158" s="114"/>
      <c r="J158" s="114"/>
      <c r="K158" s="114" t="s">
        <v>747</v>
      </c>
      <c r="L158" s="114" t="s">
        <v>747</v>
      </c>
      <c r="M158" s="114" t="s">
        <v>747</v>
      </c>
      <c r="N158" s="114" t="s">
        <v>747</v>
      </c>
      <c r="O158" s="96" t="s">
        <v>768</v>
      </c>
    </row>
    <row r="159" spans="1:15" ht="25.5" x14ac:dyDescent="0.2">
      <c r="A159" s="259"/>
      <c r="B159" s="262"/>
      <c r="C159" s="255"/>
      <c r="D159" s="259"/>
      <c r="E159" s="34" t="s">
        <v>776</v>
      </c>
      <c r="F159" s="100" t="s">
        <v>777</v>
      </c>
      <c r="G159" s="96" t="s">
        <v>511</v>
      </c>
      <c r="H159" s="93">
        <f t="shared" si="7"/>
        <v>3</v>
      </c>
      <c r="I159" s="114"/>
      <c r="J159" s="114"/>
      <c r="K159" s="114" t="s">
        <v>747</v>
      </c>
      <c r="L159" s="114" t="s">
        <v>747</v>
      </c>
      <c r="M159" s="114" t="s">
        <v>747</v>
      </c>
      <c r="N159" s="114" t="s">
        <v>747</v>
      </c>
      <c r="O159" s="96" t="s">
        <v>768</v>
      </c>
    </row>
    <row r="160" spans="1:15" ht="30" x14ac:dyDescent="0.2">
      <c r="A160" s="259"/>
      <c r="B160" s="262"/>
      <c r="C160" s="255"/>
      <c r="D160" s="259"/>
      <c r="E160" s="34" t="s">
        <v>778</v>
      </c>
      <c r="F160" s="100" t="s">
        <v>779</v>
      </c>
      <c r="G160" s="96" t="s">
        <v>511</v>
      </c>
      <c r="H160" s="93">
        <f t="shared" si="7"/>
        <v>3</v>
      </c>
      <c r="I160" s="114"/>
      <c r="J160" s="114"/>
      <c r="K160" s="114" t="s">
        <v>747</v>
      </c>
      <c r="L160" s="114" t="s">
        <v>747</v>
      </c>
      <c r="M160" s="114" t="s">
        <v>747</v>
      </c>
      <c r="N160" s="114" t="s">
        <v>747</v>
      </c>
      <c r="O160" s="96" t="s">
        <v>768</v>
      </c>
    </row>
    <row r="161" spans="1:16" ht="25.5" x14ac:dyDescent="0.2">
      <c r="A161" s="259"/>
      <c r="B161" s="262"/>
      <c r="C161" s="255"/>
      <c r="D161" s="259"/>
      <c r="E161" s="34" t="s">
        <v>2811</v>
      </c>
      <c r="F161" s="100" t="s">
        <v>781</v>
      </c>
      <c r="G161" s="96" t="s">
        <v>511</v>
      </c>
      <c r="H161" s="93">
        <f t="shared" si="7"/>
        <v>3</v>
      </c>
      <c r="I161" s="116">
        <v>150</v>
      </c>
      <c r="J161" s="114"/>
      <c r="K161" s="115"/>
      <c r="L161" s="116"/>
      <c r="M161" s="116"/>
      <c r="N161" s="116"/>
      <c r="O161" s="96" t="s">
        <v>768</v>
      </c>
    </row>
    <row r="162" spans="1:16" ht="25.5" x14ac:dyDescent="0.2">
      <c r="A162" s="259"/>
      <c r="B162" s="262"/>
      <c r="C162" s="255"/>
      <c r="D162" s="259"/>
      <c r="E162" s="34" t="s">
        <v>785</v>
      </c>
      <c r="F162" s="100" t="s">
        <v>782</v>
      </c>
      <c r="G162" s="96" t="s">
        <v>511</v>
      </c>
      <c r="H162" s="93">
        <f t="shared" si="7"/>
        <v>3</v>
      </c>
      <c r="I162" s="114"/>
      <c r="J162" s="114"/>
      <c r="K162" s="114"/>
      <c r="L162" s="114"/>
      <c r="M162" s="114"/>
      <c r="N162" s="114"/>
      <c r="O162" s="96" t="s">
        <v>768</v>
      </c>
    </row>
    <row r="163" spans="1:16" ht="180" x14ac:dyDescent="0.2">
      <c r="A163" s="259"/>
      <c r="B163" s="262"/>
      <c r="C163" s="255"/>
      <c r="D163" s="259"/>
      <c r="E163" s="34" t="s">
        <v>787</v>
      </c>
      <c r="F163" s="100" t="s">
        <v>784</v>
      </c>
      <c r="G163" s="96" t="s">
        <v>511</v>
      </c>
      <c r="H163" s="93">
        <f t="shared" si="7"/>
        <v>3</v>
      </c>
      <c r="I163" s="114">
        <v>105</v>
      </c>
      <c r="J163" s="114"/>
      <c r="K163" s="115" t="s">
        <v>742</v>
      </c>
      <c r="L163" s="116" t="s">
        <v>743</v>
      </c>
      <c r="M163" s="116" t="s">
        <v>744</v>
      </c>
      <c r="N163" s="116" t="s">
        <v>745</v>
      </c>
      <c r="O163" s="96" t="s">
        <v>768</v>
      </c>
    </row>
    <row r="164" spans="1:16" ht="25.5" x14ac:dyDescent="0.2">
      <c r="A164" s="259"/>
      <c r="B164" s="262"/>
      <c r="C164" s="255"/>
      <c r="D164" s="259"/>
      <c r="E164" s="34" t="s">
        <v>789</v>
      </c>
      <c r="F164" s="100" t="s">
        <v>786</v>
      </c>
      <c r="G164" s="96" t="s">
        <v>511</v>
      </c>
      <c r="H164" s="93">
        <f t="shared" si="7"/>
        <v>3</v>
      </c>
      <c r="I164" s="114"/>
      <c r="J164" s="114"/>
      <c r="K164" s="114" t="s">
        <v>747</v>
      </c>
      <c r="L164" s="114" t="s">
        <v>747</v>
      </c>
      <c r="M164" s="114" t="s">
        <v>747</v>
      </c>
      <c r="N164" s="114" t="s">
        <v>747</v>
      </c>
      <c r="O164" s="96" t="s">
        <v>768</v>
      </c>
    </row>
    <row r="165" spans="1:16" ht="150" x14ac:dyDescent="0.2">
      <c r="A165" s="259"/>
      <c r="B165" s="262"/>
      <c r="C165" s="255"/>
      <c r="D165" s="259"/>
      <c r="E165" s="34" t="s">
        <v>791</v>
      </c>
      <c r="F165" s="100" t="s">
        <v>788</v>
      </c>
      <c r="G165" s="96" t="s">
        <v>511</v>
      </c>
      <c r="H165" s="93">
        <f t="shared" si="7"/>
        <v>3</v>
      </c>
      <c r="I165" s="114"/>
      <c r="J165" s="114"/>
      <c r="K165" s="115" t="s">
        <v>765</v>
      </c>
      <c r="L165" s="115" t="s">
        <v>766</v>
      </c>
      <c r="M165" s="116" t="s">
        <v>767</v>
      </c>
      <c r="N165" s="116" t="s">
        <v>745</v>
      </c>
      <c r="O165" s="96" t="s">
        <v>768</v>
      </c>
    </row>
    <row r="166" spans="1:16" ht="150" x14ac:dyDescent="0.2">
      <c r="A166" s="259"/>
      <c r="B166" s="262"/>
      <c r="C166" s="255"/>
      <c r="D166" s="259"/>
      <c r="E166" s="34" t="s">
        <v>3052</v>
      </c>
      <c r="F166" s="100" t="s">
        <v>790</v>
      </c>
      <c r="G166" s="100"/>
      <c r="H166" s="93">
        <f t="shared" si="7"/>
        <v>0</v>
      </c>
      <c r="I166" s="114"/>
      <c r="J166" s="114"/>
      <c r="K166" s="115" t="s">
        <v>765</v>
      </c>
      <c r="L166" s="115" t="s">
        <v>766</v>
      </c>
      <c r="M166" s="116" t="s">
        <v>767</v>
      </c>
      <c r="N166" s="116" t="s">
        <v>745</v>
      </c>
      <c r="O166" s="96" t="s">
        <v>768</v>
      </c>
    </row>
    <row r="167" spans="1:16" ht="15.75" thickBot="1" x14ac:dyDescent="0.25">
      <c r="A167" s="259"/>
      <c r="B167" s="262"/>
      <c r="C167" s="255"/>
      <c r="D167" s="260"/>
      <c r="E167" s="34" t="s">
        <v>3053</v>
      </c>
      <c r="F167" s="101" t="s">
        <v>1498</v>
      </c>
      <c r="G167" s="100"/>
      <c r="H167" s="93">
        <f t="shared" si="7"/>
        <v>0</v>
      </c>
      <c r="I167" s="114"/>
      <c r="J167" s="114"/>
      <c r="K167" s="114"/>
      <c r="L167" s="114"/>
      <c r="M167" s="114"/>
      <c r="N167" s="114"/>
      <c r="O167" s="96"/>
    </row>
    <row r="168" spans="1:16" ht="25.5" x14ac:dyDescent="0.2">
      <c r="A168" s="248" t="s">
        <v>425</v>
      </c>
      <c r="B168" s="251" t="s">
        <v>792</v>
      </c>
      <c r="C168" s="254">
        <f>SUM(H168:H176)/COUNTIF(F169:F176,"&gt;""")/4</f>
        <v>0.7857142857142857</v>
      </c>
      <c r="D168" s="248" t="s">
        <v>793</v>
      </c>
      <c r="E168" s="96" t="s">
        <v>426</v>
      </c>
      <c r="F168" s="96" t="s">
        <v>794</v>
      </c>
      <c r="G168" s="96" t="s">
        <v>515</v>
      </c>
      <c r="H168" s="93">
        <f t="shared" si="7"/>
        <v>2</v>
      </c>
      <c r="I168" s="130"/>
      <c r="J168" s="130"/>
      <c r="K168" s="130"/>
      <c r="L168" s="130"/>
      <c r="M168" s="130"/>
      <c r="N168" s="130"/>
      <c r="O168" s="96" t="s">
        <v>795</v>
      </c>
    </row>
    <row r="169" spans="1:16" ht="25.5" x14ac:dyDescent="0.2">
      <c r="A169" s="249"/>
      <c r="B169" s="252"/>
      <c r="C169" s="255"/>
      <c r="D169" s="249"/>
      <c r="E169" s="96" t="s">
        <v>427</v>
      </c>
      <c r="F169" s="96" t="s">
        <v>796</v>
      </c>
      <c r="G169" s="96" t="s">
        <v>528</v>
      </c>
      <c r="H169" s="93">
        <f t="shared" si="7"/>
        <v>4</v>
      </c>
      <c r="I169" s="130"/>
      <c r="J169" s="130"/>
      <c r="K169" s="130"/>
      <c r="L169" s="130"/>
      <c r="M169" s="130"/>
      <c r="N169" s="130"/>
      <c r="O169" s="96"/>
    </row>
    <row r="170" spans="1:16" ht="15" x14ac:dyDescent="0.2">
      <c r="A170" s="249"/>
      <c r="B170" s="252"/>
      <c r="C170" s="255"/>
      <c r="D170" s="249"/>
      <c r="E170" s="96" t="s">
        <v>428</v>
      </c>
      <c r="F170" s="96" t="s">
        <v>797</v>
      </c>
      <c r="G170" s="96" t="s">
        <v>507</v>
      </c>
      <c r="H170" s="93">
        <f t="shared" si="7"/>
        <v>0</v>
      </c>
      <c r="I170" s="130"/>
      <c r="J170" s="130"/>
      <c r="K170" s="130"/>
      <c r="L170" s="130"/>
      <c r="M170" s="130"/>
      <c r="N170" s="130"/>
      <c r="O170" s="96"/>
    </row>
    <row r="171" spans="1:16" ht="15" x14ac:dyDescent="0.2">
      <c r="A171" s="249"/>
      <c r="B171" s="252"/>
      <c r="C171" s="255"/>
      <c r="D171" s="249"/>
      <c r="E171" s="96" t="s">
        <v>429</v>
      </c>
      <c r="F171" s="96" t="s">
        <v>798</v>
      </c>
      <c r="G171" s="96" t="s">
        <v>511</v>
      </c>
      <c r="H171" s="93">
        <f t="shared" si="7"/>
        <v>3</v>
      </c>
      <c r="I171" s="130"/>
      <c r="J171" s="130"/>
      <c r="K171" s="130"/>
      <c r="L171" s="130"/>
      <c r="M171" s="130"/>
      <c r="N171" s="130"/>
      <c r="O171" s="96"/>
    </row>
    <row r="172" spans="1:16" ht="15" x14ac:dyDescent="0.2">
      <c r="A172" s="249"/>
      <c r="B172" s="252"/>
      <c r="C172" s="255"/>
      <c r="D172" s="249"/>
      <c r="E172" s="96" t="s">
        <v>430</v>
      </c>
      <c r="F172" s="96" t="s">
        <v>799</v>
      </c>
      <c r="G172" s="96" t="s">
        <v>528</v>
      </c>
      <c r="H172" s="93">
        <f t="shared" si="7"/>
        <v>4</v>
      </c>
      <c r="I172" s="130"/>
      <c r="J172" s="130"/>
      <c r="K172" s="130"/>
      <c r="L172" s="130"/>
      <c r="M172" s="130"/>
      <c r="N172" s="130"/>
      <c r="O172" s="96"/>
    </row>
    <row r="173" spans="1:16" ht="15" x14ac:dyDescent="0.2">
      <c r="A173" s="249"/>
      <c r="B173" s="252"/>
      <c r="C173" s="255"/>
      <c r="D173" s="249"/>
      <c r="E173" s="96" t="s">
        <v>431</v>
      </c>
      <c r="F173" s="96" t="s">
        <v>800</v>
      </c>
      <c r="G173" s="96" t="s">
        <v>511</v>
      </c>
      <c r="H173" s="93">
        <f t="shared" ref="H173:H177" si="8">IF(G173=$G$294,4,IF(G173=$G$295,3,IF(G173=$G$296,2,IF(G173=$G$297,1,0))))</f>
        <v>3</v>
      </c>
      <c r="I173" s="130"/>
      <c r="J173" s="130"/>
      <c r="K173" s="130"/>
      <c r="L173" s="130"/>
      <c r="M173" s="130"/>
      <c r="N173" s="130"/>
      <c r="O173" s="96"/>
    </row>
    <row r="174" spans="1:16" ht="15" x14ac:dyDescent="0.2">
      <c r="A174" s="249"/>
      <c r="B174" s="252"/>
      <c r="C174" s="255"/>
      <c r="D174" s="249"/>
      <c r="E174" s="96" t="s">
        <v>801</v>
      </c>
      <c r="F174" s="96" t="s">
        <v>802</v>
      </c>
      <c r="G174" s="96" t="s">
        <v>511</v>
      </c>
      <c r="H174" s="93">
        <f t="shared" si="8"/>
        <v>3</v>
      </c>
      <c r="I174" s="130"/>
      <c r="J174" s="130"/>
      <c r="K174" s="130"/>
      <c r="L174" s="130"/>
      <c r="M174" s="130"/>
      <c r="N174" s="130"/>
      <c r="O174" s="96"/>
      <c r="P174" s="144"/>
    </row>
    <row r="175" spans="1:16" ht="15" x14ac:dyDescent="0.2">
      <c r="A175" s="249"/>
      <c r="B175" s="252"/>
      <c r="C175" s="255"/>
      <c r="D175" s="249"/>
      <c r="E175" s="96" t="s">
        <v>803</v>
      </c>
      <c r="F175" s="96" t="s">
        <v>804</v>
      </c>
      <c r="G175" s="96" t="s">
        <v>511</v>
      </c>
      <c r="H175" s="93">
        <f t="shared" si="8"/>
        <v>3</v>
      </c>
      <c r="I175" s="130"/>
      <c r="J175" s="130"/>
      <c r="K175" s="130"/>
      <c r="L175" s="130"/>
      <c r="M175" s="130"/>
      <c r="N175" s="130"/>
      <c r="O175" s="96"/>
      <c r="P175" s="144"/>
    </row>
    <row r="176" spans="1:16" ht="15.75" thickBot="1" x14ac:dyDescent="0.25">
      <c r="A176" s="250"/>
      <c r="B176" s="253"/>
      <c r="C176" s="256"/>
      <c r="D176" s="250"/>
      <c r="E176" s="96" t="s">
        <v>805</v>
      </c>
      <c r="F176" s="96"/>
      <c r="G176" s="96"/>
      <c r="H176" s="93">
        <f t="shared" si="8"/>
        <v>0</v>
      </c>
      <c r="I176" s="130"/>
      <c r="J176" s="130"/>
      <c r="K176" s="130"/>
      <c r="L176" s="130"/>
      <c r="M176" s="130"/>
      <c r="N176" s="130"/>
      <c r="O176" s="96"/>
      <c r="P176" s="144"/>
    </row>
    <row r="177" spans="1:16" ht="15" x14ac:dyDescent="0.2">
      <c r="A177" s="248" t="s">
        <v>806</v>
      </c>
      <c r="B177" s="251" t="s">
        <v>807</v>
      </c>
      <c r="C177" s="254">
        <f>SUM(H177:H186)/COUNTIF(F177:F186,"&gt;""")/4</f>
        <v>0.9285714285714286</v>
      </c>
      <c r="D177" s="257" t="s">
        <v>877</v>
      </c>
      <c r="E177" s="96" t="s">
        <v>808</v>
      </c>
      <c r="F177" s="100" t="s">
        <v>878</v>
      </c>
      <c r="G177" s="96" t="s">
        <v>528</v>
      </c>
      <c r="H177" s="93">
        <f t="shared" si="8"/>
        <v>4</v>
      </c>
      <c r="I177" s="130"/>
      <c r="J177" s="130"/>
      <c r="K177" s="130"/>
      <c r="L177" s="130"/>
      <c r="M177" s="145" t="s">
        <v>54</v>
      </c>
      <c r="N177" s="130"/>
      <c r="O177" s="96" t="s">
        <v>809</v>
      </c>
      <c r="P177" s="144"/>
    </row>
    <row r="178" spans="1:16" ht="30" x14ac:dyDescent="0.2">
      <c r="A178" s="249"/>
      <c r="B178" s="252"/>
      <c r="C178" s="255"/>
      <c r="D178" s="249"/>
      <c r="E178" s="96" t="s">
        <v>810</v>
      </c>
      <c r="F178" s="107" t="s">
        <v>811</v>
      </c>
      <c r="G178" s="96" t="s">
        <v>528</v>
      </c>
      <c r="H178" s="93">
        <v>4</v>
      </c>
      <c r="I178" s="130"/>
      <c r="J178" s="130"/>
      <c r="K178" s="130"/>
      <c r="L178" s="130"/>
      <c r="M178" s="130"/>
      <c r="N178" s="130"/>
      <c r="O178" s="96"/>
      <c r="P178" s="144"/>
    </row>
    <row r="179" spans="1:16" ht="15" x14ac:dyDescent="0.2">
      <c r="A179" s="249"/>
      <c r="B179" s="252"/>
      <c r="C179" s="255"/>
      <c r="D179" s="249"/>
      <c r="E179" s="96" t="s">
        <v>812</v>
      </c>
      <c r="F179" s="100" t="s">
        <v>876</v>
      </c>
      <c r="G179" s="96" t="s">
        <v>528</v>
      </c>
      <c r="H179" s="93">
        <f>IF(G179=$G$294,4,IF(G179=$G$295,3,IF(G179=$G$296,2,IF(G179=$G$297,1,0))))</f>
        <v>4</v>
      </c>
      <c r="I179" s="130"/>
      <c r="J179" s="130"/>
      <c r="K179" s="130"/>
      <c r="L179" s="130"/>
      <c r="M179" s="130"/>
      <c r="N179" s="130"/>
      <c r="O179" s="96"/>
      <c r="P179" s="144"/>
    </row>
    <row r="180" spans="1:16" ht="15" x14ac:dyDescent="0.2">
      <c r="A180" s="249"/>
      <c r="B180" s="252"/>
      <c r="C180" s="255"/>
      <c r="D180" s="249"/>
      <c r="E180" s="96" t="s">
        <v>813</v>
      </c>
      <c r="F180" s="100" t="s">
        <v>814</v>
      </c>
      <c r="G180" s="96" t="s">
        <v>528</v>
      </c>
      <c r="H180" s="93">
        <f>IF(G180=$G$294,4,IF(G180=$G$295,3,IF(G180=$G$296,2,IF(G180=$G$297,1,0))))</f>
        <v>4</v>
      </c>
      <c r="I180" s="130"/>
      <c r="J180" s="130"/>
      <c r="K180" s="130"/>
      <c r="L180" s="130"/>
      <c r="M180" s="130"/>
      <c r="N180" s="130"/>
      <c r="O180" s="96"/>
      <c r="P180" s="146"/>
    </row>
    <row r="181" spans="1:16" ht="15" x14ac:dyDescent="0.2">
      <c r="A181" s="249"/>
      <c r="B181" s="252"/>
      <c r="C181" s="255"/>
      <c r="D181" s="249"/>
      <c r="E181" s="96" t="s">
        <v>815</v>
      </c>
      <c r="F181" s="100" t="s">
        <v>879</v>
      </c>
      <c r="G181" s="96" t="s">
        <v>528</v>
      </c>
      <c r="H181" s="93">
        <f>IF(G181=$G$294,4,IF(G181=$G$295,3,IF(G181=$G$296,2,IF(G181=$G$297,1,0))))</f>
        <v>4</v>
      </c>
      <c r="I181" s="130"/>
      <c r="J181" s="130"/>
      <c r="K181" s="130"/>
      <c r="L181" s="130"/>
      <c r="M181" s="130"/>
      <c r="N181" s="130"/>
      <c r="O181" s="96"/>
    </row>
    <row r="182" spans="1:16" ht="30" x14ac:dyDescent="0.2">
      <c r="A182" s="249"/>
      <c r="B182" s="252"/>
      <c r="C182" s="255"/>
      <c r="D182" s="249"/>
      <c r="E182" s="96" t="s">
        <v>816</v>
      </c>
      <c r="F182" s="100" t="s">
        <v>817</v>
      </c>
      <c r="G182" s="96" t="s">
        <v>511</v>
      </c>
      <c r="H182" s="93">
        <v>3</v>
      </c>
      <c r="I182" s="130"/>
      <c r="J182" s="130"/>
      <c r="K182" s="130"/>
      <c r="L182" s="130"/>
      <c r="M182" s="130"/>
      <c r="N182" s="130"/>
      <c r="O182" s="96"/>
    </row>
    <row r="183" spans="1:16" ht="15" x14ac:dyDescent="0.2">
      <c r="A183" s="249"/>
      <c r="B183" s="252"/>
      <c r="C183" s="255"/>
      <c r="D183" s="249"/>
      <c r="E183" s="96" t="s">
        <v>818</v>
      </c>
      <c r="F183" s="144" t="s">
        <v>3031</v>
      </c>
      <c r="G183" s="96" t="s">
        <v>511</v>
      </c>
      <c r="H183" s="93">
        <f>IF(G183=$G$294,4,IF(G183=$G$295,3,IF(G183=$G$296,2,IF(G183=$G$297,1,0))))</f>
        <v>3</v>
      </c>
      <c r="I183" s="130"/>
      <c r="J183" s="130"/>
      <c r="K183" s="130"/>
      <c r="L183" s="130"/>
      <c r="M183" s="130"/>
      <c r="N183" s="130"/>
      <c r="O183" s="96"/>
    </row>
    <row r="184" spans="1:16" ht="15" x14ac:dyDescent="0.2">
      <c r="A184" s="249"/>
      <c r="B184" s="252"/>
      <c r="C184" s="255"/>
      <c r="D184" s="249"/>
      <c r="E184" s="96" t="s">
        <v>819</v>
      </c>
      <c r="F184" s="96"/>
      <c r="G184" s="96"/>
      <c r="H184" s="93">
        <f>IF(G184=$G$294,4,IF(G184=$G$295,3,IF(G184=$G$296,2,IF(G184=$G$297,1,0))))</f>
        <v>0</v>
      </c>
      <c r="I184" s="130"/>
      <c r="J184" s="130"/>
      <c r="K184" s="130"/>
      <c r="L184" s="130"/>
      <c r="M184" s="130"/>
      <c r="N184" s="130"/>
      <c r="O184" s="96"/>
    </row>
    <row r="185" spans="1:16" ht="15" x14ac:dyDescent="0.2">
      <c r="A185" s="249"/>
      <c r="B185" s="252"/>
      <c r="C185" s="255"/>
      <c r="D185" s="249"/>
      <c r="E185" s="96" t="s">
        <v>820</v>
      </c>
      <c r="F185" s="96"/>
      <c r="G185" s="96"/>
      <c r="H185" s="93">
        <f>IF(G185=$G$294,4,IF(G185=$G$295,3,IF(G185=$G$296,2,IF(G185=$G$297,1,0))))</f>
        <v>0</v>
      </c>
      <c r="I185" s="130"/>
      <c r="J185" s="130"/>
      <c r="K185" s="130"/>
      <c r="L185" s="130"/>
      <c r="M185" s="130"/>
      <c r="N185" s="130"/>
      <c r="O185" s="96"/>
    </row>
    <row r="186" spans="1:16" ht="26.25" thickBot="1" x14ac:dyDescent="0.25">
      <c r="A186" s="250"/>
      <c r="B186" s="253"/>
      <c r="C186" s="256"/>
      <c r="D186" s="250"/>
      <c r="E186" s="96" t="s">
        <v>821</v>
      </c>
      <c r="F186" s="96"/>
      <c r="G186" s="96"/>
      <c r="H186" s="93">
        <f>IF(G186=$G$294,4,IF(G186=$G$295,3,IF(G186=$G$296,2,IF(G186=$G$297,1,0))))</f>
        <v>0</v>
      </c>
      <c r="I186" s="130"/>
      <c r="J186" s="130"/>
      <c r="K186" s="130"/>
      <c r="L186" s="130"/>
      <c r="M186" s="130"/>
      <c r="N186" s="130"/>
      <c r="O186" s="96"/>
    </row>
    <row r="187" spans="1:16" ht="15" x14ac:dyDescent="0.2">
      <c r="A187" s="141"/>
      <c r="B187" s="141"/>
      <c r="C187" s="142"/>
      <c r="D187" s="141"/>
      <c r="E187" s="141"/>
      <c r="F187" s="141"/>
      <c r="G187" s="141"/>
      <c r="H187" s="103"/>
      <c r="I187" s="143"/>
      <c r="J187" s="143"/>
      <c r="K187" s="143"/>
      <c r="L187" s="143"/>
      <c r="M187" s="143"/>
      <c r="N187" s="143"/>
      <c r="O187" s="141"/>
    </row>
    <row r="188" spans="1:16" ht="25.5" x14ac:dyDescent="0.2">
      <c r="A188" s="264" t="s">
        <v>432</v>
      </c>
      <c r="B188" s="265" t="s">
        <v>822</v>
      </c>
      <c r="C188" s="237">
        <f>SUM(H188:H204)/COUNTIF(F188:F204,"&gt;""")/4</f>
        <v>0.60416666666666663</v>
      </c>
      <c r="D188" s="240" t="s">
        <v>823</v>
      </c>
      <c r="E188" s="96" t="s">
        <v>433</v>
      </c>
      <c r="F188" s="185" t="s">
        <v>1542</v>
      </c>
      <c r="G188" s="96" t="s">
        <v>511</v>
      </c>
      <c r="H188" s="93">
        <f t="shared" ref="H188:H235" si="9">IF(G188=$G$294,4,IF(G188=$G$295,3,IF(G188=$G$296,2,IF(G188=$G$297,1,0))))</f>
        <v>3</v>
      </c>
      <c r="I188" s="130"/>
      <c r="J188" s="130"/>
      <c r="K188" s="130"/>
      <c r="L188" s="130" t="s">
        <v>54</v>
      </c>
      <c r="M188" s="130" t="s">
        <v>54</v>
      </c>
      <c r="N188" s="130"/>
      <c r="O188" s="96" t="s">
        <v>4711</v>
      </c>
    </row>
    <row r="189" spans="1:16" ht="15" x14ac:dyDescent="0.2">
      <c r="A189" s="264"/>
      <c r="B189" s="265"/>
      <c r="C189" s="237"/>
      <c r="D189" s="239"/>
      <c r="E189" s="96" t="s">
        <v>434</v>
      </c>
      <c r="F189" s="185" t="s">
        <v>4219</v>
      </c>
      <c r="G189" s="96" t="s">
        <v>511</v>
      </c>
      <c r="H189" s="93">
        <f t="shared" si="9"/>
        <v>3</v>
      </c>
      <c r="I189" s="130"/>
      <c r="J189" s="130"/>
      <c r="K189" s="130"/>
      <c r="L189" s="130"/>
      <c r="M189" s="130"/>
      <c r="N189" s="130"/>
      <c r="O189" s="96"/>
    </row>
    <row r="190" spans="1:16" ht="15" x14ac:dyDescent="0.2">
      <c r="A190" s="264"/>
      <c r="B190" s="265"/>
      <c r="C190" s="237"/>
      <c r="D190" s="239"/>
      <c r="E190" s="96" t="s">
        <v>435</v>
      </c>
      <c r="F190" s="185" t="s">
        <v>1391</v>
      </c>
      <c r="G190" s="96" t="s">
        <v>515</v>
      </c>
      <c r="H190" s="93">
        <f t="shared" si="9"/>
        <v>2</v>
      </c>
      <c r="I190" s="130"/>
      <c r="J190" s="130"/>
      <c r="K190" s="130"/>
      <c r="L190" s="130"/>
      <c r="M190" s="130" t="s">
        <v>54</v>
      </c>
      <c r="N190" s="130"/>
      <c r="O190" s="96"/>
    </row>
    <row r="191" spans="1:16" ht="15" x14ac:dyDescent="0.2">
      <c r="A191" s="264"/>
      <c r="B191" s="265"/>
      <c r="C191" s="237"/>
      <c r="D191" s="239"/>
      <c r="E191" s="96" t="s">
        <v>436</v>
      </c>
      <c r="F191" s="185" t="s">
        <v>4706</v>
      </c>
      <c r="G191" s="96" t="s">
        <v>515</v>
      </c>
      <c r="H191" s="93">
        <f t="shared" si="9"/>
        <v>2</v>
      </c>
      <c r="I191" s="130"/>
      <c r="J191" s="130"/>
      <c r="K191" s="130"/>
      <c r="L191" s="130" t="s">
        <v>54</v>
      </c>
      <c r="M191" s="130" t="s">
        <v>54</v>
      </c>
      <c r="N191" s="130"/>
      <c r="O191" s="96"/>
    </row>
    <row r="192" spans="1:16" ht="15" x14ac:dyDescent="0.2">
      <c r="A192" s="264"/>
      <c r="B192" s="265"/>
      <c r="C192" s="237"/>
      <c r="D192" s="239"/>
      <c r="E192" s="96" t="s">
        <v>437</v>
      </c>
      <c r="F192" s="173" t="s">
        <v>4707</v>
      </c>
      <c r="G192" s="96" t="s">
        <v>511</v>
      </c>
      <c r="H192" s="93">
        <f t="shared" si="9"/>
        <v>3</v>
      </c>
      <c r="I192" s="130"/>
      <c r="J192" s="130"/>
      <c r="K192" s="130"/>
      <c r="L192" s="130"/>
      <c r="M192" s="130"/>
      <c r="N192" s="130"/>
      <c r="O192" s="96"/>
    </row>
    <row r="193" spans="1:15" ht="15" x14ac:dyDescent="0.2">
      <c r="A193" s="264"/>
      <c r="B193" s="265"/>
      <c r="C193" s="237"/>
      <c r="D193" s="239"/>
      <c r="E193" s="96" t="s">
        <v>438</v>
      </c>
      <c r="F193" s="185" t="s">
        <v>1545</v>
      </c>
      <c r="G193" s="96" t="s">
        <v>528</v>
      </c>
      <c r="H193" s="93">
        <f t="shared" si="9"/>
        <v>4</v>
      </c>
      <c r="I193" s="130"/>
      <c r="J193" s="130"/>
      <c r="K193" s="130"/>
      <c r="L193" s="130"/>
      <c r="M193" s="130"/>
      <c r="N193" s="130"/>
      <c r="O193" s="96"/>
    </row>
    <row r="194" spans="1:15" ht="15" x14ac:dyDescent="0.2">
      <c r="A194" s="264"/>
      <c r="B194" s="265"/>
      <c r="C194" s="237"/>
      <c r="D194" s="239"/>
      <c r="E194" s="96" t="s">
        <v>439</v>
      </c>
      <c r="F194" s="211"/>
      <c r="G194" s="96"/>
      <c r="H194" s="93">
        <f t="shared" si="9"/>
        <v>0</v>
      </c>
      <c r="I194" s="130"/>
      <c r="J194" s="130"/>
      <c r="K194" s="130"/>
      <c r="L194" s="130"/>
      <c r="M194" s="130"/>
      <c r="N194" s="130"/>
      <c r="O194" s="96"/>
    </row>
    <row r="195" spans="1:15" ht="15" x14ac:dyDescent="0.2">
      <c r="A195" s="264"/>
      <c r="B195" s="265"/>
      <c r="C195" s="237"/>
      <c r="D195" s="239"/>
      <c r="E195" s="96" t="s">
        <v>440</v>
      </c>
      <c r="F195" s="185" t="s">
        <v>1547</v>
      </c>
      <c r="G195" s="96" t="s">
        <v>515</v>
      </c>
      <c r="H195" s="93">
        <f t="shared" si="9"/>
        <v>2</v>
      </c>
      <c r="I195" s="130"/>
      <c r="J195" s="130"/>
      <c r="K195" s="130"/>
      <c r="L195" s="130"/>
      <c r="M195" s="130"/>
      <c r="N195" s="130"/>
      <c r="O195" s="96"/>
    </row>
    <row r="196" spans="1:15" ht="15" x14ac:dyDescent="0.2">
      <c r="A196" s="264"/>
      <c r="B196" s="265"/>
      <c r="C196" s="237"/>
      <c r="D196" s="239"/>
      <c r="E196" s="96" t="s">
        <v>824</v>
      </c>
      <c r="F196" s="185" t="s">
        <v>4708</v>
      </c>
      <c r="G196" s="96" t="s">
        <v>511</v>
      </c>
      <c r="H196" s="93">
        <f t="shared" si="9"/>
        <v>3</v>
      </c>
      <c r="I196" s="130"/>
      <c r="J196" s="130"/>
      <c r="K196" s="130"/>
      <c r="L196" s="130"/>
      <c r="M196" s="130"/>
      <c r="N196" s="130"/>
      <c r="O196" s="96"/>
    </row>
    <row r="197" spans="1:15" ht="15" x14ac:dyDescent="0.2">
      <c r="A197" s="264"/>
      <c r="B197" s="265"/>
      <c r="C197" s="237"/>
      <c r="D197" s="239"/>
      <c r="E197" s="96" t="s">
        <v>825</v>
      </c>
      <c r="F197" s="211"/>
      <c r="G197" s="96"/>
      <c r="H197" s="93">
        <f t="shared" si="9"/>
        <v>0</v>
      </c>
      <c r="I197" s="130"/>
      <c r="J197" s="130"/>
      <c r="K197" s="130"/>
      <c r="L197" s="130"/>
      <c r="M197" s="130"/>
      <c r="N197" s="130"/>
      <c r="O197" s="96"/>
    </row>
    <row r="198" spans="1:15" ht="30" x14ac:dyDescent="0.2">
      <c r="A198" s="264"/>
      <c r="B198" s="265"/>
      <c r="C198" s="237"/>
      <c r="D198" s="239"/>
      <c r="E198" s="96" t="s">
        <v>826</v>
      </c>
      <c r="F198" s="173" t="s">
        <v>1488</v>
      </c>
      <c r="G198" s="96"/>
      <c r="H198" s="93">
        <f t="shared" si="9"/>
        <v>0</v>
      </c>
      <c r="I198" s="130"/>
      <c r="J198" s="130"/>
      <c r="K198" s="130"/>
      <c r="L198" s="130"/>
      <c r="M198" s="130"/>
      <c r="N198" s="130"/>
      <c r="O198" s="96"/>
    </row>
    <row r="199" spans="1:15" ht="15" x14ac:dyDescent="0.2">
      <c r="A199" s="264"/>
      <c r="B199" s="265"/>
      <c r="C199" s="237"/>
      <c r="D199" s="239"/>
      <c r="E199" s="96" t="s">
        <v>1386</v>
      </c>
      <c r="F199" s="173" t="s">
        <v>4688</v>
      </c>
      <c r="G199" s="96" t="s">
        <v>528</v>
      </c>
      <c r="H199" s="93">
        <f t="shared" si="9"/>
        <v>4</v>
      </c>
      <c r="I199" s="130"/>
      <c r="J199" s="130"/>
      <c r="K199" s="130"/>
      <c r="L199" s="130"/>
      <c r="M199" s="130"/>
      <c r="N199" s="130"/>
      <c r="O199" s="96"/>
    </row>
    <row r="200" spans="1:15" ht="30" x14ac:dyDescent="0.2">
      <c r="A200" s="264"/>
      <c r="B200" s="265"/>
      <c r="C200" s="237"/>
      <c r="D200" s="239"/>
      <c r="E200" s="96" t="s">
        <v>1387</v>
      </c>
      <c r="F200" s="173" t="s">
        <v>4694</v>
      </c>
      <c r="G200" s="96" t="s">
        <v>511</v>
      </c>
      <c r="H200" s="93">
        <f t="shared" si="9"/>
        <v>3</v>
      </c>
      <c r="I200" s="130"/>
      <c r="J200" s="130"/>
      <c r="K200" s="130"/>
      <c r="L200" s="130"/>
      <c r="M200" s="130"/>
      <c r="N200" s="130"/>
      <c r="O200" s="96"/>
    </row>
    <row r="201" spans="1:15" ht="15" x14ac:dyDescent="0.2">
      <c r="A201" s="264"/>
      <c r="B201" s="265"/>
      <c r="C201" s="237"/>
      <c r="D201" s="239"/>
      <c r="E201" s="96" t="s">
        <v>1388</v>
      </c>
      <c r="F201" s="122"/>
      <c r="G201" s="96"/>
      <c r="H201" s="93">
        <f t="shared" si="9"/>
        <v>0</v>
      </c>
      <c r="I201" s="130"/>
      <c r="J201" s="130"/>
      <c r="K201" s="130"/>
      <c r="L201" s="130"/>
      <c r="M201" s="130"/>
      <c r="N201" s="130"/>
      <c r="O201" s="96"/>
    </row>
    <row r="202" spans="1:15" ht="15" x14ac:dyDescent="0.2">
      <c r="A202" s="264"/>
      <c r="B202" s="265"/>
      <c r="C202" s="237"/>
      <c r="D202" s="239"/>
      <c r="E202" s="96" t="s">
        <v>1389</v>
      </c>
      <c r="F202" s="122"/>
      <c r="G202" s="96"/>
      <c r="H202" s="93">
        <f t="shared" si="9"/>
        <v>0</v>
      </c>
      <c r="I202" s="130"/>
      <c r="J202" s="130"/>
      <c r="K202" s="130"/>
      <c r="L202" s="130"/>
      <c r="M202" s="130"/>
      <c r="N202" s="130"/>
      <c r="O202" s="96"/>
    </row>
    <row r="203" spans="1:15" ht="15" x14ac:dyDescent="0.2">
      <c r="A203" s="264"/>
      <c r="B203" s="265"/>
      <c r="C203" s="237"/>
      <c r="D203" s="239"/>
      <c r="E203" s="96" t="s">
        <v>1390</v>
      </c>
      <c r="F203" s="122"/>
      <c r="G203" s="96"/>
      <c r="H203" s="93">
        <f t="shared" si="9"/>
        <v>0</v>
      </c>
      <c r="I203" s="130"/>
      <c r="J203" s="130"/>
      <c r="K203" s="130"/>
      <c r="L203" s="130"/>
      <c r="M203" s="130"/>
      <c r="N203" s="130"/>
      <c r="O203" s="96"/>
    </row>
    <row r="204" spans="1:15" ht="38.25" x14ac:dyDescent="0.2">
      <c r="A204" s="264"/>
      <c r="B204" s="265"/>
      <c r="C204" s="237"/>
      <c r="D204" s="241"/>
      <c r="E204" s="96"/>
      <c r="F204" s="127" t="s">
        <v>1488</v>
      </c>
      <c r="G204" s="96"/>
      <c r="H204" s="93">
        <f t="shared" si="9"/>
        <v>0</v>
      </c>
      <c r="I204" s="130"/>
      <c r="J204" s="130"/>
      <c r="K204" s="130"/>
      <c r="L204" s="130"/>
      <c r="M204" s="130"/>
      <c r="N204" s="130"/>
      <c r="O204" s="117" t="s">
        <v>4221</v>
      </c>
    </row>
    <row r="205" spans="1:15" ht="15" x14ac:dyDescent="0.2">
      <c r="A205" s="264" t="s">
        <v>441</v>
      </c>
      <c r="B205" s="265" t="s">
        <v>827</v>
      </c>
      <c r="C205" s="237">
        <f>SUM(H205:H222)/COUNTIF(F205:F222,"&gt;""")/4</f>
        <v>0.52941176470588236</v>
      </c>
      <c r="D205" s="238" t="s">
        <v>1486</v>
      </c>
      <c r="E205" s="96" t="s">
        <v>442</v>
      </c>
      <c r="F205" s="122" t="s">
        <v>1380</v>
      </c>
      <c r="G205" s="96" t="s">
        <v>515</v>
      </c>
      <c r="H205" s="93">
        <f t="shared" si="9"/>
        <v>2</v>
      </c>
      <c r="I205" s="130"/>
      <c r="J205" s="130"/>
      <c r="K205" s="130"/>
      <c r="L205" s="130"/>
      <c r="M205" s="130"/>
      <c r="N205" s="130"/>
      <c r="O205" s="96"/>
    </row>
    <row r="206" spans="1:15" ht="45" x14ac:dyDescent="0.2">
      <c r="A206" s="264"/>
      <c r="B206" s="265"/>
      <c r="C206" s="237"/>
      <c r="D206" s="239"/>
      <c r="E206" s="96" t="s">
        <v>443</v>
      </c>
      <c r="F206" s="122" t="s">
        <v>1503</v>
      </c>
      <c r="G206" s="96" t="s">
        <v>511</v>
      </c>
      <c r="H206" s="93">
        <f t="shared" si="9"/>
        <v>3</v>
      </c>
      <c r="I206" s="130"/>
      <c r="J206" s="145" t="s">
        <v>54</v>
      </c>
      <c r="K206" s="130"/>
      <c r="L206" s="130"/>
      <c r="M206" s="130"/>
      <c r="N206" s="130"/>
      <c r="O206" s="117" t="s">
        <v>1504</v>
      </c>
    </row>
    <row r="207" spans="1:15" ht="15" x14ac:dyDescent="0.2">
      <c r="A207" s="264"/>
      <c r="B207" s="265"/>
      <c r="C207" s="237"/>
      <c r="D207" s="239"/>
      <c r="E207" s="96" t="s">
        <v>444</v>
      </c>
      <c r="F207" s="122" t="s">
        <v>1502</v>
      </c>
      <c r="G207" s="96" t="s">
        <v>505</v>
      </c>
      <c r="H207" s="93">
        <f t="shared" si="9"/>
        <v>1</v>
      </c>
      <c r="I207" s="130"/>
      <c r="J207" s="130"/>
      <c r="K207" s="130"/>
      <c r="L207" s="130"/>
      <c r="M207" s="130"/>
      <c r="N207" s="130"/>
      <c r="O207" s="96"/>
    </row>
    <row r="208" spans="1:15" ht="76.5" x14ac:dyDescent="0.2">
      <c r="A208" s="264"/>
      <c r="B208" s="265"/>
      <c r="C208" s="237"/>
      <c r="D208" s="239"/>
      <c r="E208" s="96" t="s">
        <v>828</v>
      </c>
      <c r="F208" s="122" t="s">
        <v>1481</v>
      </c>
      <c r="G208" s="96" t="s">
        <v>515</v>
      </c>
      <c r="H208" s="93">
        <f t="shared" si="9"/>
        <v>2</v>
      </c>
      <c r="I208" s="130"/>
      <c r="J208" s="130"/>
      <c r="K208" s="130"/>
      <c r="L208" s="130"/>
      <c r="M208" s="145" t="s">
        <v>54</v>
      </c>
      <c r="N208" s="130"/>
      <c r="O208" s="117" t="s">
        <v>1499</v>
      </c>
    </row>
    <row r="209" spans="1:15" ht="140.25" x14ac:dyDescent="0.2">
      <c r="A209" s="264"/>
      <c r="B209" s="265"/>
      <c r="C209" s="237"/>
      <c r="D209" s="239"/>
      <c r="E209" s="96" t="s">
        <v>829</v>
      </c>
      <c r="F209" s="122" t="s">
        <v>1500</v>
      </c>
      <c r="G209" s="96" t="s">
        <v>511</v>
      </c>
      <c r="H209" s="93">
        <f t="shared" si="9"/>
        <v>3</v>
      </c>
      <c r="I209" s="130"/>
      <c r="J209" s="130"/>
      <c r="K209" s="145" t="s">
        <v>54</v>
      </c>
      <c r="L209" s="130"/>
      <c r="M209" s="145" t="s">
        <v>54</v>
      </c>
      <c r="N209" s="130"/>
      <c r="O209" s="117" t="s">
        <v>1501</v>
      </c>
    </row>
    <row r="210" spans="1:15" ht="76.5" x14ac:dyDescent="0.2">
      <c r="A210" s="264"/>
      <c r="B210" s="265"/>
      <c r="C210" s="237"/>
      <c r="D210" s="239"/>
      <c r="E210" s="96" t="s">
        <v>830</v>
      </c>
      <c r="F210" s="122" t="s">
        <v>1483</v>
      </c>
      <c r="G210" s="96" t="s">
        <v>515</v>
      </c>
      <c r="H210" s="93">
        <f t="shared" si="9"/>
        <v>2</v>
      </c>
      <c r="I210" s="130"/>
      <c r="J210" s="130"/>
      <c r="K210" s="130"/>
      <c r="L210" s="130"/>
      <c r="M210" s="145" t="s">
        <v>54</v>
      </c>
      <c r="N210" s="130"/>
      <c r="O210" s="117" t="s">
        <v>1506</v>
      </c>
    </row>
    <row r="211" spans="1:15" ht="89.25" x14ac:dyDescent="0.2">
      <c r="A211" s="264"/>
      <c r="B211" s="265"/>
      <c r="C211" s="237"/>
      <c r="D211" s="239"/>
      <c r="E211" s="96" t="s">
        <v>831</v>
      </c>
      <c r="F211" s="122" t="s">
        <v>1497</v>
      </c>
      <c r="G211" s="96" t="s">
        <v>511</v>
      </c>
      <c r="H211" s="93">
        <f t="shared" si="9"/>
        <v>3</v>
      </c>
      <c r="I211" s="145" t="s">
        <v>54</v>
      </c>
      <c r="J211" s="145" t="s">
        <v>54</v>
      </c>
      <c r="K211" s="145" t="s">
        <v>54</v>
      </c>
      <c r="L211" s="130"/>
      <c r="M211" s="145" t="s">
        <v>54</v>
      </c>
      <c r="N211" s="130"/>
      <c r="O211" s="117" t="s">
        <v>1507</v>
      </c>
    </row>
    <row r="212" spans="1:15" ht="38.25" x14ac:dyDescent="0.2">
      <c r="A212" s="264"/>
      <c r="B212" s="265"/>
      <c r="C212" s="237"/>
      <c r="D212" s="239"/>
      <c r="E212" s="96" t="s">
        <v>833</v>
      </c>
      <c r="F212" s="122" t="s">
        <v>1484</v>
      </c>
      <c r="G212" s="96" t="s">
        <v>515</v>
      </c>
      <c r="H212" s="93">
        <f t="shared" si="9"/>
        <v>2</v>
      </c>
      <c r="I212" s="130"/>
      <c r="J212" s="130"/>
      <c r="K212" s="130"/>
      <c r="L212" s="130"/>
      <c r="M212" s="145" t="s">
        <v>54</v>
      </c>
      <c r="N212" s="130"/>
      <c r="O212" s="117" t="s">
        <v>1508</v>
      </c>
    </row>
    <row r="213" spans="1:15" ht="89.25" x14ac:dyDescent="0.2">
      <c r="A213" s="264"/>
      <c r="B213" s="265"/>
      <c r="C213" s="237"/>
      <c r="D213" s="239"/>
      <c r="E213" s="96" t="s">
        <v>834</v>
      </c>
      <c r="F213" s="122" t="s">
        <v>1485</v>
      </c>
      <c r="G213" s="96" t="s">
        <v>515</v>
      </c>
      <c r="H213" s="93">
        <f t="shared" si="9"/>
        <v>2</v>
      </c>
      <c r="I213" s="130"/>
      <c r="J213" s="130"/>
      <c r="K213" s="145" t="s">
        <v>54</v>
      </c>
      <c r="L213" s="130"/>
      <c r="M213" s="145" t="s">
        <v>54</v>
      </c>
      <c r="N213" s="145" t="s">
        <v>54</v>
      </c>
      <c r="O213" s="117" t="s">
        <v>1509</v>
      </c>
    </row>
    <row r="214" spans="1:15" ht="38.25" x14ac:dyDescent="0.2">
      <c r="A214" s="264"/>
      <c r="B214" s="265"/>
      <c r="C214" s="237"/>
      <c r="D214" s="239"/>
      <c r="E214" s="96" t="s">
        <v>835</v>
      </c>
      <c r="F214" s="122" t="s">
        <v>1381</v>
      </c>
      <c r="G214" s="96" t="s">
        <v>511</v>
      </c>
      <c r="H214" s="93">
        <f t="shared" si="9"/>
        <v>3</v>
      </c>
      <c r="I214" s="130"/>
      <c r="J214" s="130"/>
      <c r="K214" s="130"/>
      <c r="L214" s="130"/>
      <c r="M214" s="145" t="s">
        <v>54</v>
      </c>
      <c r="N214" s="130"/>
      <c r="O214" s="117" t="s">
        <v>1510</v>
      </c>
    </row>
    <row r="215" spans="1:15" ht="76.5" x14ac:dyDescent="0.2">
      <c r="A215" s="264"/>
      <c r="B215" s="265"/>
      <c r="C215" s="237"/>
      <c r="D215" s="239"/>
      <c r="E215" s="127" t="s">
        <v>836</v>
      </c>
      <c r="F215" s="101" t="s">
        <v>1488</v>
      </c>
      <c r="G215" s="96" t="s">
        <v>511</v>
      </c>
      <c r="H215" s="93">
        <f t="shared" si="9"/>
        <v>3</v>
      </c>
      <c r="I215" s="145" t="s">
        <v>54</v>
      </c>
      <c r="J215" s="130"/>
      <c r="K215" s="145" t="s">
        <v>54</v>
      </c>
      <c r="L215" s="130"/>
      <c r="M215" s="145" t="s">
        <v>54</v>
      </c>
      <c r="N215" s="130"/>
      <c r="O215" s="117" t="s">
        <v>1513</v>
      </c>
    </row>
    <row r="216" spans="1:15" ht="114.75" x14ac:dyDescent="0.2">
      <c r="A216" s="264"/>
      <c r="B216" s="265"/>
      <c r="C216" s="237"/>
      <c r="D216" s="239"/>
      <c r="E216" s="96" t="s">
        <v>837</v>
      </c>
      <c r="F216" s="122" t="s">
        <v>1489</v>
      </c>
      <c r="G216" s="96" t="s">
        <v>515</v>
      </c>
      <c r="H216" s="93">
        <f t="shared" si="9"/>
        <v>2</v>
      </c>
      <c r="I216" s="130"/>
      <c r="J216" s="130"/>
      <c r="K216" s="130"/>
      <c r="L216" s="130"/>
      <c r="M216" s="130"/>
      <c r="N216" s="130"/>
      <c r="O216" s="117" t="s">
        <v>1512</v>
      </c>
    </row>
    <row r="217" spans="1:15" ht="114.75" x14ac:dyDescent="0.2">
      <c r="A217" s="264"/>
      <c r="B217" s="265"/>
      <c r="C217" s="237"/>
      <c r="D217" s="239"/>
      <c r="E217" s="96" t="s">
        <v>1384</v>
      </c>
      <c r="F217" s="122" t="s">
        <v>1382</v>
      </c>
      <c r="G217" s="96" t="s">
        <v>515</v>
      </c>
      <c r="H217" s="93">
        <f t="shared" si="9"/>
        <v>2</v>
      </c>
      <c r="I217" s="145" t="s">
        <v>54</v>
      </c>
      <c r="J217" s="145" t="s">
        <v>54</v>
      </c>
      <c r="K217" s="145" t="s">
        <v>54</v>
      </c>
      <c r="L217" s="145" t="s">
        <v>54</v>
      </c>
      <c r="M217" s="145" t="s">
        <v>54</v>
      </c>
      <c r="N217" s="145" t="s">
        <v>54</v>
      </c>
      <c r="O217" s="117" t="s">
        <v>1514</v>
      </c>
    </row>
    <row r="218" spans="1:15" ht="63.75" x14ac:dyDescent="0.2">
      <c r="A218" s="264"/>
      <c r="B218" s="265"/>
      <c r="C218" s="237"/>
      <c r="D218" s="239"/>
      <c r="E218" s="96" t="s">
        <v>1385</v>
      </c>
      <c r="F218" s="122" t="s">
        <v>57</v>
      </c>
      <c r="G218" s="96" t="s">
        <v>515</v>
      </c>
      <c r="H218" s="93">
        <f t="shared" si="9"/>
        <v>2</v>
      </c>
      <c r="I218" s="145" t="s">
        <v>54</v>
      </c>
      <c r="J218" s="145" t="s">
        <v>54</v>
      </c>
      <c r="K218" s="130"/>
      <c r="L218" s="145" t="s">
        <v>54</v>
      </c>
      <c r="M218" s="145" t="s">
        <v>54</v>
      </c>
      <c r="N218" s="145" t="s">
        <v>54</v>
      </c>
      <c r="O218" s="117" t="s">
        <v>1505</v>
      </c>
    </row>
    <row r="219" spans="1:15" ht="76.5" x14ac:dyDescent="0.2">
      <c r="A219" s="264"/>
      <c r="B219" s="265"/>
      <c r="C219" s="237"/>
      <c r="D219" s="239"/>
      <c r="E219" s="96" t="s">
        <v>1482</v>
      </c>
      <c r="F219" s="122" t="s">
        <v>1494</v>
      </c>
      <c r="G219" s="96" t="s">
        <v>505</v>
      </c>
      <c r="H219" s="93">
        <f t="shared" si="9"/>
        <v>1</v>
      </c>
      <c r="I219" s="145" t="s">
        <v>54</v>
      </c>
      <c r="J219" s="145" t="s">
        <v>54</v>
      </c>
      <c r="K219" s="145" t="s">
        <v>54</v>
      </c>
      <c r="L219" s="145" t="s">
        <v>54</v>
      </c>
      <c r="M219" s="145" t="s">
        <v>54</v>
      </c>
      <c r="N219" s="145" t="s">
        <v>54</v>
      </c>
      <c r="O219" s="117" t="s">
        <v>1515</v>
      </c>
    </row>
    <row r="220" spans="1:15" ht="38.25" x14ac:dyDescent="0.2">
      <c r="A220" s="264"/>
      <c r="B220" s="265"/>
      <c r="C220" s="237"/>
      <c r="D220" s="239"/>
      <c r="E220" s="96" t="s">
        <v>1487</v>
      </c>
      <c r="F220" s="122" t="s">
        <v>56</v>
      </c>
      <c r="G220" s="96" t="s">
        <v>515</v>
      </c>
      <c r="H220" s="93">
        <f t="shared" si="9"/>
        <v>2</v>
      </c>
      <c r="I220" s="130"/>
      <c r="J220" s="145" t="s">
        <v>54</v>
      </c>
      <c r="K220" s="130"/>
      <c r="L220" s="145" t="s">
        <v>54</v>
      </c>
      <c r="M220" s="145" t="s">
        <v>54</v>
      </c>
      <c r="N220" s="145" t="s">
        <v>54</v>
      </c>
      <c r="O220" s="117" t="s">
        <v>1516</v>
      </c>
    </row>
    <row r="221" spans="1:15" ht="38.25" x14ac:dyDescent="0.2">
      <c r="A221" s="264"/>
      <c r="B221" s="265"/>
      <c r="C221" s="237"/>
      <c r="D221" s="239"/>
      <c r="E221" s="96" t="s">
        <v>1490</v>
      </c>
      <c r="F221" s="122" t="s">
        <v>1383</v>
      </c>
      <c r="G221" s="96" t="s">
        <v>505</v>
      </c>
      <c r="H221" s="93">
        <f t="shared" si="9"/>
        <v>1</v>
      </c>
      <c r="I221" s="130"/>
      <c r="J221" s="130"/>
      <c r="K221" s="145" t="s">
        <v>54</v>
      </c>
      <c r="L221" s="145" t="s">
        <v>54</v>
      </c>
      <c r="M221" s="145" t="s">
        <v>54</v>
      </c>
      <c r="N221" s="130"/>
      <c r="O221" s="117" t="s">
        <v>1517</v>
      </c>
    </row>
    <row r="222" spans="1:15" ht="15" x14ac:dyDescent="0.2">
      <c r="A222" s="264"/>
      <c r="B222" s="265"/>
      <c r="C222" s="237"/>
      <c r="D222" s="241"/>
      <c r="E222" s="96" t="s">
        <v>1496</v>
      </c>
      <c r="F222" s="122"/>
      <c r="G222" s="96"/>
      <c r="H222" s="93">
        <f t="shared" si="9"/>
        <v>0</v>
      </c>
      <c r="I222" s="130"/>
      <c r="J222" s="130"/>
      <c r="K222" s="130"/>
      <c r="L222" s="130"/>
      <c r="M222" s="130"/>
      <c r="N222" s="130"/>
      <c r="O222" s="96"/>
    </row>
    <row r="223" spans="1:15" ht="38.25" x14ac:dyDescent="0.2">
      <c r="A223" s="264" t="s">
        <v>445</v>
      </c>
      <c r="B223" s="265" t="s">
        <v>838</v>
      </c>
      <c r="C223" s="247">
        <f>SUM(H223:H231)/COUNTIF(F225:F231,"&gt;""")/4</f>
        <v>0.54166666666666663</v>
      </c>
      <c r="D223" s="240" t="s">
        <v>839</v>
      </c>
      <c r="E223" s="96" t="s">
        <v>446</v>
      </c>
      <c r="F223" s="117" t="s">
        <v>1400</v>
      </c>
      <c r="G223" s="96" t="s">
        <v>511</v>
      </c>
      <c r="H223" s="93">
        <f t="shared" si="9"/>
        <v>3</v>
      </c>
      <c r="I223" s="130"/>
      <c r="J223" s="130"/>
      <c r="K223" s="130"/>
      <c r="L223" s="130"/>
      <c r="M223" s="130"/>
      <c r="N223" s="130"/>
      <c r="O223" s="96" t="s">
        <v>4850</v>
      </c>
    </row>
    <row r="224" spans="1:15" ht="15" x14ac:dyDescent="0.2">
      <c r="A224" s="264"/>
      <c r="B224" s="265"/>
      <c r="C224" s="266"/>
      <c r="D224" s="239"/>
      <c r="E224" s="96" t="s">
        <v>447</v>
      </c>
      <c r="F224" s="117" t="s">
        <v>1392</v>
      </c>
      <c r="G224" s="96"/>
      <c r="H224" s="93">
        <f t="shared" si="9"/>
        <v>0</v>
      </c>
      <c r="I224" s="130"/>
      <c r="J224" s="130"/>
      <c r="K224" s="130"/>
      <c r="L224" s="130"/>
      <c r="M224" s="130"/>
      <c r="N224" s="130"/>
      <c r="O224" s="96"/>
    </row>
    <row r="225" spans="1:15" ht="15" x14ac:dyDescent="0.2">
      <c r="A225" s="264"/>
      <c r="B225" s="265"/>
      <c r="C225" s="266"/>
      <c r="D225" s="239"/>
      <c r="E225" s="96" t="s">
        <v>448</v>
      </c>
      <c r="F225" s="22" t="s">
        <v>1393</v>
      </c>
      <c r="G225" s="96"/>
      <c r="H225" s="93">
        <f t="shared" si="9"/>
        <v>0</v>
      </c>
      <c r="I225" s="130"/>
      <c r="J225" s="130"/>
      <c r="K225" s="130"/>
      <c r="L225" s="130"/>
      <c r="M225" s="130"/>
      <c r="N225" s="130"/>
      <c r="O225" s="96"/>
    </row>
    <row r="226" spans="1:15" ht="38.25" x14ac:dyDescent="0.2">
      <c r="A226" s="264"/>
      <c r="B226" s="265"/>
      <c r="C226" s="266"/>
      <c r="D226" s="239"/>
      <c r="E226" s="96" t="s">
        <v>449</v>
      </c>
      <c r="F226" s="22" t="s">
        <v>1395</v>
      </c>
      <c r="G226" s="96" t="s">
        <v>515</v>
      </c>
      <c r="H226" s="93">
        <f t="shared" si="9"/>
        <v>2</v>
      </c>
      <c r="I226" s="130"/>
      <c r="J226" s="130"/>
      <c r="K226" s="130" t="s">
        <v>54</v>
      </c>
      <c r="L226" s="130" t="s">
        <v>54</v>
      </c>
      <c r="M226" s="130"/>
      <c r="N226" s="130"/>
      <c r="O226" s="96" t="s">
        <v>4851</v>
      </c>
    </row>
    <row r="227" spans="1:15" ht="25.5" x14ac:dyDescent="0.2">
      <c r="A227" s="264"/>
      <c r="B227" s="265"/>
      <c r="C227" s="266"/>
      <c r="D227" s="239"/>
      <c r="E227" s="96" t="s">
        <v>450</v>
      </c>
      <c r="F227" s="22" t="s">
        <v>1394</v>
      </c>
      <c r="G227" s="96" t="s">
        <v>505</v>
      </c>
      <c r="H227" s="93">
        <f t="shared" si="9"/>
        <v>1</v>
      </c>
      <c r="I227" s="130"/>
      <c r="J227" s="130"/>
      <c r="K227" s="130"/>
      <c r="L227" s="130" t="s">
        <v>54</v>
      </c>
      <c r="M227" s="130"/>
      <c r="N227" s="130"/>
      <c r="O227" s="96" t="s">
        <v>4852</v>
      </c>
    </row>
    <row r="228" spans="1:15" ht="15" x14ac:dyDescent="0.2">
      <c r="A228" s="264"/>
      <c r="B228" s="265"/>
      <c r="C228" s="266"/>
      <c r="D228" s="239"/>
      <c r="E228" s="96" t="s">
        <v>451</v>
      </c>
      <c r="F228" s="127" t="s">
        <v>4811</v>
      </c>
      <c r="G228" s="96" t="s">
        <v>515</v>
      </c>
      <c r="H228" s="93">
        <f t="shared" si="9"/>
        <v>2</v>
      </c>
      <c r="I228" s="130"/>
      <c r="J228" s="130"/>
      <c r="K228" s="130"/>
      <c r="L228" s="130"/>
      <c r="M228" s="130" t="s">
        <v>54</v>
      </c>
      <c r="N228" s="130"/>
      <c r="O228" s="96" t="s">
        <v>4856</v>
      </c>
    </row>
    <row r="229" spans="1:15" ht="38.25" x14ac:dyDescent="0.2">
      <c r="A229" s="264"/>
      <c r="B229" s="265"/>
      <c r="C229" s="266"/>
      <c r="D229" s="239"/>
      <c r="E229" s="96" t="s">
        <v>1396</v>
      </c>
      <c r="F229" s="222" t="s">
        <v>1399</v>
      </c>
      <c r="G229" s="96" t="s">
        <v>515</v>
      </c>
      <c r="H229" s="93">
        <f t="shared" si="9"/>
        <v>2</v>
      </c>
      <c r="I229" s="130"/>
      <c r="J229" s="130"/>
      <c r="K229" s="130"/>
      <c r="L229" s="130"/>
      <c r="M229" s="130"/>
      <c r="N229" s="130"/>
      <c r="O229" s="96" t="s">
        <v>4858</v>
      </c>
    </row>
    <row r="230" spans="1:15" ht="25.5" x14ac:dyDescent="0.2">
      <c r="A230" s="264"/>
      <c r="B230" s="265"/>
      <c r="C230" s="266"/>
      <c r="D230" s="239"/>
      <c r="E230" s="96" t="s">
        <v>1397</v>
      </c>
      <c r="F230" s="222" t="s">
        <v>4809</v>
      </c>
      <c r="G230" s="96" t="s">
        <v>511</v>
      </c>
      <c r="H230" s="93">
        <f t="shared" si="9"/>
        <v>3</v>
      </c>
      <c r="I230" s="130"/>
      <c r="J230" s="130"/>
      <c r="K230" s="130"/>
      <c r="L230" s="130"/>
      <c r="M230" s="130" t="s">
        <v>54</v>
      </c>
      <c r="N230" s="130"/>
      <c r="O230" s="96" t="s">
        <v>4859</v>
      </c>
    </row>
    <row r="231" spans="1:15" ht="15" x14ac:dyDescent="0.2">
      <c r="A231" s="264"/>
      <c r="B231" s="265"/>
      <c r="C231" s="266"/>
      <c r="D231" s="239"/>
      <c r="E231" s="96" t="s">
        <v>1398</v>
      </c>
      <c r="F231" s="106"/>
      <c r="G231" s="96"/>
      <c r="H231" s="93">
        <f t="shared" si="9"/>
        <v>0</v>
      </c>
      <c r="I231" s="130"/>
      <c r="J231" s="130"/>
      <c r="K231" s="130"/>
      <c r="L231" s="130"/>
      <c r="M231" s="130"/>
      <c r="N231" s="130"/>
      <c r="O231" s="96"/>
    </row>
    <row r="232" spans="1:15" ht="15" x14ac:dyDescent="0.2">
      <c r="A232" s="264" t="s">
        <v>452</v>
      </c>
      <c r="B232" s="265" t="s">
        <v>4294</v>
      </c>
      <c r="C232" s="247">
        <f>SUM(H232:H243)/COUNTIF(F232:F243,"&gt;""")/4</f>
        <v>0</v>
      </c>
      <c r="D232" s="240" t="s">
        <v>841</v>
      </c>
      <c r="E232" s="96" t="s">
        <v>453</v>
      </c>
      <c r="F232" s="122" t="s">
        <v>14</v>
      </c>
      <c r="G232" s="96"/>
      <c r="H232" s="93">
        <f t="shared" si="9"/>
        <v>0</v>
      </c>
      <c r="I232" s="130"/>
      <c r="J232" s="130"/>
      <c r="K232" s="130"/>
      <c r="L232" s="130"/>
      <c r="M232" s="130"/>
      <c r="N232" s="130"/>
      <c r="O232" s="96"/>
    </row>
    <row r="233" spans="1:15" ht="15" x14ac:dyDescent="0.2">
      <c r="A233" s="264"/>
      <c r="B233" s="265"/>
      <c r="C233" s="266"/>
      <c r="D233" s="239"/>
      <c r="E233" s="96" t="s">
        <v>454</v>
      </c>
      <c r="F233" s="122" t="s">
        <v>1439</v>
      </c>
      <c r="G233" s="96"/>
      <c r="H233" s="93">
        <f t="shared" si="9"/>
        <v>0</v>
      </c>
      <c r="I233" s="130"/>
      <c r="J233" s="130"/>
      <c r="K233" s="130"/>
      <c r="L233" s="130"/>
      <c r="M233" s="130"/>
      <c r="N233" s="130"/>
      <c r="O233" s="96"/>
    </row>
    <row r="234" spans="1:15" ht="15" x14ac:dyDescent="0.2">
      <c r="A234" s="264"/>
      <c r="B234" s="265"/>
      <c r="C234" s="266"/>
      <c r="D234" s="239"/>
      <c r="E234" s="96" t="s">
        <v>455</v>
      </c>
      <c r="F234" s="122" t="s">
        <v>1436</v>
      </c>
      <c r="G234" s="96"/>
      <c r="H234" s="93">
        <f t="shared" si="9"/>
        <v>0</v>
      </c>
      <c r="I234" s="130"/>
      <c r="J234" s="130"/>
      <c r="K234" s="130"/>
      <c r="L234" s="130"/>
      <c r="M234" s="130"/>
      <c r="N234" s="130"/>
      <c r="O234" s="96"/>
    </row>
    <row r="235" spans="1:15" ht="15" x14ac:dyDescent="0.2">
      <c r="A235" s="264"/>
      <c r="B235" s="265"/>
      <c r="C235" s="266"/>
      <c r="D235" s="239"/>
      <c r="E235" s="96" t="s">
        <v>456</v>
      </c>
      <c r="F235" s="122" t="s">
        <v>1413</v>
      </c>
      <c r="G235" s="96"/>
      <c r="H235" s="93">
        <f t="shared" si="9"/>
        <v>0</v>
      </c>
      <c r="I235" s="130"/>
      <c r="J235" s="130"/>
      <c r="K235" s="130"/>
      <c r="L235" s="130"/>
      <c r="M235" s="130"/>
      <c r="N235" s="130"/>
      <c r="O235" s="96"/>
    </row>
    <row r="236" spans="1:15" ht="15" x14ac:dyDescent="0.2">
      <c r="A236" s="264"/>
      <c r="B236" s="265"/>
      <c r="C236" s="266"/>
      <c r="D236" s="239"/>
      <c r="E236" s="96" t="s">
        <v>457</v>
      </c>
      <c r="F236" s="122" t="s">
        <v>1437</v>
      </c>
      <c r="G236" s="96"/>
      <c r="H236" s="93">
        <f t="shared" ref="H236:H244" si="10">IF(G236=$G$294,4,IF(G236=$G$295,3,IF(G236=$G$296,2,IF(G236=$G$297,1,0))))</f>
        <v>0</v>
      </c>
      <c r="I236" s="130"/>
      <c r="J236" s="130"/>
      <c r="K236" s="130"/>
      <c r="L236" s="130"/>
      <c r="M236" s="130"/>
      <c r="N236" s="130"/>
      <c r="O236" s="96"/>
    </row>
    <row r="237" spans="1:15" ht="15" x14ac:dyDescent="0.2">
      <c r="A237" s="264"/>
      <c r="B237" s="265"/>
      <c r="C237" s="266"/>
      <c r="D237" s="239"/>
      <c r="E237" s="96" t="s">
        <v>458</v>
      </c>
      <c r="F237" s="122" t="s">
        <v>1408</v>
      </c>
      <c r="G237" s="96"/>
      <c r="H237" s="93">
        <f t="shared" si="10"/>
        <v>0</v>
      </c>
      <c r="I237" s="130"/>
      <c r="J237" s="130"/>
      <c r="K237" s="130"/>
      <c r="L237" s="130"/>
      <c r="M237" s="130"/>
      <c r="N237" s="130"/>
      <c r="O237" s="96"/>
    </row>
    <row r="238" spans="1:15" ht="15" x14ac:dyDescent="0.2">
      <c r="A238" s="264"/>
      <c r="B238" s="265"/>
      <c r="C238" s="266"/>
      <c r="D238" s="239"/>
      <c r="E238" s="96" t="s">
        <v>459</v>
      </c>
      <c r="F238" s="122" t="s">
        <v>1409</v>
      </c>
      <c r="G238" s="96"/>
      <c r="H238" s="93">
        <f t="shared" si="10"/>
        <v>0</v>
      </c>
      <c r="I238" s="130"/>
      <c r="J238" s="130"/>
      <c r="K238" s="130"/>
      <c r="L238" s="130"/>
      <c r="M238" s="130"/>
      <c r="N238" s="130"/>
      <c r="O238" s="96"/>
    </row>
    <row r="239" spans="1:15" ht="15" x14ac:dyDescent="0.2">
      <c r="A239" s="264"/>
      <c r="B239" s="265"/>
      <c r="C239" s="266"/>
      <c r="D239" s="239"/>
      <c r="E239" s="96" t="s">
        <v>460</v>
      </c>
      <c r="F239" s="117" t="s">
        <v>1412</v>
      </c>
      <c r="G239" s="96"/>
      <c r="H239" s="93">
        <f t="shared" si="10"/>
        <v>0</v>
      </c>
      <c r="I239" s="130"/>
      <c r="J239" s="130"/>
      <c r="K239" s="130"/>
      <c r="L239" s="130"/>
      <c r="M239" s="130"/>
      <c r="N239" s="130"/>
      <c r="O239" s="96"/>
    </row>
    <row r="240" spans="1:15" ht="15" x14ac:dyDescent="0.2">
      <c r="A240" s="264"/>
      <c r="B240" s="265"/>
      <c r="C240" s="266"/>
      <c r="D240" s="239"/>
      <c r="E240" s="96" t="s">
        <v>461</v>
      </c>
      <c r="F240" s="117" t="s">
        <v>1415</v>
      </c>
      <c r="G240" s="96"/>
      <c r="H240" s="93">
        <f t="shared" si="10"/>
        <v>0</v>
      </c>
      <c r="I240" s="130"/>
      <c r="J240" s="130"/>
      <c r="K240" s="130"/>
      <c r="L240" s="130"/>
      <c r="M240" s="130"/>
      <c r="N240" s="130"/>
      <c r="O240" s="96"/>
    </row>
    <row r="241" spans="1:15" ht="15" x14ac:dyDescent="0.2">
      <c r="A241" s="264"/>
      <c r="B241" s="265"/>
      <c r="C241" s="266"/>
      <c r="D241" s="239"/>
      <c r="E241" s="96" t="s">
        <v>1410</v>
      </c>
      <c r="G241" s="96"/>
      <c r="H241" s="93">
        <f t="shared" si="10"/>
        <v>0</v>
      </c>
      <c r="I241" s="130"/>
      <c r="J241" s="130"/>
      <c r="K241" s="130"/>
      <c r="L241" s="130"/>
      <c r="M241" s="130"/>
      <c r="N241" s="130"/>
      <c r="O241" s="96"/>
    </row>
    <row r="242" spans="1:15" ht="15" x14ac:dyDescent="0.2">
      <c r="A242" s="264"/>
      <c r="B242" s="265"/>
      <c r="C242" s="266"/>
      <c r="D242" s="239"/>
      <c r="E242" s="96" t="s">
        <v>1411</v>
      </c>
      <c r="F242" s="117"/>
      <c r="G242" s="96"/>
      <c r="H242" s="93">
        <f t="shared" si="10"/>
        <v>0</v>
      </c>
      <c r="I242" s="130"/>
      <c r="J242" s="130"/>
      <c r="K242" s="130"/>
      <c r="L242" s="130"/>
      <c r="M242" s="130"/>
      <c r="N242" s="130"/>
      <c r="O242" s="96"/>
    </row>
    <row r="243" spans="1:15" ht="15" x14ac:dyDescent="0.2">
      <c r="A243" s="264"/>
      <c r="B243" s="265"/>
      <c r="C243" s="244"/>
      <c r="D243" s="241"/>
      <c r="E243" s="96" t="s">
        <v>1414</v>
      </c>
      <c r="F243" s="117"/>
      <c r="G243" s="96"/>
      <c r="H243" s="93">
        <f t="shared" si="10"/>
        <v>0</v>
      </c>
      <c r="I243" s="130"/>
      <c r="J243" s="130"/>
      <c r="K243" s="130"/>
      <c r="L243" s="130"/>
      <c r="M243" s="130"/>
      <c r="N243" s="130"/>
      <c r="O243" s="96"/>
    </row>
    <row r="244" spans="1:15" ht="76.5" x14ac:dyDescent="0.2">
      <c r="A244" s="264" t="s">
        <v>462</v>
      </c>
      <c r="B244" s="265" t="s">
        <v>1491</v>
      </c>
      <c r="C244" s="247">
        <f>SUM(H244:H258)/COUNTIF(F244:F258,"&gt;""")/4</f>
        <v>0.17857142857142858</v>
      </c>
      <c r="D244" s="267" t="s">
        <v>1492</v>
      </c>
      <c r="E244" s="96" t="s">
        <v>463</v>
      </c>
      <c r="F244" s="117" t="s">
        <v>4338</v>
      </c>
      <c r="G244" s="96" t="s">
        <v>515</v>
      </c>
      <c r="H244" s="93">
        <f t="shared" si="10"/>
        <v>2</v>
      </c>
      <c r="I244" s="130"/>
      <c r="J244" s="145" t="s">
        <v>54</v>
      </c>
      <c r="K244" s="145" t="s">
        <v>54</v>
      </c>
      <c r="L244" s="145" t="s">
        <v>54</v>
      </c>
      <c r="M244" s="130"/>
      <c r="N244" s="130"/>
      <c r="O244" s="117" t="s">
        <v>4347</v>
      </c>
    </row>
    <row r="245" spans="1:15" ht="76.5" x14ac:dyDescent="0.2">
      <c r="A245" s="264"/>
      <c r="B245" s="265"/>
      <c r="C245" s="266"/>
      <c r="D245" s="268"/>
      <c r="E245" s="96" t="s">
        <v>464</v>
      </c>
      <c r="F245" s="117" t="s">
        <v>4340</v>
      </c>
      <c r="G245" s="96" t="s">
        <v>505</v>
      </c>
      <c r="H245" s="93">
        <f>IF(G245=$G$294,4,IF(G245=$G$295,3,IF(G245=$G$296,2,IF(G245=$G$297,1,0))))</f>
        <v>1</v>
      </c>
      <c r="I245" s="130"/>
      <c r="J245" s="130"/>
      <c r="K245" s="145" t="s">
        <v>54</v>
      </c>
      <c r="L245" s="130"/>
      <c r="M245" s="130"/>
      <c r="N245" s="130"/>
      <c r="O245" s="127" t="s">
        <v>4348</v>
      </c>
    </row>
    <row r="246" spans="1:15" ht="25.5" x14ac:dyDescent="0.2">
      <c r="A246" s="264"/>
      <c r="B246" s="265"/>
      <c r="C246" s="266"/>
      <c r="D246" s="268"/>
      <c r="E246" s="96" t="s">
        <v>465</v>
      </c>
      <c r="F246" s="117" t="s">
        <v>4344</v>
      </c>
      <c r="G246" s="96" t="s">
        <v>505</v>
      </c>
      <c r="H246" s="93">
        <f>IF(G246=$G$294,4,IF(G246=$G$295,3,IF(G246=$G$296,2,IF(G246=$G$297,1,0))))</f>
        <v>1</v>
      </c>
      <c r="I246" s="130"/>
      <c r="J246" s="145" t="s">
        <v>54</v>
      </c>
      <c r="K246" s="130"/>
      <c r="L246" s="130"/>
      <c r="M246" s="145" t="s">
        <v>54</v>
      </c>
      <c r="N246" s="130"/>
      <c r="O246" s="117" t="s">
        <v>4349</v>
      </c>
    </row>
    <row r="247" spans="1:15" ht="63.75" x14ac:dyDescent="0.2">
      <c r="A247" s="264"/>
      <c r="B247" s="265"/>
      <c r="C247" s="266"/>
      <c r="D247" s="268"/>
      <c r="E247" s="96" t="s">
        <v>466</v>
      </c>
      <c r="F247" s="117" t="s">
        <v>4357</v>
      </c>
      <c r="G247" s="96" t="s">
        <v>515</v>
      </c>
      <c r="H247" s="93">
        <f>IF(G247=$G$294,4,IF(G247=$G$295,3,IF(G247=$G$296,2,IF(G247=$G$297,1,0))))</f>
        <v>2</v>
      </c>
      <c r="I247" s="130"/>
      <c r="J247" s="130"/>
      <c r="K247" s="145" t="s">
        <v>54</v>
      </c>
      <c r="L247" s="130"/>
      <c r="M247" s="145" t="s">
        <v>54</v>
      </c>
      <c r="N247" s="145" t="s">
        <v>54</v>
      </c>
      <c r="O247" s="117" t="s">
        <v>4350</v>
      </c>
    </row>
    <row r="248" spans="1:15" ht="38.25" x14ac:dyDescent="0.2">
      <c r="A248" s="264"/>
      <c r="B248" s="265"/>
      <c r="C248" s="266"/>
      <c r="D248" s="268"/>
      <c r="E248" s="96" t="s">
        <v>467</v>
      </c>
      <c r="F248" s="117" t="s">
        <v>4345</v>
      </c>
      <c r="G248" s="96" t="s">
        <v>505</v>
      </c>
      <c r="H248" s="93">
        <f>IF(G248=$G$294,4,IF(G248=$G$295,3,IF(G248=$G$296,2,IF(G248=$G$297,1,0))))</f>
        <v>1</v>
      </c>
      <c r="I248" s="130"/>
      <c r="J248" s="130"/>
      <c r="K248" s="130"/>
      <c r="L248" s="130"/>
      <c r="M248" s="130"/>
      <c r="N248" s="145" t="s">
        <v>54</v>
      </c>
      <c r="O248" s="117" t="s">
        <v>4351</v>
      </c>
    </row>
    <row r="249" spans="1:15" ht="63.75" x14ac:dyDescent="0.2">
      <c r="A249" s="264"/>
      <c r="B249" s="265"/>
      <c r="C249" s="266"/>
      <c r="D249" s="268"/>
      <c r="E249" s="96" t="s">
        <v>468</v>
      </c>
      <c r="F249" s="197" t="s">
        <v>4346</v>
      </c>
      <c r="G249" s="96" t="s">
        <v>505</v>
      </c>
      <c r="H249" s="93">
        <f t="shared" ref="H249:H258" si="11">IF(G249=$G$294,4,IF(G249=$G$295,3,IF(G249=$G$296,2,IF(G249=$G$297,1,0))))</f>
        <v>1</v>
      </c>
      <c r="I249" s="130"/>
      <c r="J249" s="130"/>
      <c r="K249" s="130"/>
      <c r="L249" s="130"/>
      <c r="M249" s="130"/>
      <c r="N249" s="130"/>
      <c r="O249" s="117" t="s">
        <v>4352</v>
      </c>
    </row>
    <row r="250" spans="1:15" ht="38.25" x14ac:dyDescent="0.2">
      <c r="A250" s="264"/>
      <c r="B250" s="265"/>
      <c r="C250" s="266"/>
      <c r="D250" s="268"/>
      <c r="E250" s="96" t="s">
        <v>469</v>
      </c>
      <c r="F250" s="127" t="s">
        <v>4341</v>
      </c>
      <c r="G250" s="96" t="s">
        <v>515</v>
      </c>
      <c r="H250" s="93">
        <f t="shared" si="11"/>
        <v>2</v>
      </c>
      <c r="I250" s="130"/>
      <c r="J250" s="145" t="s">
        <v>54</v>
      </c>
      <c r="K250" s="145" t="s">
        <v>54</v>
      </c>
      <c r="L250" s="130"/>
      <c r="M250" s="130"/>
      <c r="N250" s="130"/>
      <c r="O250" s="117" t="s">
        <v>4353</v>
      </c>
    </row>
    <row r="251" spans="1:15" ht="63.75" x14ac:dyDescent="0.2">
      <c r="A251" s="264"/>
      <c r="B251" s="265"/>
      <c r="C251" s="266"/>
      <c r="D251" s="268"/>
      <c r="E251" s="96" t="s">
        <v>845</v>
      </c>
      <c r="F251" s="127" t="s">
        <v>4328</v>
      </c>
      <c r="G251" s="96" t="s">
        <v>505</v>
      </c>
      <c r="H251" s="93"/>
      <c r="I251" s="130"/>
      <c r="J251" s="145" t="s">
        <v>54</v>
      </c>
      <c r="K251" s="130"/>
      <c r="L251" s="130"/>
      <c r="M251" s="130"/>
      <c r="N251" s="145" t="s">
        <v>54</v>
      </c>
      <c r="O251" s="117" t="s">
        <v>4354</v>
      </c>
    </row>
    <row r="252" spans="1:15" ht="89.25" x14ac:dyDescent="0.2">
      <c r="A252" s="264"/>
      <c r="B252" s="265"/>
      <c r="C252" s="266"/>
      <c r="D252" s="268"/>
      <c r="E252" s="96" t="s">
        <v>4332</v>
      </c>
      <c r="F252" s="127" t="s">
        <v>4356</v>
      </c>
      <c r="G252" s="96" t="s">
        <v>511</v>
      </c>
      <c r="H252" s="93"/>
      <c r="I252" s="130"/>
      <c r="J252" s="130"/>
      <c r="K252" s="130"/>
      <c r="L252" s="130"/>
      <c r="M252" s="145" t="s">
        <v>54</v>
      </c>
      <c r="N252" s="145" t="s">
        <v>54</v>
      </c>
      <c r="O252" s="117" t="s">
        <v>4355</v>
      </c>
    </row>
    <row r="253" spans="1:15" ht="89.25" x14ac:dyDescent="0.2">
      <c r="A253" s="264"/>
      <c r="B253" s="265"/>
      <c r="C253" s="266"/>
      <c r="D253" s="268"/>
      <c r="E253" s="96" t="s">
        <v>4333</v>
      </c>
      <c r="F253" s="127" t="s">
        <v>4330</v>
      </c>
      <c r="G253" s="96" t="s">
        <v>515</v>
      </c>
      <c r="H253" s="93"/>
      <c r="I253" s="130"/>
      <c r="J253" s="130"/>
      <c r="K253" s="130"/>
      <c r="L253" s="130"/>
      <c r="M253" s="130"/>
      <c r="N253" s="145" t="s">
        <v>54</v>
      </c>
      <c r="O253" s="117" t="s">
        <v>4358</v>
      </c>
    </row>
    <row r="254" spans="1:15" ht="38.25" x14ac:dyDescent="0.2">
      <c r="A254" s="264"/>
      <c r="B254" s="265"/>
      <c r="C254" s="266"/>
      <c r="D254" s="268"/>
      <c r="E254" s="96" t="s">
        <v>4334</v>
      </c>
      <c r="F254" s="127" t="s">
        <v>4342</v>
      </c>
      <c r="G254" s="96" t="s">
        <v>511</v>
      </c>
      <c r="H254" s="93"/>
      <c r="I254" s="130"/>
      <c r="J254" s="130"/>
      <c r="K254" s="130"/>
      <c r="L254" s="130"/>
      <c r="M254" s="130"/>
      <c r="N254" s="145" t="s">
        <v>54</v>
      </c>
      <c r="O254" s="117" t="s">
        <v>4359</v>
      </c>
    </row>
    <row r="255" spans="1:15" ht="51" x14ac:dyDescent="0.2">
      <c r="A255" s="264"/>
      <c r="B255" s="265"/>
      <c r="C255" s="266"/>
      <c r="D255" s="268"/>
      <c r="E255" s="96" t="s">
        <v>4335</v>
      </c>
      <c r="F255" s="127" t="s">
        <v>4331</v>
      </c>
      <c r="G255" s="96" t="s">
        <v>515</v>
      </c>
      <c r="H255" s="93"/>
      <c r="I255" s="130"/>
      <c r="J255" s="145" t="s">
        <v>54</v>
      </c>
      <c r="K255" s="130"/>
      <c r="L255" s="130"/>
      <c r="M255" s="145" t="s">
        <v>54</v>
      </c>
      <c r="N255" s="130"/>
      <c r="O255" s="117" t="s">
        <v>4360</v>
      </c>
    </row>
    <row r="256" spans="1:15" ht="38.25" x14ac:dyDescent="0.2">
      <c r="A256" s="264"/>
      <c r="B256" s="265"/>
      <c r="C256" s="266"/>
      <c r="D256" s="268"/>
      <c r="E256" s="96" t="s">
        <v>4336</v>
      </c>
      <c r="F256" s="127" t="s">
        <v>4343</v>
      </c>
      <c r="G256" s="96" t="s">
        <v>515</v>
      </c>
      <c r="H256" s="93"/>
      <c r="I256" s="130"/>
      <c r="J256" s="130"/>
      <c r="K256" s="130"/>
      <c r="L256" s="130"/>
      <c r="M256" s="130"/>
      <c r="N256" s="130"/>
      <c r="O256" s="117" t="s">
        <v>4361</v>
      </c>
    </row>
    <row r="257" spans="1:15" ht="63.75" x14ac:dyDescent="0.2">
      <c r="A257" s="264"/>
      <c r="B257" s="265"/>
      <c r="C257" s="266"/>
      <c r="D257" s="268"/>
      <c r="E257" s="96" t="s">
        <v>4337</v>
      </c>
      <c r="F257" s="127" t="s">
        <v>4329</v>
      </c>
      <c r="G257" s="96" t="s">
        <v>505</v>
      </c>
      <c r="H257" s="93"/>
      <c r="I257" s="130"/>
      <c r="J257" s="130"/>
      <c r="K257" s="130"/>
      <c r="L257" s="145" t="s">
        <v>54</v>
      </c>
      <c r="M257" s="145" t="s">
        <v>54</v>
      </c>
      <c r="N257" s="130"/>
      <c r="O257" s="117" t="s">
        <v>4362</v>
      </c>
    </row>
    <row r="258" spans="1:15" ht="15" x14ac:dyDescent="0.2">
      <c r="A258" s="264"/>
      <c r="B258" s="265"/>
      <c r="C258" s="244"/>
      <c r="D258" s="290"/>
      <c r="E258" s="96" t="s">
        <v>4339</v>
      </c>
      <c r="F258" s="117"/>
      <c r="G258" s="96"/>
      <c r="H258" s="93">
        <f t="shared" si="11"/>
        <v>0</v>
      </c>
      <c r="I258" s="130"/>
      <c r="J258" s="130"/>
      <c r="K258" s="130"/>
      <c r="L258" s="130"/>
      <c r="M258" s="130"/>
      <c r="N258" s="130"/>
      <c r="O258" s="96"/>
    </row>
    <row r="259" spans="1:15" ht="15" x14ac:dyDescent="0.2">
      <c r="A259" s="264" t="s">
        <v>470</v>
      </c>
      <c r="B259" s="265" t="s">
        <v>846</v>
      </c>
      <c r="C259" s="247">
        <f>SUM(H259:H266)/COUNTIF(F259:F266,"&gt;""")/4</f>
        <v>0</v>
      </c>
      <c r="D259" s="240" t="s">
        <v>847</v>
      </c>
      <c r="E259" s="96" t="s">
        <v>471</v>
      </c>
      <c r="F259" s="117" t="s">
        <v>4422</v>
      </c>
      <c r="G259" s="96"/>
      <c r="H259" s="93">
        <f>IF(G259=$G$294,4,IF(G259=$G$295,3,IF(G259=$G$296,2,IF(G259=$G$297,1,0))))</f>
        <v>0</v>
      </c>
      <c r="I259" s="130"/>
      <c r="J259" s="130"/>
      <c r="K259" s="130"/>
      <c r="L259" s="130"/>
      <c r="M259" s="130"/>
      <c r="N259" s="130"/>
      <c r="O259" s="96"/>
    </row>
    <row r="260" spans="1:15" ht="15" x14ac:dyDescent="0.2">
      <c r="A260" s="264"/>
      <c r="B260" s="265"/>
      <c r="C260" s="266"/>
      <c r="D260" s="239"/>
      <c r="E260" s="96" t="s">
        <v>472</v>
      </c>
      <c r="F260" s="117" t="s">
        <v>4423</v>
      </c>
      <c r="G260" s="96"/>
      <c r="H260" s="93">
        <f>IF(G260=$G$294,4,IF(G260=$G$295,3,IF(G260=$G$296,2,IF(G260=$G$297,1,0))))</f>
        <v>0</v>
      </c>
      <c r="I260" s="130"/>
      <c r="J260" s="130"/>
      <c r="K260" s="130"/>
      <c r="L260" s="130"/>
      <c r="M260" s="130"/>
      <c r="N260" s="130"/>
      <c r="O260" s="96"/>
    </row>
    <row r="261" spans="1:15" ht="15" x14ac:dyDescent="0.2">
      <c r="A261" s="264"/>
      <c r="B261" s="265"/>
      <c r="C261" s="266"/>
      <c r="D261" s="239"/>
      <c r="E261" s="96" t="s">
        <v>473</v>
      </c>
      <c r="F261" s="117" t="s">
        <v>4424</v>
      </c>
      <c r="G261" s="96"/>
      <c r="H261" s="93">
        <f>IF(G261=$G$294,4,IF(G261=$G$295,3,IF(G261=$G$296,2,IF(G261=$G$297,1,0))))</f>
        <v>0</v>
      </c>
      <c r="I261" s="130"/>
      <c r="J261" s="130"/>
      <c r="K261" s="130"/>
      <c r="L261" s="130"/>
      <c r="M261" s="130"/>
      <c r="N261" s="130"/>
      <c r="O261" s="96"/>
    </row>
    <row r="262" spans="1:15" ht="15" x14ac:dyDescent="0.2">
      <c r="A262" s="264"/>
      <c r="B262" s="265"/>
      <c r="C262" s="266"/>
      <c r="D262" s="239"/>
      <c r="E262" s="96" t="s">
        <v>851</v>
      </c>
      <c r="F262" s="117" t="s">
        <v>4425</v>
      </c>
      <c r="G262" s="96"/>
      <c r="H262" s="93">
        <f>IF(G262=$G$294,4,IF(G262=$G$295,3,IF(G262=$G$296,2,IF(G262=$G$297,1,0))))</f>
        <v>0</v>
      </c>
      <c r="I262" s="130"/>
      <c r="J262" s="130"/>
      <c r="K262" s="130"/>
      <c r="L262" s="130"/>
      <c r="M262" s="130"/>
      <c r="N262" s="130"/>
      <c r="O262" s="96"/>
    </row>
    <row r="263" spans="1:15" ht="15" x14ac:dyDescent="0.2">
      <c r="A263" s="264"/>
      <c r="B263" s="265"/>
      <c r="C263" s="266"/>
      <c r="D263" s="239"/>
      <c r="E263" s="96" t="s">
        <v>853</v>
      </c>
      <c r="F263" s="117" t="s">
        <v>4426</v>
      </c>
      <c r="G263" s="96"/>
      <c r="H263" s="93">
        <f>IF(G263=$G$294,4,IF(G263=$G$295,3,IF(G263=$G$296,2,IF(G263=$G$297,1,0))))</f>
        <v>0</v>
      </c>
      <c r="I263" s="130"/>
      <c r="J263" s="130"/>
      <c r="K263" s="130"/>
      <c r="L263" s="130"/>
      <c r="M263" s="130"/>
      <c r="N263" s="130"/>
      <c r="O263" s="96"/>
    </row>
    <row r="264" spans="1:15" ht="15" x14ac:dyDescent="0.2">
      <c r="A264" s="264"/>
      <c r="B264" s="265"/>
      <c r="C264" s="266"/>
      <c r="D264" s="239"/>
      <c r="E264" s="96" t="s">
        <v>855</v>
      </c>
      <c r="F264" s="117" t="s">
        <v>4427</v>
      </c>
      <c r="G264" s="96"/>
      <c r="H264" s="93">
        <f t="shared" ref="H264:H266" si="12">IF(G264=$G$294,4,IF(G264=$G$295,3,IF(G264=$G$296,2,IF(G264=$G$297,1,0))))</f>
        <v>0</v>
      </c>
      <c r="I264" s="130"/>
      <c r="J264" s="130"/>
      <c r="K264" s="130"/>
      <c r="L264" s="130"/>
      <c r="M264" s="130"/>
      <c r="N264" s="130"/>
      <c r="O264" s="96"/>
    </row>
    <row r="265" spans="1:15" ht="15" x14ac:dyDescent="0.2">
      <c r="A265" s="264"/>
      <c r="B265" s="265"/>
      <c r="C265" s="266"/>
      <c r="D265" s="239"/>
      <c r="E265" s="96" t="s">
        <v>857</v>
      </c>
      <c r="F265" s="127" t="s">
        <v>4421</v>
      </c>
      <c r="G265" s="96"/>
      <c r="H265" s="93">
        <f t="shared" si="12"/>
        <v>0</v>
      </c>
      <c r="I265" s="130"/>
      <c r="J265" s="130"/>
      <c r="K265" s="130"/>
      <c r="L265" s="130"/>
      <c r="M265" s="130"/>
      <c r="N265" s="130"/>
      <c r="O265" s="96"/>
    </row>
    <row r="266" spans="1:15" ht="15" x14ac:dyDescent="0.2">
      <c r="A266" s="264"/>
      <c r="B266" s="265"/>
      <c r="C266" s="244"/>
      <c r="D266" s="241"/>
      <c r="E266" s="96" t="s">
        <v>858</v>
      </c>
      <c r="F266" s="96"/>
      <c r="G266" s="96"/>
      <c r="H266" s="93">
        <f t="shared" si="12"/>
        <v>0</v>
      </c>
      <c r="I266" s="130"/>
      <c r="J266" s="130"/>
      <c r="K266" s="130"/>
      <c r="L266" s="130"/>
      <c r="M266" s="130"/>
      <c r="N266" s="130"/>
      <c r="O266" s="96"/>
    </row>
    <row r="267" spans="1:15" ht="15" x14ac:dyDescent="0.2">
      <c r="A267" s="264" t="s">
        <v>474</v>
      </c>
      <c r="B267" s="265" t="s">
        <v>859</v>
      </c>
      <c r="C267" s="247">
        <f>SUM(H267:H272)/COUNTIF(F267:F272,"&gt;""")/4</f>
        <v>0</v>
      </c>
      <c r="D267" s="238" t="s">
        <v>3716</v>
      </c>
      <c r="E267" s="96" t="s">
        <v>475</v>
      </c>
      <c r="F267" s="117" t="s">
        <v>3591</v>
      </c>
      <c r="G267" s="96"/>
      <c r="H267" s="93">
        <f>IF(G267=$G$294,4,IF(G267=$G$295,3,IF(G267=$G$296,2,IF(G267=$G$297,1,0))))</f>
        <v>0</v>
      </c>
      <c r="I267" s="130"/>
      <c r="J267" s="130"/>
      <c r="K267" s="130"/>
      <c r="L267" s="130"/>
      <c r="M267" s="130"/>
      <c r="N267" s="130"/>
      <c r="O267" s="96"/>
    </row>
    <row r="268" spans="1:15" ht="15" x14ac:dyDescent="0.2">
      <c r="A268" s="264"/>
      <c r="B268" s="265"/>
      <c r="C268" s="266"/>
      <c r="D268" s="239"/>
      <c r="E268" s="96" t="s">
        <v>476</v>
      </c>
      <c r="F268" s="117" t="s">
        <v>3703</v>
      </c>
      <c r="G268" s="96"/>
      <c r="H268" s="93">
        <f>IF(G268=$G$294,4,IF(G268=$G$295,3,IF(G268=$G$296,2,IF(G268=$G$297,1,0))))</f>
        <v>0</v>
      </c>
      <c r="I268" s="130"/>
      <c r="J268" s="130"/>
      <c r="K268" s="130"/>
      <c r="L268" s="130"/>
      <c r="M268" s="130"/>
      <c r="N268" s="130"/>
      <c r="O268" s="96"/>
    </row>
    <row r="269" spans="1:15" ht="15" x14ac:dyDescent="0.2">
      <c r="A269" s="264"/>
      <c r="B269" s="265"/>
      <c r="C269" s="266"/>
      <c r="D269" s="239"/>
      <c r="E269" s="96" t="s">
        <v>477</v>
      </c>
      <c r="F269" s="117" t="s">
        <v>3592</v>
      </c>
      <c r="G269" s="96"/>
      <c r="H269" s="93">
        <f>IF(G269=$G$294,4,IF(G269=$G$295,3,IF(G269=$G$296,2,IF(G269=$G$297,1,0))))</f>
        <v>0</v>
      </c>
      <c r="I269" s="130"/>
      <c r="J269" s="130"/>
      <c r="K269" s="130"/>
      <c r="L269" s="130"/>
      <c r="M269" s="130"/>
      <c r="N269" s="130"/>
      <c r="O269" s="96"/>
    </row>
    <row r="270" spans="1:15" ht="15" x14ac:dyDescent="0.2">
      <c r="A270" s="264"/>
      <c r="B270" s="265"/>
      <c r="C270" s="266"/>
      <c r="D270" s="239"/>
      <c r="E270" s="96" t="s">
        <v>478</v>
      </c>
      <c r="F270" s="117" t="s">
        <v>3593</v>
      </c>
      <c r="G270" s="96"/>
      <c r="H270" s="93">
        <f t="shared" ref="H270:H272" si="13">IF(G270=$G$294,4,IF(G270=$G$295,3,IF(G270=$G$296,2,IF(G270=$G$297,1,0))))</f>
        <v>0</v>
      </c>
      <c r="I270" s="130"/>
      <c r="J270" s="130"/>
      <c r="K270" s="130"/>
      <c r="L270" s="130"/>
      <c r="M270" s="130"/>
      <c r="N270" s="130"/>
      <c r="O270" s="96"/>
    </row>
    <row r="271" spans="1:15" ht="15" x14ac:dyDescent="0.2">
      <c r="A271" s="264"/>
      <c r="B271" s="265"/>
      <c r="C271" s="266"/>
      <c r="D271" s="239"/>
      <c r="E271" s="96" t="s">
        <v>860</v>
      </c>
      <c r="F271" s="117" t="s">
        <v>3715</v>
      </c>
      <c r="G271" s="96"/>
      <c r="H271" s="93">
        <f t="shared" si="13"/>
        <v>0</v>
      </c>
      <c r="I271" s="130"/>
      <c r="J271" s="130"/>
      <c r="K271" s="130"/>
      <c r="L271" s="130"/>
      <c r="M271" s="130"/>
      <c r="N271" s="130"/>
      <c r="O271" s="96"/>
    </row>
    <row r="272" spans="1:15" ht="15" x14ac:dyDescent="0.2">
      <c r="A272" s="264"/>
      <c r="B272" s="265"/>
      <c r="C272" s="244"/>
      <c r="D272" s="241"/>
      <c r="E272" s="96" t="s">
        <v>861</v>
      </c>
      <c r="F272" s="96"/>
      <c r="G272" s="96"/>
      <c r="H272" s="93">
        <f t="shared" si="13"/>
        <v>0</v>
      </c>
      <c r="I272" s="130"/>
      <c r="J272" s="130"/>
      <c r="K272" s="130"/>
      <c r="L272" s="130"/>
      <c r="M272" s="130"/>
      <c r="N272" s="130"/>
      <c r="O272" s="96"/>
    </row>
    <row r="273" spans="1:15" ht="15" x14ac:dyDescent="0.2">
      <c r="A273" s="264" t="s">
        <v>479</v>
      </c>
      <c r="B273" s="264" t="s">
        <v>862</v>
      </c>
      <c r="C273" s="247">
        <f>SUM(H273:H277)/COUNTIF(F273:F277,"&gt;""")/4</f>
        <v>0</v>
      </c>
      <c r="D273" s="240" t="s">
        <v>863</v>
      </c>
      <c r="E273" s="96" t="s">
        <v>480</v>
      </c>
      <c r="F273" s="117" t="s">
        <v>3816</v>
      </c>
      <c r="G273" s="96"/>
      <c r="H273" s="93">
        <f>IF(G273=$G$294,4,IF(G273=$G$295,3,IF(G273=$G$296,2,IF(G273=$G$297,1,0))))</f>
        <v>0</v>
      </c>
      <c r="I273" s="130"/>
      <c r="J273" s="130"/>
      <c r="K273" s="130"/>
      <c r="L273" s="130"/>
      <c r="M273" s="130"/>
      <c r="N273" s="130"/>
      <c r="O273" s="96"/>
    </row>
    <row r="274" spans="1:15" ht="15" x14ac:dyDescent="0.2">
      <c r="A274" s="264"/>
      <c r="B274" s="264"/>
      <c r="C274" s="266"/>
      <c r="D274" s="239"/>
      <c r="E274" s="96" t="s">
        <v>481</v>
      </c>
      <c r="F274" s="117" t="s">
        <v>3815</v>
      </c>
      <c r="G274" s="96"/>
      <c r="H274" s="93">
        <f t="shared" ref="H274:H276" si="14">IF(G274=$G$294,4,IF(G274=$G$295,3,IF(G274=$G$296,2,IF(G274=$G$297,1,0))))</f>
        <v>0</v>
      </c>
      <c r="I274" s="130"/>
      <c r="J274" s="130"/>
      <c r="K274" s="130"/>
      <c r="L274" s="130"/>
      <c r="M274" s="130"/>
      <c r="N274" s="130"/>
      <c r="O274" s="96"/>
    </row>
    <row r="275" spans="1:15" ht="15" x14ac:dyDescent="0.2">
      <c r="A275" s="264"/>
      <c r="B275" s="264"/>
      <c r="C275" s="266"/>
      <c r="D275" s="239"/>
      <c r="E275" s="96" t="s">
        <v>482</v>
      </c>
      <c r="F275" s="117" t="s">
        <v>4364</v>
      </c>
      <c r="G275" s="96"/>
      <c r="H275" s="93">
        <f t="shared" si="14"/>
        <v>0</v>
      </c>
      <c r="I275" s="130"/>
      <c r="J275" s="130"/>
      <c r="K275" s="130"/>
      <c r="L275" s="130"/>
      <c r="M275" s="130"/>
      <c r="N275" s="130"/>
      <c r="O275" s="96"/>
    </row>
    <row r="276" spans="1:15" ht="15" x14ac:dyDescent="0.2">
      <c r="A276" s="264"/>
      <c r="B276" s="264"/>
      <c r="C276" s="266"/>
      <c r="D276" s="239"/>
      <c r="E276" s="96" t="s">
        <v>864</v>
      </c>
      <c r="F276" s="117" t="s">
        <v>4365</v>
      </c>
      <c r="G276" s="96"/>
      <c r="H276" s="93">
        <f t="shared" si="14"/>
        <v>0</v>
      </c>
      <c r="I276" s="130"/>
      <c r="J276" s="130"/>
      <c r="K276" s="130"/>
      <c r="L276" s="130"/>
      <c r="M276" s="130"/>
      <c r="N276" s="130"/>
      <c r="O276" s="96"/>
    </row>
    <row r="277" spans="1:15" ht="15" x14ac:dyDescent="0.2">
      <c r="A277" s="264"/>
      <c r="B277" s="264"/>
      <c r="C277" s="244"/>
      <c r="D277" s="241"/>
      <c r="E277" s="96" t="s">
        <v>865</v>
      </c>
      <c r="F277" s="96"/>
      <c r="G277" s="96"/>
      <c r="H277" s="93">
        <f>IF(G277=$G$294,4,IF(G277=$G$295,3,IF(G277=$G$296,2,IF(G277=$G$297,1,0))))</f>
        <v>0</v>
      </c>
      <c r="I277" s="130"/>
      <c r="J277" s="130"/>
      <c r="K277" s="130"/>
      <c r="L277" s="130"/>
      <c r="M277" s="130"/>
      <c r="N277" s="130"/>
      <c r="O277" s="96"/>
    </row>
    <row r="278" spans="1:15" ht="63.75" x14ac:dyDescent="0.2">
      <c r="A278" s="264" t="s">
        <v>866</v>
      </c>
      <c r="B278" s="265" t="s">
        <v>867</v>
      </c>
      <c r="C278" s="237">
        <f>SUM(H278:H287)/COUNTIF(F278:F287,"&gt;""")/4</f>
        <v>0.84375</v>
      </c>
      <c r="D278" s="240" t="s">
        <v>868</v>
      </c>
      <c r="E278" s="96" t="s">
        <v>869</v>
      </c>
      <c r="F278" s="122" t="s">
        <v>1552</v>
      </c>
      <c r="G278" s="96" t="s">
        <v>511</v>
      </c>
      <c r="H278" s="93">
        <f>IF(G278=$G$294,4,IF(G278=$G$295,3,IF(G278=$G$296,2,IF(G278=$G$297,1,0))))</f>
        <v>3</v>
      </c>
      <c r="I278" s="130"/>
      <c r="J278" s="145" t="s">
        <v>54</v>
      </c>
      <c r="K278" s="145" t="s">
        <v>54</v>
      </c>
      <c r="L278" s="130"/>
      <c r="M278" s="145" t="s">
        <v>54</v>
      </c>
      <c r="N278" s="145" t="s">
        <v>54</v>
      </c>
      <c r="O278" s="117" t="s">
        <v>3440</v>
      </c>
    </row>
    <row r="279" spans="1:15" ht="63.75" x14ac:dyDescent="0.2">
      <c r="A279" s="264"/>
      <c r="B279" s="265"/>
      <c r="C279" s="237"/>
      <c r="D279" s="239"/>
      <c r="E279" s="96" t="s">
        <v>870</v>
      </c>
      <c r="F279" s="122" t="s">
        <v>1401</v>
      </c>
      <c r="G279" s="96" t="s">
        <v>511</v>
      </c>
      <c r="H279" s="93">
        <f>IF(G279=$G$294,4,IF(G279=$G$295,3,IF(G279=$G$296,2,IF(G279=$G$297,1,0))))</f>
        <v>3</v>
      </c>
      <c r="I279" s="130"/>
      <c r="J279" s="145" t="s">
        <v>54</v>
      </c>
      <c r="K279" s="145" t="s">
        <v>54</v>
      </c>
      <c r="L279" s="130"/>
      <c r="M279" s="145" t="s">
        <v>54</v>
      </c>
      <c r="N279" s="130"/>
      <c r="O279" s="117" t="s">
        <v>3441</v>
      </c>
    </row>
    <row r="280" spans="1:15" ht="38.25" x14ac:dyDescent="0.2">
      <c r="A280" s="264"/>
      <c r="B280" s="265"/>
      <c r="C280" s="237"/>
      <c r="D280" s="239"/>
      <c r="E280" s="96" t="s">
        <v>871</v>
      </c>
      <c r="F280" s="122" t="s">
        <v>1402</v>
      </c>
      <c r="G280" s="96" t="s">
        <v>511</v>
      </c>
      <c r="H280" s="93">
        <f>IF(G280=$G$294,4,IF(G280=$G$295,3,IF(G280=$G$296,2,IF(G280=$G$297,1,0))))</f>
        <v>3</v>
      </c>
      <c r="I280" s="130"/>
      <c r="J280" s="145" t="s">
        <v>54</v>
      </c>
      <c r="K280" s="130"/>
      <c r="L280" s="130"/>
      <c r="M280" s="130"/>
      <c r="N280" s="145" t="s">
        <v>54</v>
      </c>
      <c r="O280" s="117" t="s">
        <v>3442</v>
      </c>
    </row>
    <row r="281" spans="1:15" ht="25.5" x14ac:dyDescent="0.2">
      <c r="A281" s="264"/>
      <c r="B281" s="265"/>
      <c r="C281" s="237"/>
      <c r="D281" s="239"/>
      <c r="E281" s="96" t="s">
        <v>872</v>
      </c>
      <c r="F281" s="122" t="s">
        <v>1403</v>
      </c>
      <c r="G281" s="96" t="s">
        <v>511</v>
      </c>
      <c r="H281" s="93">
        <f t="shared" ref="H281:H285" si="15">IF(G281=$G$294,4,IF(G281=$G$295,3,IF(G281=$G$296,2,IF(G281=$G$297,1,0))))</f>
        <v>3</v>
      </c>
      <c r="I281" s="130"/>
      <c r="J281" s="130"/>
      <c r="K281" s="130"/>
      <c r="L281" s="130"/>
      <c r="M281" s="130"/>
      <c r="N281" s="145" t="s">
        <v>54</v>
      </c>
      <c r="O281" s="117" t="s">
        <v>3443</v>
      </c>
    </row>
    <row r="282" spans="1:15" ht="15" x14ac:dyDescent="0.2">
      <c r="A282" s="264"/>
      <c r="B282" s="265"/>
      <c r="C282" s="237"/>
      <c r="D282" s="239"/>
      <c r="E282" s="96" t="s">
        <v>873</v>
      </c>
      <c r="F282" s="101" t="s">
        <v>3438</v>
      </c>
      <c r="G282" s="127" t="s">
        <v>528</v>
      </c>
      <c r="H282" s="93">
        <f t="shared" si="15"/>
        <v>4</v>
      </c>
      <c r="I282" s="130"/>
      <c r="J282" s="130"/>
      <c r="K282" s="130"/>
      <c r="L282" s="130"/>
      <c r="M282" s="130"/>
      <c r="N282" s="130"/>
      <c r="O282" s="96"/>
    </row>
    <row r="283" spans="1:15" ht="15" x14ac:dyDescent="0.2">
      <c r="A283" s="264"/>
      <c r="B283" s="265"/>
      <c r="C283" s="237"/>
      <c r="D283" s="239"/>
      <c r="E283" s="96" t="s">
        <v>874</v>
      </c>
      <c r="F283" s="101" t="s">
        <v>3439</v>
      </c>
      <c r="G283" s="127" t="s">
        <v>528</v>
      </c>
      <c r="H283" s="93">
        <f t="shared" si="15"/>
        <v>4</v>
      </c>
      <c r="I283" s="130"/>
      <c r="J283" s="130"/>
      <c r="K283" s="130"/>
      <c r="L283" s="130"/>
      <c r="M283" s="130"/>
      <c r="N283" s="130"/>
      <c r="O283" s="96"/>
    </row>
    <row r="284" spans="1:15" ht="15" x14ac:dyDescent="0.2">
      <c r="A284" s="264"/>
      <c r="B284" s="265"/>
      <c r="C284" s="237"/>
      <c r="D284" s="239"/>
      <c r="E284" s="96" t="s">
        <v>1406</v>
      </c>
      <c r="F284" s="122" t="s">
        <v>1404</v>
      </c>
      <c r="G284" s="96" t="s">
        <v>528</v>
      </c>
      <c r="H284" s="93">
        <f t="shared" si="15"/>
        <v>4</v>
      </c>
      <c r="I284" s="130"/>
      <c r="J284" s="130"/>
      <c r="K284" s="130"/>
      <c r="L284" s="130"/>
      <c r="M284" s="130"/>
      <c r="N284" s="130"/>
      <c r="O284" s="117"/>
    </row>
    <row r="285" spans="1:15" ht="38.25" x14ac:dyDescent="0.2">
      <c r="A285" s="264"/>
      <c r="B285" s="265"/>
      <c r="C285" s="237"/>
      <c r="D285" s="239"/>
      <c r="E285" s="96" t="s">
        <v>1407</v>
      </c>
      <c r="F285" s="122" t="s">
        <v>1405</v>
      </c>
      <c r="G285" s="96" t="s">
        <v>511</v>
      </c>
      <c r="H285" s="93">
        <f t="shared" si="15"/>
        <v>3</v>
      </c>
      <c r="I285" s="130"/>
      <c r="J285" s="130"/>
      <c r="K285" s="130"/>
      <c r="L285" s="130"/>
      <c r="M285" s="130"/>
      <c r="N285" s="130"/>
      <c r="O285" s="117" t="s">
        <v>3444</v>
      </c>
    </row>
    <row r="286" spans="1:15" ht="15" x14ac:dyDescent="0.2">
      <c r="A286" s="264"/>
      <c r="B286" s="265"/>
      <c r="C286" s="237"/>
      <c r="D286" s="239"/>
      <c r="E286" s="96" t="s">
        <v>873</v>
      </c>
      <c r="F286" s="96"/>
      <c r="G286" s="96"/>
      <c r="H286" s="93">
        <f>IF(G286=$G$294,4,IF(G286=$G$295,3,IF(G286=$G$296,2,IF(G286=$G$297,1,0))))</f>
        <v>0</v>
      </c>
      <c r="I286" s="130"/>
      <c r="J286" s="130"/>
      <c r="K286" s="130"/>
      <c r="L286" s="130"/>
      <c r="M286" s="130"/>
      <c r="N286" s="130"/>
      <c r="O286" s="96"/>
    </row>
    <row r="287" spans="1:15" ht="15" x14ac:dyDescent="0.2">
      <c r="A287" s="264"/>
      <c r="B287" s="265"/>
      <c r="C287" s="237"/>
      <c r="D287" s="241"/>
      <c r="E287" s="96" t="s">
        <v>874</v>
      </c>
      <c r="F287" s="96"/>
      <c r="G287" s="96"/>
      <c r="H287" s="11">
        <f>IF(G287=$G$294,4,IF(G287=$G$295,3,IF(G287=$G$296,2,IF(G287=$G$297,1,0))))</f>
        <v>0</v>
      </c>
      <c r="I287" s="130"/>
      <c r="J287" s="130"/>
      <c r="K287" s="130"/>
      <c r="L287" s="130"/>
      <c r="M287" s="130"/>
      <c r="N287" s="130"/>
      <c r="O287" s="96"/>
    </row>
    <row r="288" spans="1:15" ht="15" x14ac:dyDescent="0.2">
      <c r="F288" s="147"/>
    </row>
    <row r="289" spans="6:7" ht="15" x14ac:dyDescent="0.2">
      <c r="F289" s="147"/>
    </row>
    <row r="290" spans="6:7" ht="15" x14ac:dyDescent="0.2">
      <c r="F290" s="147"/>
    </row>
    <row r="291" spans="6:7" ht="15" x14ac:dyDescent="0.2">
      <c r="F291" s="147"/>
    </row>
    <row r="292" spans="6:7" ht="15" x14ac:dyDescent="0.2">
      <c r="F292" s="147"/>
    </row>
    <row r="293" spans="6:7" ht="15" x14ac:dyDescent="0.2">
      <c r="F293" s="147"/>
    </row>
    <row r="294" spans="6:7" ht="15" x14ac:dyDescent="0.2">
      <c r="F294" s="147"/>
      <c r="G294" s="16" t="s">
        <v>528</v>
      </c>
    </row>
    <row r="295" spans="6:7" ht="15" x14ac:dyDescent="0.2">
      <c r="F295" s="147"/>
      <c r="G295" s="16" t="s">
        <v>511</v>
      </c>
    </row>
    <row r="296" spans="6:7" x14ac:dyDescent="0.2">
      <c r="G296" s="16" t="s">
        <v>515</v>
      </c>
    </row>
    <row r="297" spans="6:7" x14ac:dyDescent="0.2">
      <c r="G297" s="16" t="s">
        <v>505</v>
      </c>
    </row>
    <row r="298" spans="6:7" x14ac:dyDescent="0.2">
      <c r="G298" s="16" t="s">
        <v>507</v>
      </c>
    </row>
  </sheetData>
  <mergeCells count="115">
    <mergeCell ref="A1:D1"/>
    <mergeCell ref="A2:D2"/>
    <mergeCell ref="A3:D3"/>
    <mergeCell ref="A4:D4"/>
    <mergeCell ref="A5:D5"/>
    <mergeCell ref="A6:D6"/>
    <mergeCell ref="A23:A29"/>
    <mergeCell ref="B23:B29"/>
    <mergeCell ref="C23:C29"/>
    <mergeCell ref="D23:D29"/>
    <mergeCell ref="A17:A22"/>
    <mergeCell ref="B17:B22"/>
    <mergeCell ref="C17:C22"/>
    <mergeCell ref="D17:D22"/>
    <mergeCell ref="G8:H8"/>
    <mergeCell ref="A9:A16"/>
    <mergeCell ref="B9:B16"/>
    <mergeCell ref="C9:C16"/>
    <mergeCell ref="D9:D16"/>
    <mergeCell ref="A50:A56"/>
    <mergeCell ref="B50:B56"/>
    <mergeCell ref="C50:C56"/>
    <mergeCell ref="D50:D56"/>
    <mergeCell ref="A43:A49"/>
    <mergeCell ref="B43:B49"/>
    <mergeCell ref="C43:C49"/>
    <mergeCell ref="D43:D49"/>
    <mergeCell ref="A30:A42"/>
    <mergeCell ref="B30:B42"/>
    <mergeCell ref="C30:C42"/>
    <mergeCell ref="D30:D42"/>
    <mergeCell ref="A81:A88"/>
    <mergeCell ref="B81:B88"/>
    <mergeCell ref="C81:C88"/>
    <mergeCell ref="D81:D88"/>
    <mergeCell ref="A71:A79"/>
    <mergeCell ref="B71:B79"/>
    <mergeCell ref="C71:C79"/>
    <mergeCell ref="D71:D79"/>
    <mergeCell ref="A57:A70"/>
    <mergeCell ref="B57:B70"/>
    <mergeCell ref="C57:C70"/>
    <mergeCell ref="D57:D70"/>
    <mergeCell ref="A110:A117"/>
    <mergeCell ref="B110:B117"/>
    <mergeCell ref="C110:C117"/>
    <mergeCell ref="D110:D117"/>
    <mergeCell ref="A102:A109"/>
    <mergeCell ref="B102:B109"/>
    <mergeCell ref="C102:C109"/>
    <mergeCell ref="D102:D109"/>
    <mergeCell ref="A89:A101"/>
    <mergeCell ref="B89:B101"/>
    <mergeCell ref="C89:C101"/>
    <mergeCell ref="D89:D101"/>
    <mergeCell ref="A142:A152"/>
    <mergeCell ref="B142:B152"/>
    <mergeCell ref="C142:C152"/>
    <mergeCell ref="D142:D152"/>
    <mergeCell ref="A129:A141"/>
    <mergeCell ref="B129:B141"/>
    <mergeCell ref="C129:C141"/>
    <mergeCell ref="D129:D141"/>
    <mergeCell ref="A118:A128"/>
    <mergeCell ref="B118:B128"/>
    <mergeCell ref="C118:C128"/>
    <mergeCell ref="D118:D128"/>
    <mergeCell ref="A177:A186"/>
    <mergeCell ref="B177:B186"/>
    <mergeCell ref="C177:C186"/>
    <mergeCell ref="D177:D186"/>
    <mergeCell ref="A168:A176"/>
    <mergeCell ref="B168:B176"/>
    <mergeCell ref="C168:C176"/>
    <mergeCell ref="D168:D176"/>
    <mergeCell ref="A153:A167"/>
    <mergeCell ref="B153:B167"/>
    <mergeCell ref="C153:C167"/>
    <mergeCell ref="D153:D167"/>
    <mergeCell ref="A223:A231"/>
    <mergeCell ref="B223:B231"/>
    <mergeCell ref="C223:C231"/>
    <mergeCell ref="D223:D231"/>
    <mergeCell ref="A205:A222"/>
    <mergeCell ref="B205:B222"/>
    <mergeCell ref="C205:C222"/>
    <mergeCell ref="D205:D222"/>
    <mergeCell ref="A188:A204"/>
    <mergeCell ref="B188:B204"/>
    <mergeCell ref="C188:C204"/>
    <mergeCell ref="D188:D204"/>
    <mergeCell ref="A259:A266"/>
    <mergeCell ref="B259:B266"/>
    <mergeCell ref="C259:C266"/>
    <mergeCell ref="D259:D266"/>
    <mergeCell ref="A244:A258"/>
    <mergeCell ref="B244:B258"/>
    <mergeCell ref="C244:C258"/>
    <mergeCell ref="D244:D258"/>
    <mergeCell ref="A232:A243"/>
    <mergeCell ref="B232:B243"/>
    <mergeCell ref="C232:C243"/>
    <mergeCell ref="D232:D243"/>
    <mergeCell ref="A278:A287"/>
    <mergeCell ref="B278:B287"/>
    <mergeCell ref="C278:C287"/>
    <mergeCell ref="D278:D287"/>
    <mergeCell ref="A273:A277"/>
    <mergeCell ref="B273:B277"/>
    <mergeCell ref="C273:C277"/>
    <mergeCell ref="D273:D277"/>
    <mergeCell ref="A267:A272"/>
    <mergeCell ref="B267:B272"/>
    <mergeCell ref="C267:C272"/>
    <mergeCell ref="D267:D272"/>
  </mergeCells>
  <phoneticPr fontId="14" type="noConversion"/>
  <conditionalFormatting sqref="C9:C79 C81:C186 C188:C287">
    <cfRule type="cellIs" dxfId="8" priority="1" operator="greaterThan">
      <formula>0.79</formula>
    </cfRule>
    <cfRule type="cellIs" dxfId="7" priority="2" stopIfTrue="1" operator="between">
      <formula>0.6</formula>
      <formula>0.79</formula>
    </cfRule>
    <cfRule type="cellIs" dxfId="6" priority="3" operator="lessThan">
      <formula>0.6</formula>
    </cfRule>
  </conditionalFormatting>
  <dataValidations count="1">
    <dataValidation type="list" allowBlank="1" showInputMessage="1" showErrorMessage="1" sqref="G152:G165 G9:G88 G168:G287 G125:G141 G102:G104 G107:G117 G119:G123" xr:uid="{6C10513B-87E0-2147-98BF-D6CAA2F9CCB8}">
      <formula1>$G$294:$G$298</formula1>
    </dataValidation>
  </dataValidations>
  <hyperlinks>
    <hyperlink ref="B177:B186" location="'C10'!A1" display="C10. Manage Client Relationships and Account Growth" xr:uid="{1FA3D941-FF53-F943-B1E7-3EC43E485817}"/>
    <hyperlink ref="B168:B176" location="'C9'!A1" display="C9. Manage Commercial Transactions" xr:uid="{F469CB6F-9676-334D-BE17-EC7A2B55520E}"/>
    <hyperlink ref="B153:B167" location="'C8'!A1" display="C8. Deliver Products and Services " xr:uid="{B4A4E9E2-74D3-3C45-9C55-55BFB9CAA401}"/>
    <hyperlink ref="B142:B152" location="'C7'!A1" display="C7. Manage Public Services (Sovereign Data and Public Infrastructure)" xr:uid="{F49C655C-2674-8D46-9191-057F56614B25}"/>
    <hyperlink ref="B129:B141" location="'C6'!A1" display="'C6'!A1" xr:uid="{4E2D3B2F-5118-C045-9946-BA4345184741}"/>
    <hyperlink ref="B118:B128" location="'C5'!A1" display="C5. Sell and Contract Digital Solutions and Services (Create demand) and sales channels" xr:uid="{E7568A50-AC49-7449-9D68-A0231F30D529}"/>
    <hyperlink ref="B110:B117" location="'C4'!A1" display="C4. Manage Service Life-cycle &amp; delivery channels" xr:uid="{80C96166-AC95-EE4F-BE4D-D785A166A3E4}"/>
    <hyperlink ref="B102:B109" location="'C3'!A1" display="C3. Market  Products and Services and channels " xr:uid="{E817B845-7C48-8C4B-BCFD-6FC241075D3B}"/>
    <hyperlink ref="B89:B101" location="'C2'!C2" display="C2. Design, Develop &amp; Engineer Products, Services and Delivery Channels" xr:uid="{BBF56739-1D91-DD43-8820-D884D14E4DE4}"/>
    <hyperlink ref="B81:B88" location="'C1'!A1" display="C1. Sense and Research Digital Demand (Government and Commercial)" xr:uid="{B3F76CED-C9ED-624A-8272-2D946B2A9CAA}"/>
    <hyperlink ref="B71:B79" location="'M8'!A1" display="M8. Manage Business Process Optimisation and Quality Assurance (BPMS &amp; EQMS)" xr:uid="{1A75D533-BA4B-FD4D-91B3-B729CD42C501}"/>
    <hyperlink ref="B57:B70" location="'M7'!A1" display="M7. Manage Innovation and  Portfolio Execution (EPMO)" xr:uid="{60D7F86A-B8A9-624B-B1E8-ED87AA871559}"/>
    <hyperlink ref="B50:B56" location="'M6'!A1" display="M6. Manage Partnership Ecosystem Development" xr:uid="{BC18F8A6-7928-074B-9818-5C8FFB0AD675}"/>
    <hyperlink ref="B43:B49" location="'M5'!A1" display="M5. Manage Business Performance, Monitoring and Evaluation" xr:uid="{0FFC6076-DCCD-684C-A5DF-3CC4242EC758}"/>
    <hyperlink ref="B30:B42" location="'M4'!A1" display="M4. Manage Enterprise Governance, Risk,  Compliance / Resiliency (GRC)" xr:uid="{045D80B2-539C-8D44-9D22-B01C70B6CA64}"/>
    <hyperlink ref="B23:B29" location="'M3'!A1" display="M3. Manage reputation and Stakeholder Relations " xr:uid="{78B8ABA5-AD15-144A-A103-05B38F442069}"/>
    <hyperlink ref="B17:B22" location="'M2'!A1" display="M2. Manage Enterprise Digital Governance and Architecture" xr:uid="{2C015D91-5CBA-534C-8CE6-35B29CE73043}"/>
    <hyperlink ref="B9:B16" location="'M1'!A1" display="M1. Manage Corporate Strategy &amp; Planning" xr:uid="{F4451138-EBFA-EA4E-A266-AD2C2AEF522F}"/>
    <hyperlink ref="B188:B204" location="'S1 Fin'!A1" display="S1. Manage Finance" xr:uid="{A7BEA638-9CA5-B14E-83E4-B975C04FAD52}"/>
    <hyperlink ref="B205:B222" location="S2_HCM!A1" display="S2. Manage Human Capital" xr:uid="{E4328742-8A32-A14D-892C-C99E235A100E}"/>
    <hyperlink ref="B223:B231" location="'S3 SCM'!A1" display="S3. Manage Internal Procurement and Contracting" xr:uid="{F0628D82-CF8B-ED4D-A875-50D9384FD8F7}"/>
    <hyperlink ref="B232:B243" location="'S4_IIT&amp;EUC'!A1" display="S4. Manage Internal ICT and BI Services" xr:uid="{EC01C8B3-B9A2-EF4D-B5F5-69C2F8B1CD7E}"/>
    <hyperlink ref="B278:B287" location="'S9 Legal'!A1" display="S9 Manage Corporate Legal Support" xr:uid="{099278BC-8B36-4A4E-9094-2C268CDFDB17}"/>
    <hyperlink ref="B267:B272" location="'S7 MK'!A1" display="S7. Manage Knowledge, Records and Information Governance" xr:uid="{0862F3F7-9E96-B841-AB4E-958B2F631605}"/>
    <hyperlink ref="B244:B258" location="'S5 Facilities'!A1" display="S5. Manage Facilities, Logistics and Safety" xr:uid="{C5209C7F-A8FE-4D44-9254-BD2B8285274C}"/>
    <hyperlink ref="B259:B266" location="'S6 Security'!A1" display="S6. Manage Physical Security (Internal)" xr:uid="{EF8B7494-4C54-0E42-8B00-494D096C4DF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75B6-17CA-1B47-9F47-C2F31E805B07}">
  <sheetPr>
    <tabColor rgb="FFFFFF00"/>
  </sheetPr>
  <dimension ref="A1:AD268"/>
  <sheetViews>
    <sheetView showGridLines="0" zoomScale="116" workbookViewId="0">
      <selection activeCell="B1" sqref="B1"/>
    </sheetView>
  </sheetViews>
  <sheetFormatPr defaultColWidth="10.7109375" defaultRowHeight="12.75" x14ac:dyDescent="0.2"/>
  <cols>
    <col min="1" max="1" width="6.7109375" style="16" customWidth="1"/>
    <col min="2" max="2" width="16.85546875" style="16" customWidth="1"/>
    <col min="3" max="3" width="7.28515625" style="128" hidden="1" customWidth="1"/>
    <col min="4" max="4" width="41.7109375" style="16" customWidth="1"/>
    <col min="5" max="5" width="6.28515625" style="16" customWidth="1"/>
    <col min="6" max="6" width="54" style="16" customWidth="1"/>
    <col min="7" max="7" width="17.42578125" customWidth="1"/>
    <col min="8" max="8" width="98" customWidth="1"/>
    <col min="9" max="9" width="8.7109375" hidden="1" customWidth="1"/>
    <col min="10" max="30" width="6.42578125" hidden="1" customWidth="1"/>
  </cols>
  <sheetData>
    <row r="1" spans="1:30" x14ac:dyDescent="0.2">
      <c r="J1" s="233" t="s">
        <v>4299</v>
      </c>
      <c r="K1" s="233"/>
      <c r="L1" s="233"/>
      <c r="M1" s="233"/>
      <c r="N1" s="233"/>
      <c r="O1" s="233"/>
      <c r="P1" s="233"/>
      <c r="Q1" s="233"/>
      <c r="R1" s="233"/>
      <c r="S1" s="233"/>
      <c r="T1" s="233"/>
      <c r="U1" s="233"/>
      <c r="V1" s="233"/>
      <c r="W1" s="233"/>
      <c r="X1" s="233"/>
      <c r="Y1" s="233"/>
      <c r="Z1" s="233"/>
      <c r="AA1" s="233"/>
      <c r="AB1" s="233"/>
      <c r="AC1" s="233"/>
      <c r="AD1" s="233"/>
    </row>
    <row r="2" spans="1:30" s="128" customFormat="1" ht="44.1" customHeight="1" x14ac:dyDescent="0.2">
      <c r="A2" s="191" t="s">
        <v>491</v>
      </c>
      <c r="B2" s="192" t="s">
        <v>340</v>
      </c>
      <c r="C2" s="192" t="s">
        <v>492</v>
      </c>
      <c r="D2" s="192" t="s">
        <v>185</v>
      </c>
      <c r="E2" s="192" t="s">
        <v>491</v>
      </c>
      <c r="F2" s="192" t="s">
        <v>493</v>
      </c>
      <c r="G2" s="192" t="s">
        <v>4293</v>
      </c>
      <c r="H2" s="192" t="s">
        <v>4292</v>
      </c>
      <c r="J2" s="195" t="s">
        <v>4304</v>
      </c>
      <c r="K2" s="195" t="s">
        <v>4305</v>
      </c>
      <c r="L2" s="195" t="s">
        <v>4300</v>
      </c>
      <c r="M2" s="195" t="s">
        <v>4315</v>
      </c>
      <c r="N2" s="195" t="s">
        <v>4306</v>
      </c>
      <c r="O2" s="195" t="s">
        <v>4307</v>
      </c>
      <c r="P2" s="195" t="s">
        <v>4302</v>
      </c>
      <c r="Q2" s="195" t="s">
        <v>4308</v>
      </c>
      <c r="R2" s="195" t="s">
        <v>4301</v>
      </c>
      <c r="S2" s="195" t="s">
        <v>4309</v>
      </c>
      <c r="T2" s="195" t="s">
        <v>4310</v>
      </c>
      <c r="U2" s="195" t="s">
        <v>4311</v>
      </c>
      <c r="V2" s="195" t="s">
        <v>4303</v>
      </c>
      <c r="W2" s="195" t="s">
        <v>4316</v>
      </c>
      <c r="X2" s="195" t="s">
        <v>4312</v>
      </c>
      <c r="Y2" s="195" t="s">
        <v>4313</v>
      </c>
      <c r="Z2" s="195" t="s">
        <v>4314</v>
      </c>
      <c r="AA2" s="195"/>
      <c r="AB2" s="195"/>
      <c r="AC2" s="195"/>
      <c r="AD2" s="195"/>
    </row>
    <row r="3" spans="1:30" x14ac:dyDescent="0.2">
      <c r="A3" s="242" t="s">
        <v>342</v>
      </c>
      <c r="B3" s="243" t="s">
        <v>502</v>
      </c>
      <c r="C3" s="244">
        <f>SUM(H3:H10)/COUNTIF(F3:F10,"&gt;""")/4</f>
        <v>0</v>
      </c>
      <c r="D3" s="239" t="s">
        <v>503</v>
      </c>
      <c r="E3" s="97" t="s">
        <v>343</v>
      </c>
      <c r="F3" s="183" t="s">
        <v>504</v>
      </c>
      <c r="G3" s="190" t="s">
        <v>4290</v>
      </c>
      <c r="H3" s="190"/>
      <c r="J3" s="194" t="s">
        <v>54</v>
      </c>
      <c r="K3" s="189"/>
      <c r="L3" s="189"/>
      <c r="M3" s="189"/>
      <c r="N3" s="189"/>
      <c r="O3" s="189"/>
      <c r="P3" s="189"/>
      <c r="Q3" s="194" t="s">
        <v>54</v>
      </c>
      <c r="R3" s="189"/>
      <c r="S3" s="189"/>
      <c r="T3" s="189"/>
      <c r="U3" s="189"/>
      <c r="V3" s="189"/>
      <c r="W3" s="194" t="s">
        <v>54</v>
      </c>
      <c r="X3" s="189"/>
      <c r="Y3" s="189"/>
      <c r="Z3" s="189"/>
      <c r="AA3" s="189"/>
      <c r="AB3" s="189"/>
      <c r="AC3" s="189"/>
      <c r="AD3" s="189"/>
    </row>
    <row r="4" spans="1:30" x14ac:dyDescent="0.2">
      <c r="A4" s="234"/>
      <c r="B4" s="235"/>
      <c r="C4" s="237"/>
      <c r="D4" s="239"/>
      <c r="E4" s="95" t="s">
        <v>344</v>
      </c>
      <c r="F4" s="177" t="s">
        <v>506</v>
      </c>
      <c r="G4" s="189" t="s">
        <v>4291</v>
      </c>
      <c r="H4" s="189"/>
      <c r="J4" s="194" t="s">
        <v>54</v>
      </c>
      <c r="K4" s="189"/>
      <c r="L4" s="189"/>
      <c r="M4" s="189"/>
      <c r="N4" s="189"/>
      <c r="O4" s="194" t="s">
        <v>54</v>
      </c>
      <c r="P4" s="189"/>
      <c r="Q4" s="194" t="s">
        <v>54</v>
      </c>
      <c r="R4" s="189"/>
      <c r="S4" s="189"/>
      <c r="T4" s="189"/>
      <c r="U4" s="189"/>
      <c r="V4" s="194" t="s">
        <v>54</v>
      </c>
      <c r="W4" s="189"/>
      <c r="X4" s="189"/>
      <c r="Y4" s="189"/>
      <c r="Z4" s="189"/>
      <c r="AA4" s="189"/>
      <c r="AB4" s="189"/>
      <c r="AC4" s="189"/>
      <c r="AD4" s="189"/>
    </row>
    <row r="5" spans="1:30" x14ac:dyDescent="0.2">
      <c r="A5" s="234"/>
      <c r="B5" s="235"/>
      <c r="C5" s="237"/>
      <c r="D5" s="239"/>
      <c r="E5" s="95" t="s">
        <v>345</v>
      </c>
      <c r="F5" s="177" t="s">
        <v>508</v>
      </c>
      <c r="G5" s="189" t="s">
        <v>4289</v>
      </c>
      <c r="H5" s="189"/>
      <c r="J5" s="194" t="s">
        <v>54</v>
      </c>
      <c r="K5" s="189"/>
      <c r="L5" s="194" t="s">
        <v>54</v>
      </c>
      <c r="M5" s="189"/>
      <c r="N5" s="189"/>
      <c r="O5" s="189"/>
      <c r="P5" s="189"/>
      <c r="Q5" s="194" t="s">
        <v>54</v>
      </c>
      <c r="R5" s="189"/>
      <c r="S5" s="189"/>
      <c r="T5" s="189"/>
      <c r="U5" s="189"/>
      <c r="V5" s="189"/>
      <c r="W5" s="189"/>
      <c r="X5" s="189"/>
      <c r="Y5" s="189"/>
      <c r="Z5" s="189"/>
      <c r="AA5" s="189"/>
      <c r="AB5" s="189"/>
      <c r="AC5" s="189"/>
      <c r="AD5" s="189"/>
    </row>
    <row r="6" spans="1:30" x14ac:dyDescent="0.2">
      <c r="A6" s="234"/>
      <c r="B6" s="235"/>
      <c r="C6" s="237"/>
      <c r="D6" s="239"/>
      <c r="E6" s="95" t="s">
        <v>346</v>
      </c>
      <c r="F6" s="177" t="s">
        <v>510</v>
      </c>
      <c r="G6" s="189" t="s">
        <v>4290</v>
      </c>
      <c r="H6" s="189"/>
      <c r="J6" s="194" t="s">
        <v>54</v>
      </c>
      <c r="K6" s="189"/>
      <c r="L6" s="189"/>
      <c r="M6" s="189"/>
      <c r="N6" s="189"/>
      <c r="O6" s="189"/>
      <c r="P6" s="189"/>
      <c r="Q6" s="194" t="s">
        <v>54</v>
      </c>
      <c r="R6" s="189"/>
      <c r="S6" s="189"/>
      <c r="T6" s="189"/>
      <c r="U6" s="189"/>
      <c r="V6" s="189"/>
      <c r="W6" s="189"/>
      <c r="X6" s="189"/>
      <c r="Y6" s="189"/>
      <c r="Z6" s="189"/>
      <c r="AA6" s="189"/>
      <c r="AB6" s="189"/>
      <c r="AC6" s="189"/>
      <c r="AD6" s="189"/>
    </row>
    <row r="7" spans="1:30" x14ac:dyDescent="0.2">
      <c r="A7" s="234"/>
      <c r="B7" s="235"/>
      <c r="C7" s="237"/>
      <c r="D7" s="239"/>
      <c r="E7" s="95" t="s">
        <v>347</v>
      </c>
      <c r="F7" s="177" t="s">
        <v>512</v>
      </c>
      <c r="G7" s="189" t="s">
        <v>4289</v>
      </c>
      <c r="H7" s="189"/>
      <c r="J7" s="194" t="s">
        <v>54</v>
      </c>
      <c r="K7" s="189"/>
      <c r="L7" s="189"/>
      <c r="M7" s="189"/>
      <c r="N7" s="189"/>
      <c r="O7" s="189"/>
      <c r="P7" s="189"/>
      <c r="Q7" s="194" t="s">
        <v>54</v>
      </c>
      <c r="R7" s="189"/>
      <c r="S7" s="189"/>
      <c r="T7" s="189"/>
      <c r="U7" s="189"/>
      <c r="V7" s="189"/>
      <c r="W7" s="189"/>
      <c r="X7" s="189"/>
      <c r="Y7" s="189"/>
      <c r="Z7" s="189"/>
      <c r="AA7" s="189"/>
      <c r="AB7" s="189"/>
      <c r="AC7" s="189"/>
      <c r="AD7" s="189"/>
    </row>
    <row r="8" spans="1:30" x14ac:dyDescent="0.2">
      <c r="A8" s="234"/>
      <c r="B8" s="235"/>
      <c r="C8" s="237"/>
      <c r="D8" s="239"/>
      <c r="E8" s="95" t="s">
        <v>513</v>
      </c>
      <c r="F8" s="179" t="s">
        <v>1466</v>
      </c>
      <c r="G8" s="189" t="s">
        <v>4291</v>
      </c>
      <c r="H8" s="189"/>
      <c r="J8" s="194" t="s">
        <v>54</v>
      </c>
      <c r="K8" s="189"/>
      <c r="L8" s="189"/>
      <c r="M8" s="189"/>
      <c r="N8" s="189"/>
      <c r="O8" s="189"/>
      <c r="P8" s="189"/>
      <c r="Q8" s="194" t="s">
        <v>54</v>
      </c>
      <c r="R8" s="189"/>
      <c r="S8" s="189"/>
      <c r="T8" s="189"/>
      <c r="U8" s="189"/>
      <c r="V8" s="189"/>
      <c r="W8" s="189"/>
      <c r="X8" s="189"/>
      <c r="Y8" s="189"/>
      <c r="Z8" s="189"/>
      <c r="AA8" s="189"/>
      <c r="AB8" s="189"/>
      <c r="AC8" s="189"/>
      <c r="AD8" s="189"/>
    </row>
    <row r="9" spans="1:30" x14ac:dyDescent="0.2">
      <c r="A9" s="234"/>
      <c r="B9" s="235"/>
      <c r="C9" s="237"/>
      <c r="D9" s="239"/>
      <c r="E9" s="95" t="s">
        <v>517</v>
      </c>
      <c r="F9" s="179" t="s">
        <v>946</v>
      </c>
      <c r="G9" s="189" t="s">
        <v>4290</v>
      </c>
      <c r="H9" s="189"/>
      <c r="J9" s="194" t="s">
        <v>54</v>
      </c>
      <c r="K9" s="189"/>
      <c r="L9" s="189"/>
      <c r="M9" s="189"/>
      <c r="N9" s="189"/>
      <c r="O9" s="189"/>
      <c r="P9" s="189"/>
      <c r="Q9" s="194" t="s">
        <v>54</v>
      </c>
      <c r="R9" s="189"/>
      <c r="S9" s="189"/>
      <c r="T9" s="189"/>
      <c r="U9" s="189"/>
      <c r="V9" s="189"/>
      <c r="W9" s="189"/>
      <c r="X9" s="189"/>
      <c r="Y9" s="189"/>
      <c r="Z9" s="189"/>
      <c r="AA9" s="189"/>
      <c r="AB9" s="189"/>
      <c r="AC9" s="189"/>
      <c r="AD9" s="189"/>
    </row>
    <row r="10" spans="1:30" x14ac:dyDescent="0.2">
      <c r="A10" s="234"/>
      <c r="B10" s="235"/>
      <c r="C10" s="237"/>
      <c r="D10" s="241"/>
      <c r="E10" s="95" t="s">
        <v>518</v>
      </c>
      <c r="F10" s="177"/>
      <c r="G10" s="189"/>
      <c r="H10" s="189"/>
      <c r="J10" s="189"/>
      <c r="K10" s="189"/>
      <c r="L10" s="189"/>
      <c r="M10" s="189"/>
      <c r="N10" s="189"/>
      <c r="O10" s="189"/>
      <c r="P10" s="189"/>
      <c r="Q10" s="189"/>
      <c r="R10" s="189"/>
      <c r="S10" s="189"/>
      <c r="T10" s="189"/>
      <c r="U10" s="189"/>
      <c r="V10" s="189"/>
      <c r="W10" s="189"/>
      <c r="X10" s="189"/>
      <c r="Y10" s="189"/>
      <c r="Z10" s="189"/>
      <c r="AA10" s="189"/>
      <c r="AB10" s="189"/>
      <c r="AC10" s="189"/>
      <c r="AD10" s="189"/>
    </row>
    <row r="11" spans="1:30" ht="25.5" x14ac:dyDescent="0.2">
      <c r="A11" s="234" t="s">
        <v>348</v>
      </c>
      <c r="B11" s="235" t="s">
        <v>519</v>
      </c>
      <c r="C11" s="236">
        <f>SUM(H11:H15)/COUNTIF(F11:F15,"&gt;""")/4</f>
        <v>0</v>
      </c>
      <c r="D11" s="240" t="s">
        <v>520</v>
      </c>
      <c r="E11" s="99" t="s">
        <v>349</v>
      </c>
      <c r="F11" s="177" t="s">
        <v>521</v>
      </c>
      <c r="G11" s="189" t="s">
        <v>4290</v>
      </c>
      <c r="H11" s="189"/>
      <c r="J11" s="189"/>
      <c r="K11" s="189"/>
      <c r="L11" s="189"/>
      <c r="M11" s="189"/>
      <c r="N11" s="189"/>
      <c r="O11" s="194" t="s">
        <v>54</v>
      </c>
      <c r="P11" s="189"/>
      <c r="Q11" s="189"/>
      <c r="R11" s="189"/>
      <c r="S11" s="189"/>
      <c r="T11" s="189"/>
      <c r="U11" s="189"/>
      <c r="V11" s="189"/>
      <c r="W11" s="189"/>
      <c r="X11" s="189"/>
      <c r="Y11" s="189"/>
      <c r="Z11" s="189"/>
      <c r="AA11" s="189"/>
      <c r="AB11" s="189"/>
      <c r="AC11" s="189"/>
      <c r="AD11" s="189"/>
    </row>
    <row r="12" spans="1:30" x14ac:dyDescent="0.2">
      <c r="A12" s="234"/>
      <c r="B12" s="235"/>
      <c r="C12" s="237"/>
      <c r="D12" s="239"/>
      <c r="E12" s="99" t="s">
        <v>350</v>
      </c>
      <c r="F12" s="177" t="s">
        <v>522</v>
      </c>
      <c r="G12" s="189" t="s">
        <v>4290</v>
      </c>
      <c r="H12" s="189"/>
      <c r="J12" s="189"/>
      <c r="K12" s="189"/>
      <c r="L12" s="189"/>
      <c r="M12" s="189"/>
      <c r="N12" s="189"/>
      <c r="O12" s="194" t="s">
        <v>54</v>
      </c>
      <c r="P12" s="189"/>
      <c r="Q12" s="189"/>
      <c r="R12" s="189"/>
      <c r="S12" s="189"/>
      <c r="T12" s="189"/>
      <c r="U12" s="189"/>
      <c r="V12" s="189"/>
      <c r="W12" s="189"/>
      <c r="X12" s="189"/>
      <c r="Y12" s="189"/>
      <c r="Z12" s="189"/>
      <c r="AA12" s="189"/>
      <c r="AB12" s="189"/>
      <c r="AC12" s="189"/>
      <c r="AD12" s="189"/>
    </row>
    <row r="13" spans="1:30" x14ac:dyDescent="0.2">
      <c r="A13" s="234"/>
      <c r="B13" s="235"/>
      <c r="C13" s="237"/>
      <c r="D13" s="239"/>
      <c r="E13" s="99" t="s">
        <v>351</v>
      </c>
      <c r="F13" s="177" t="s">
        <v>523</v>
      </c>
      <c r="G13" s="189" t="s">
        <v>4290</v>
      </c>
      <c r="H13" s="189"/>
      <c r="J13" s="189"/>
      <c r="K13" s="189"/>
      <c r="L13" s="189"/>
      <c r="M13" s="189"/>
      <c r="N13" s="189"/>
      <c r="O13" s="194" t="s">
        <v>54</v>
      </c>
      <c r="P13" s="189"/>
      <c r="Q13" s="189"/>
      <c r="R13" s="189"/>
      <c r="S13" s="189"/>
      <c r="T13" s="189"/>
      <c r="U13" s="189"/>
      <c r="V13" s="189"/>
      <c r="W13" s="189"/>
      <c r="X13" s="189"/>
      <c r="Y13" s="189"/>
      <c r="Z13" s="189"/>
      <c r="AA13" s="189"/>
      <c r="AB13" s="189"/>
      <c r="AC13" s="189"/>
      <c r="AD13" s="189"/>
    </row>
    <row r="14" spans="1:30" x14ac:dyDescent="0.2">
      <c r="A14" s="234"/>
      <c r="B14" s="235"/>
      <c r="C14" s="237"/>
      <c r="D14" s="239"/>
      <c r="E14" s="99" t="s">
        <v>352</v>
      </c>
      <c r="F14" s="177" t="s">
        <v>524</v>
      </c>
      <c r="G14" s="189" t="s">
        <v>4290</v>
      </c>
      <c r="H14" s="189"/>
      <c r="J14" s="189"/>
      <c r="K14" s="189"/>
      <c r="L14" s="189"/>
      <c r="M14" s="189"/>
      <c r="N14" s="189"/>
      <c r="O14" s="194" t="s">
        <v>54</v>
      </c>
      <c r="P14" s="189"/>
      <c r="Q14" s="189"/>
      <c r="R14" s="189"/>
      <c r="S14" s="189"/>
      <c r="T14" s="189"/>
      <c r="U14" s="189"/>
      <c r="V14" s="189"/>
      <c r="W14" s="189"/>
      <c r="X14" s="189"/>
      <c r="Y14" s="189"/>
      <c r="Z14" s="189"/>
      <c r="AA14" s="189"/>
      <c r="AB14" s="189"/>
      <c r="AC14" s="189"/>
      <c r="AD14" s="189"/>
    </row>
    <row r="15" spans="1:30" ht="25.5" x14ac:dyDescent="0.2">
      <c r="A15" s="234"/>
      <c r="B15" s="235"/>
      <c r="C15" s="237"/>
      <c r="D15" s="239"/>
      <c r="E15" s="99" t="s">
        <v>353</v>
      </c>
      <c r="F15" s="177" t="s">
        <v>4784</v>
      </c>
      <c r="G15" s="189" t="s">
        <v>4290</v>
      </c>
      <c r="H15" s="189"/>
      <c r="J15" s="189"/>
      <c r="K15" s="189"/>
      <c r="L15" s="189"/>
      <c r="M15" s="189"/>
      <c r="N15" s="189"/>
      <c r="O15" s="189"/>
      <c r="P15" s="189"/>
      <c r="Q15" s="189"/>
      <c r="R15" s="189"/>
      <c r="S15" s="189"/>
      <c r="T15" s="189"/>
      <c r="U15" s="189"/>
      <c r="V15" s="189"/>
      <c r="W15" s="189"/>
      <c r="X15" s="189"/>
      <c r="Y15" s="189"/>
      <c r="Z15" s="189"/>
      <c r="AA15" s="189"/>
      <c r="AB15" s="189"/>
      <c r="AC15" s="189"/>
      <c r="AD15" s="189"/>
    </row>
    <row r="16" spans="1:30" x14ac:dyDescent="0.2">
      <c r="A16" s="234" t="s">
        <v>354</v>
      </c>
      <c r="B16" s="235" t="s">
        <v>1554</v>
      </c>
      <c r="C16" s="236">
        <f>SUM(H16:H20)/COUNTIF(F16:F20,"&gt;""")/4</f>
        <v>0</v>
      </c>
      <c r="D16" s="238" t="s">
        <v>875</v>
      </c>
      <c r="E16" s="96" t="s">
        <v>355</v>
      </c>
      <c r="F16" s="177" t="s">
        <v>527</v>
      </c>
      <c r="G16" s="189" t="s">
        <v>4289</v>
      </c>
      <c r="H16" s="189"/>
      <c r="J16" s="194"/>
      <c r="K16" s="189"/>
      <c r="L16" s="189"/>
      <c r="M16" s="194" t="s">
        <v>54</v>
      </c>
      <c r="N16" s="189"/>
      <c r="O16" s="189"/>
      <c r="P16" s="189"/>
      <c r="Q16" s="189"/>
      <c r="R16" s="189"/>
      <c r="S16" s="189"/>
      <c r="T16" s="189"/>
      <c r="U16" s="189"/>
      <c r="V16" s="189"/>
      <c r="W16" s="189"/>
      <c r="X16" s="189"/>
      <c r="Y16" s="189"/>
      <c r="Z16" s="189"/>
      <c r="AA16" s="189"/>
      <c r="AB16" s="189"/>
      <c r="AC16" s="189"/>
      <c r="AD16" s="189"/>
    </row>
    <row r="17" spans="1:30" ht="25.5" x14ac:dyDescent="0.2">
      <c r="A17" s="234"/>
      <c r="B17" s="235"/>
      <c r="C17" s="237"/>
      <c r="D17" s="239"/>
      <c r="E17" s="96" t="s">
        <v>356</v>
      </c>
      <c r="F17" s="179" t="s">
        <v>1553</v>
      </c>
      <c r="G17" s="189" t="s">
        <v>4291</v>
      </c>
      <c r="H17" s="189"/>
      <c r="J17" s="189"/>
      <c r="K17" s="189"/>
      <c r="L17" s="189"/>
      <c r="M17" s="194" t="s">
        <v>54</v>
      </c>
      <c r="N17" s="189"/>
      <c r="O17" s="189"/>
      <c r="P17" s="189"/>
      <c r="Q17" s="189"/>
      <c r="R17" s="189"/>
      <c r="S17" s="189"/>
      <c r="T17" s="189"/>
      <c r="U17" s="189"/>
      <c r="V17" s="189"/>
      <c r="W17" s="189"/>
      <c r="X17" s="189"/>
      <c r="Y17" s="189"/>
      <c r="Z17" s="189"/>
      <c r="AA17" s="189"/>
      <c r="AB17" s="189"/>
      <c r="AC17" s="189"/>
      <c r="AD17" s="189"/>
    </row>
    <row r="18" spans="1:30" ht="15" x14ac:dyDescent="0.2">
      <c r="A18" s="234"/>
      <c r="B18" s="235"/>
      <c r="C18" s="237"/>
      <c r="D18" s="239"/>
      <c r="E18" s="96" t="s">
        <v>357</v>
      </c>
      <c r="F18" s="180" t="s">
        <v>1138</v>
      </c>
      <c r="G18" s="189" t="s">
        <v>4289</v>
      </c>
      <c r="H18" s="189"/>
      <c r="J18" s="189"/>
      <c r="K18" s="189"/>
      <c r="L18" s="189"/>
      <c r="M18" s="194" t="s">
        <v>54</v>
      </c>
      <c r="N18" s="189"/>
      <c r="O18" s="189"/>
      <c r="P18" s="189"/>
      <c r="Q18" s="189"/>
      <c r="R18" s="189"/>
      <c r="S18" s="189"/>
      <c r="T18" s="189"/>
      <c r="U18" s="189"/>
      <c r="V18" s="189"/>
      <c r="W18" s="189"/>
      <c r="X18" s="189"/>
      <c r="Y18" s="189"/>
      <c r="Z18" s="189"/>
      <c r="AA18" s="189"/>
      <c r="AB18" s="189"/>
      <c r="AC18" s="189"/>
      <c r="AD18" s="189"/>
    </row>
    <row r="19" spans="1:30" ht="25.5" x14ac:dyDescent="0.2">
      <c r="A19" s="234"/>
      <c r="B19" s="235"/>
      <c r="C19" s="237"/>
      <c r="D19" s="239"/>
      <c r="E19" s="96" t="s">
        <v>358</v>
      </c>
      <c r="F19" s="179" t="s">
        <v>1139</v>
      </c>
      <c r="G19" s="189" t="s">
        <v>4289</v>
      </c>
      <c r="H19" s="189"/>
      <c r="J19" s="189"/>
      <c r="K19" s="189"/>
      <c r="L19" s="189"/>
      <c r="M19" s="194" t="s">
        <v>54</v>
      </c>
      <c r="N19" s="189"/>
      <c r="O19" s="189"/>
      <c r="P19" s="189"/>
      <c r="Q19" s="189"/>
      <c r="R19" s="189"/>
      <c r="S19" s="189"/>
      <c r="T19" s="189"/>
      <c r="U19" s="189"/>
      <c r="V19" s="189"/>
      <c r="W19" s="189"/>
      <c r="X19" s="189"/>
      <c r="Y19" s="189"/>
      <c r="Z19" s="189"/>
      <c r="AA19" s="189"/>
      <c r="AB19" s="189"/>
      <c r="AC19" s="189"/>
      <c r="AD19" s="189"/>
    </row>
    <row r="20" spans="1:30" x14ac:dyDescent="0.2">
      <c r="A20" s="234"/>
      <c r="B20" s="235"/>
      <c r="C20" s="237"/>
      <c r="D20" s="239"/>
      <c r="E20" s="96" t="s">
        <v>531</v>
      </c>
      <c r="F20" s="179"/>
      <c r="G20" s="189"/>
      <c r="H20" s="189"/>
      <c r="J20" s="189"/>
      <c r="K20" s="189"/>
      <c r="L20" s="189"/>
      <c r="M20" s="189"/>
      <c r="N20" s="189"/>
      <c r="O20" s="189"/>
      <c r="P20" s="189"/>
      <c r="Q20" s="189"/>
      <c r="R20" s="189"/>
      <c r="S20" s="189"/>
      <c r="T20" s="189"/>
      <c r="U20" s="189"/>
      <c r="V20" s="189"/>
      <c r="W20" s="189"/>
      <c r="X20" s="189"/>
      <c r="Y20" s="189"/>
      <c r="Z20" s="189"/>
      <c r="AA20" s="189"/>
      <c r="AB20" s="189"/>
      <c r="AC20" s="189"/>
      <c r="AD20" s="189"/>
    </row>
    <row r="21" spans="1:30" ht="15" x14ac:dyDescent="0.2">
      <c r="A21" s="234" t="s">
        <v>359</v>
      </c>
      <c r="B21" s="235" t="s">
        <v>3610</v>
      </c>
      <c r="C21" s="237">
        <f>SUM(H21:H33)/COUNTIF(F21:F33,"&gt;""")/4</f>
        <v>0</v>
      </c>
      <c r="D21" s="240" t="s">
        <v>533</v>
      </c>
      <c r="E21" s="96" t="s">
        <v>360</v>
      </c>
      <c r="F21" s="180" t="s">
        <v>534</v>
      </c>
      <c r="G21" s="189" t="s">
        <v>4290</v>
      </c>
      <c r="H21" s="189"/>
      <c r="J21" s="189"/>
      <c r="K21" s="189"/>
      <c r="L21" s="189"/>
      <c r="M21" s="189"/>
      <c r="N21" s="189"/>
      <c r="O21" s="189"/>
      <c r="P21" s="189"/>
      <c r="Q21" s="189"/>
      <c r="R21" s="194" t="s">
        <v>54</v>
      </c>
      <c r="S21" s="189"/>
      <c r="T21" s="189"/>
      <c r="U21" s="189"/>
      <c r="V21" s="189"/>
      <c r="W21" s="189"/>
      <c r="X21" s="189"/>
      <c r="Y21" s="189"/>
      <c r="Z21" s="189"/>
      <c r="AA21" s="189"/>
      <c r="AB21" s="189"/>
      <c r="AC21" s="189"/>
      <c r="AD21" s="189"/>
    </row>
    <row r="22" spans="1:30" ht="15" x14ac:dyDescent="0.2">
      <c r="A22" s="234"/>
      <c r="B22" s="235"/>
      <c r="C22" s="237"/>
      <c r="D22" s="239"/>
      <c r="E22" s="96" t="s">
        <v>361</v>
      </c>
      <c r="F22" s="180" t="s">
        <v>535</v>
      </c>
      <c r="G22" s="189" t="s">
        <v>4290</v>
      </c>
      <c r="H22" s="189"/>
      <c r="J22" s="189"/>
      <c r="K22" s="189"/>
      <c r="L22" s="189"/>
      <c r="M22" s="189"/>
      <c r="N22" s="189"/>
      <c r="O22" s="189"/>
      <c r="P22" s="189"/>
      <c r="Q22" s="189"/>
      <c r="R22" s="194" t="s">
        <v>54</v>
      </c>
      <c r="S22" s="189"/>
      <c r="T22" s="189"/>
      <c r="U22" s="189"/>
      <c r="V22" s="189"/>
      <c r="W22" s="189"/>
      <c r="X22" s="189"/>
      <c r="Y22" s="189"/>
      <c r="Z22" s="189"/>
      <c r="AA22" s="189"/>
      <c r="AB22" s="189"/>
      <c r="AC22" s="189"/>
      <c r="AD22" s="189"/>
    </row>
    <row r="23" spans="1:30" ht="15" x14ac:dyDescent="0.2">
      <c r="A23" s="234"/>
      <c r="B23" s="235"/>
      <c r="C23" s="237"/>
      <c r="D23" s="239"/>
      <c r="E23" s="96" t="s">
        <v>362</v>
      </c>
      <c r="F23" s="180" t="s">
        <v>536</v>
      </c>
      <c r="G23" s="189" t="s">
        <v>4290</v>
      </c>
      <c r="H23" s="189"/>
      <c r="J23" s="189"/>
      <c r="K23" s="189"/>
      <c r="L23" s="189"/>
      <c r="M23" s="189"/>
      <c r="N23" s="189"/>
      <c r="O23" s="189"/>
      <c r="P23" s="189"/>
      <c r="Q23" s="189"/>
      <c r="R23" s="194" t="s">
        <v>54</v>
      </c>
      <c r="S23" s="189"/>
      <c r="T23" s="189"/>
      <c r="U23" s="189"/>
      <c r="V23" s="189"/>
      <c r="W23" s="189"/>
      <c r="X23" s="189"/>
      <c r="Y23" s="189"/>
      <c r="Z23" s="189"/>
      <c r="AA23" s="189"/>
      <c r="AB23" s="189"/>
      <c r="AC23" s="189"/>
      <c r="AD23" s="189"/>
    </row>
    <row r="24" spans="1:30" ht="15" x14ac:dyDescent="0.2">
      <c r="A24" s="234"/>
      <c r="B24" s="235"/>
      <c r="C24" s="237"/>
      <c r="D24" s="239"/>
      <c r="E24" s="96" t="s">
        <v>363</v>
      </c>
      <c r="F24" s="180" t="s">
        <v>537</v>
      </c>
      <c r="G24" s="189" t="s">
        <v>4290</v>
      </c>
      <c r="H24" s="189"/>
      <c r="J24" s="189"/>
      <c r="K24" s="189"/>
      <c r="L24" s="189"/>
      <c r="M24" s="189"/>
      <c r="N24" s="194" t="s">
        <v>54</v>
      </c>
      <c r="O24" s="189"/>
      <c r="P24" s="189"/>
      <c r="Q24" s="189"/>
      <c r="R24" s="194" t="s">
        <v>54</v>
      </c>
      <c r="S24" s="189"/>
      <c r="T24" s="189"/>
      <c r="U24" s="189"/>
      <c r="V24" s="189"/>
      <c r="W24" s="189"/>
      <c r="X24" s="189"/>
      <c r="Y24" s="189"/>
      <c r="Z24" s="189"/>
      <c r="AA24" s="189"/>
      <c r="AB24" s="189"/>
      <c r="AC24" s="189"/>
      <c r="AD24" s="189"/>
    </row>
    <row r="25" spans="1:30" ht="15" x14ac:dyDescent="0.2">
      <c r="A25" s="234"/>
      <c r="B25" s="235"/>
      <c r="C25" s="237"/>
      <c r="D25" s="239"/>
      <c r="E25" s="96" t="s">
        <v>364</v>
      </c>
      <c r="F25" s="180" t="s">
        <v>538</v>
      </c>
      <c r="G25" s="189" t="s">
        <v>4290</v>
      </c>
      <c r="H25" s="189"/>
      <c r="J25" s="189"/>
      <c r="K25" s="189"/>
      <c r="L25" s="189"/>
      <c r="M25" s="189"/>
      <c r="N25" s="189"/>
      <c r="O25" s="189"/>
      <c r="P25" s="189"/>
      <c r="Q25" s="189"/>
      <c r="R25" s="194" t="s">
        <v>54</v>
      </c>
      <c r="S25" s="189"/>
      <c r="T25" s="189"/>
      <c r="U25" s="189"/>
      <c r="V25" s="189"/>
      <c r="W25" s="189"/>
      <c r="X25" s="189"/>
      <c r="Y25" s="189"/>
      <c r="Z25" s="189"/>
      <c r="AA25" s="189"/>
      <c r="AB25" s="189"/>
      <c r="AC25" s="189"/>
      <c r="AD25" s="189"/>
    </row>
    <row r="26" spans="1:30" ht="15" x14ac:dyDescent="0.2">
      <c r="A26" s="234"/>
      <c r="B26" s="235"/>
      <c r="C26" s="237"/>
      <c r="D26" s="239"/>
      <c r="E26" s="96" t="s">
        <v>365</v>
      </c>
      <c r="F26" s="180" t="s">
        <v>539</v>
      </c>
      <c r="G26" s="189" t="s">
        <v>4289</v>
      </c>
      <c r="H26" s="189"/>
      <c r="J26" s="189"/>
      <c r="K26" s="189"/>
      <c r="L26" s="189"/>
      <c r="M26" s="189"/>
      <c r="N26" s="189"/>
      <c r="O26" s="189"/>
      <c r="P26" s="189"/>
      <c r="Q26" s="189"/>
      <c r="R26" s="194" t="s">
        <v>54</v>
      </c>
      <c r="S26" s="189"/>
      <c r="T26" s="189"/>
      <c r="U26" s="189"/>
      <c r="V26" s="189"/>
      <c r="W26" s="189"/>
      <c r="X26" s="189"/>
      <c r="Y26" s="189"/>
      <c r="Z26" s="189"/>
      <c r="AA26" s="189"/>
      <c r="AB26" s="189"/>
      <c r="AC26" s="189"/>
      <c r="AD26" s="189"/>
    </row>
    <row r="27" spans="1:30" ht="15" x14ac:dyDescent="0.2">
      <c r="A27" s="234"/>
      <c r="B27" s="235"/>
      <c r="C27" s="237"/>
      <c r="D27" s="239"/>
      <c r="E27" s="96" t="s">
        <v>366</v>
      </c>
      <c r="F27" s="180" t="s">
        <v>540</v>
      </c>
      <c r="G27" s="189" t="s">
        <v>4289</v>
      </c>
      <c r="H27" s="189"/>
      <c r="J27" s="189"/>
      <c r="K27" s="189"/>
      <c r="L27" s="189"/>
      <c r="M27" s="189"/>
      <c r="N27" s="189"/>
      <c r="O27" s="189"/>
      <c r="P27" s="189"/>
      <c r="Q27" s="189"/>
      <c r="R27" s="194" t="s">
        <v>54</v>
      </c>
      <c r="S27" s="189"/>
      <c r="T27" s="189"/>
      <c r="U27" s="189"/>
      <c r="V27" s="189"/>
      <c r="W27" s="189"/>
      <c r="X27" s="189"/>
      <c r="Y27" s="189"/>
      <c r="Z27" s="189"/>
      <c r="AA27" s="189"/>
      <c r="AB27" s="189"/>
      <c r="AC27" s="189"/>
      <c r="AD27" s="189"/>
    </row>
    <row r="28" spans="1:30" ht="15" x14ac:dyDescent="0.2">
      <c r="A28" s="234"/>
      <c r="B28" s="235"/>
      <c r="C28" s="237"/>
      <c r="D28" s="239"/>
      <c r="E28" s="96" t="s">
        <v>541</v>
      </c>
      <c r="F28" s="180" t="s">
        <v>542</v>
      </c>
      <c r="G28" s="189" t="s">
        <v>4289</v>
      </c>
      <c r="H28" s="189"/>
      <c r="J28" s="189"/>
      <c r="K28" s="189"/>
      <c r="L28" s="189"/>
      <c r="M28" s="189"/>
      <c r="N28" s="194" t="s">
        <v>54</v>
      </c>
      <c r="O28" s="189"/>
      <c r="P28" s="189"/>
      <c r="Q28" s="189"/>
      <c r="R28" s="189"/>
      <c r="S28" s="189"/>
      <c r="T28" s="189"/>
      <c r="U28" s="189"/>
      <c r="V28" s="189"/>
      <c r="W28" s="189"/>
      <c r="X28" s="189"/>
      <c r="Y28" s="189"/>
      <c r="Z28" s="189"/>
      <c r="AA28" s="189"/>
      <c r="AB28" s="189"/>
      <c r="AC28" s="189"/>
      <c r="AD28" s="189"/>
    </row>
    <row r="29" spans="1:30" ht="15" x14ac:dyDescent="0.2">
      <c r="A29" s="234"/>
      <c r="B29" s="235"/>
      <c r="C29" s="237"/>
      <c r="D29" s="239"/>
      <c r="E29" s="96" t="s">
        <v>544</v>
      </c>
      <c r="F29" s="180" t="s">
        <v>545</v>
      </c>
      <c r="G29" s="189" t="s">
        <v>4289</v>
      </c>
      <c r="H29" s="189"/>
      <c r="J29" s="189"/>
      <c r="K29" s="194" t="s">
        <v>54</v>
      </c>
      <c r="L29" s="189"/>
      <c r="M29" s="189"/>
      <c r="N29" s="189"/>
      <c r="O29" s="189"/>
      <c r="P29" s="189"/>
      <c r="Q29" s="189"/>
      <c r="R29" s="189"/>
      <c r="S29" s="189"/>
      <c r="T29" s="189"/>
      <c r="U29" s="189"/>
      <c r="V29" s="189"/>
      <c r="W29" s="189"/>
      <c r="X29" s="189"/>
      <c r="Y29" s="189"/>
      <c r="Z29" s="189"/>
      <c r="AA29" s="189"/>
      <c r="AB29" s="189"/>
      <c r="AC29" s="189"/>
      <c r="AD29" s="189"/>
    </row>
    <row r="30" spans="1:30" x14ac:dyDescent="0.2">
      <c r="A30" s="234"/>
      <c r="B30" s="235"/>
      <c r="C30" s="237"/>
      <c r="D30" s="239"/>
      <c r="E30" s="96" t="s">
        <v>547</v>
      </c>
      <c r="F30" s="181" t="s">
        <v>1428</v>
      </c>
      <c r="G30" s="189" t="s">
        <v>4289</v>
      </c>
      <c r="H30" s="189"/>
      <c r="J30" s="189"/>
      <c r="K30" s="189"/>
      <c r="L30" s="189"/>
      <c r="M30" s="189"/>
      <c r="N30" s="189"/>
      <c r="O30" s="189"/>
      <c r="P30" s="189"/>
      <c r="Q30" s="189"/>
      <c r="R30" s="194" t="s">
        <v>54</v>
      </c>
      <c r="S30" s="189"/>
      <c r="T30" s="189"/>
      <c r="U30" s="189"/>
      <c r="V30" s="189"/>
      <c r="W30" s="189"/>
      <c r="X30" s="189"/>
      <c r="Y30" s="189"/>
      <c r="Z30" s="189"/>
      <c r="AA30" s="189"/>
      <c r="AB30" s="189"/>
      <c r="AC30" s="189"/>
      <c r="AD30" s="189"/>
    </row>
    <row r="31" spans="1:30" x14ac:dyDescent="0.2">
      <c r="A31" s="234"/>
      <c r="B31" s="235"/>
      <c r="C31" s="237"/>
      <c r="D31" s="239"/>
      <c r="E31" s="96" t="s">
        <v>548</v>
      </c>
      <c r="F31" s="181" t="s">
        <v>1519</v>
      </c>
      <c r="G31" s="189" t="s">
        <v>4289</v>
      </c>
      <c r="H31" s="189"/>
      <c r="J31" s="189"/>
      <c r="K31" s="194" t="s">
        <v>54</v>
      </c>
      <c r="L31" s="189"/>
      <c r="M31" s="194" t="s">
        <v>54</v>
      </c>
      <c r="N31" s="189"/>
      <c r="O31" s="189"/>
      <c r="P31" s="194" t="s">
        <v>54</v>
      </c>
      <c r="Q31" s="189"/>
      <c r="R31" s="194" t="s">
        <v>54</v>
      </c>
      <c r="S31" s="189"/>
      <c r="T31" s="189"/>
      <c r="U31" s="189"/>
      <c r="V31" s="189"/>
      <c r="W31" s="194" t="s">
        <v>54</v>
      </c>
      <c r="X31" s="189"/>
      <c r="Y31" s="189"/>
      <c r="Z31" s="189"/>
      <c r="AA31" s="189"/>
      <c r="AB31" s="189"/>
      <c r="AC31" s="189"/>
      <c r="AD31" s="189"/>
    </row>
    <row r="32" spans="1:30" x14ac:dyDescent="0.2">
      <c r="A32" s="234"/>
      <c r="B32" s="235"/>
      <c r="C32" s="237"/>
      <c r="D32" s="239"/>
      <c r="E32" s="96" t="s">
        <v>1518</v>
      </c>
      <c r="F32" s="181" t="s">
        <v>1495</v>
      </c>
      <c r="G32" s="189" t="s">
        <v>4289</v>
      </c>
      <c r="H32" s="189"/>
      <c r="J32" s="189"/>
      <c r="K32" s="189"/>
      <c r="L32" s="189"/>
      <c r="M32" s="189"/>
      <c r="N32" s="189"/>
      <c r="O32" s="189"/>
      <c r="P32" s="194" t="s">
        <v>54</v>
      </c>
      <c r="Q32" s="189"/>
      <c r="R32" s="194" t="s">
        <v>54</v>
      </c>
      <c r="S32" s="189"/>
      <c r="T32" s="189"/>
      <c r="U32" s="194" t="s">
        <v>54</v>
      </c>
      <c r="V32" s="189"/>
      <c r="W32" s="194" t="s">
        <v>54</v>
      </c>
      <c r="X32" s="189"/>
      <c r="Y32" s="189"/>
      <c r="Z32" s="189"/>
      <c r="AA32" s="189"/>
      <c r="AB32" s="189"/>
      <c r="AC32" s="189"/>
      <c r="AD32" s="189"/>
    </row>
    <row r="33" spans="1:30" x14ac:dyDescent="0.2">
      <c r="A33" s="234"/>
      <c r="B33" s="235"/>
      <c r="C33" s="237"/>
      <c r="D33" s="241"/>
      <c r="E33" s="96" t="s">
        <v>1537</v>
      </c>
      <c r="F33" s="181"/>
      <c r="G33" s="189"/>
      <c r="H33" s="189"/>
      <c r="J33" s="189"/>
      <c r="K33" s="189"/>
      <c r="L33" s="189"/>
      <c r="M33" s="189"/>
      <c r="N33" s="189"/>
      <c r="O33" s="189"/>
      <c r="P33" s="189"/>
      <c r="Q33" s="189"/>
      <c r="R33" s="189"/>
      <c r="S33" s="189"/>
      <c r="T33" s="189"/>
      <c r="U33" s="189"/>
      <c r="V33" s="189"/>
      <c r="W33" s="189"/>
      <c r="X33" s="189"/>
      <c r="Y33" s="189"/>
      <c r="Z33" s="189"/>
      <c r="AA33" s="189"/>
      <c r="AB33" s="189"/>
      <c r="AC33" s="189"/>
      <c r="AD33" s="189"/>
    </row>
    <row r="34" spans="1:30" x14ac:dyDescent="0.2">
      <c r="A34" s="234" t="s">
        <v>367</v>
      </c>
      <c r="B34" s="235" t="s">
        <v>549</v>
      </c>
      <c r="C34" s="237">
        <f>SUM(H34:H39)/COUNTIF(F34:F39,"&gt;""")/4</f>
        <v>0</v>
      </c>
      <c r="D34" s="240" t="s">
        <v>550</v>
      </c>
      <c r="E34" s="96" t="s">
        <v>368</v>
      </c>
      <c r="F34" s="177" t="s">
        <v>551</v>
      </c>
      <c r="G34" s="189" t="s">
        <v>4290</v>
      </c>
      <c r="H34" s="189"/>
      <c r="J34" s="189"/>
      <c r="K34" s="189"/>
      <c r="L34" s="189"/>
      <c r="M34" s="189"/>
      <c r="N34" s="189"/>
      <c r="O34" s="189"/>
      <c r="P34" s="189"/>
      <c r="Q34" s="194" t="s">
        <v>54</v>
      </c>
      <c r="R34" s="189"/>
      <c r="S34" s="189"/>
      <c r="T34" s="189"/>
      <c r="U34" s="189"/>
      <c r="V34" s="189"/>
      <c r="W34" s="189"/>
      <c r="X34" s="189"/>
      <c r="Y34" s="189"/>
      <c r="Z34" s="189"/>
      <c r="AA34" s="189"/>
      <c r="AB34" s="189"/>
      <c r="AC34" s="189"/>
      <c r="AD34" s="189"/>
    </row>
    <row r="35" spans="1:30" x14ac:dyDescent="0.2">
      <c r="A35" s="234"/>
      <c r="B35" s="235"/>
      <c r="C35" s="237"/>
      <c r="D35" s="239"/>
      <c r="E35" s="96" t="s">
        <v>369</v>
      </c>
      <c r="F35" s="177" t="s">
        <v>552</v>
      </c>
      <c r="G35" s="189" t="s">
        <v>4290</v>
      </c>
      <c r="H35" s="189"/>
      <c r="J35" s="189"/>
      <c r="K35" s="189"/>
      <c r="L35" s="189"/>
      <c r="M35" s="189"/>
      <c r="N35" s="189"/>
      <c r="O35" s="189"/>
      <c r="P35" s="189"/>
      <c r="Q35" s="194" t="s">
        <v>54</v>
      </c>
      <c r="R35" s="189"/>
      <c r="S35" s="189"/>
      <c r="T35" s="189"/>
      <c r="U35" s="189"/>
      <c r="V35" s="189"/>
      <c r="W35" s="189"/>
      <c r="X35" s="189"/>
      <c r="Y35" s="189"/>
      <c r="Z35" s="189"/>
      <c r="AA35" s="189"/>
      <c r="AB35" s="189"/>
      <c r="AC35" s="189"/>
      <c r="AD35" s="189"/>
    </row>
    <row r="36" spans="1:30" x14ac:dyDescent="0.2">
      <c r="A36" s="234"/>
      <c r="B36" s="235"/>
      <c r="C36" s="237"/>
      <c r="D36" s="239"/>
      <c r="E36" s="96" t="s">
        <v>370</v>
      </c>
      <c r="F36" s="177" t="s">
        <v>554</v>
      </c>
      <c r="G36" s="189" t="s">
        <v>4290</v>
      </c>
      <c r="H36" s="189"/>
      <c r="J36" s="189"/>
      <c r="K36" s="189"/>
      <c r="L36" s="189"/>
      <c r="M36" s="189"/>
      <c r="N36" s="189"/>
      <c r="O36" s="189"/>
      <c r="P36" s="189"/>
      <c r="Q36" s="194" t="s">
        <v>54</v>
      </c>
      <c r="R36" s="189"/>
      <c r="S36" s="189"/>
      <c r="T36" s="189"/>
      <c r="U36" s="189"/>
      <c r="V36" s="189"/>
      <c r="W36" s="189"/>
      <c r="X36" s="189"/>
      <c r="Y36" s="189"/>
      <c r="Z36" s="189"/>
      <c r="AA36" s="189"/>
      <c r="AB36" s="189"/>
      <c r="AC36" s="189"/>
      <c r="AD36" s="189"/>
    </row>
    <row r="37" spans="1:30" ht="25.5" x14ac:dyDescent="0.2">
      <c r="A37" s="234"/>
      <c r="B37" s="235"/>
      <c r="C37" s="237"/>
      <c r="D37" s="239"/>
      <c r="E37" s="96" t="s">
        <v>371</v>
      </c>
      <c r="F37" s="177" t="s">
        <v>555</v>
      </c>
      <c r="G37" s="189" t="s">
        <v>4289</v>
      </c>
      <c r="H37" s="189"/>
      <c r="J37" s="189"/>
      <c r="K37" s="189"/>
      <c r="L37" s="194" t="s">
        <v>54</v>
      </c>
      <c r="M37" s="189"/>
      <c r="N37" s="189"/>
      <c r="O37" s="194" t="s">
        <v>54</v>
      </c>
      <c r="P37" s="189"/>
      <c r="Q37" s="194" t="s">
        <v>54</v>
      </c>
      <c r="R37" s="189"/>
      <c r="S37" s="194" t="s">
        <v>54</v>
      </c>
      <c r="T37" s="189"/>
      <c r="U37" s="189"/>
      <c r="V37" s="189"/>
      <c r="W37" s="194" t="s">
        <v>54</v>
      </c>
      <c r="X37" s="189"/>
      <c r="Y37" s="189"/>
      <c r="Z37" s="189"/>
      <c r="AA37" s="189"/>
      <c r="AB37" s="189"/>
      <c r="AC37" s="189"/>
      <c r="AD37" s="189"/>
    </row>
    <row r="38" spans="1:30" ht="15" x14ac:dyDescent="0.2">
      <c r="A38" s="234"/>
      <c r="B38" s="235"/>
      <c r="C38" s="237"/>
      <c r="D38" s="239"/>
      <c r="E38" s="96" t="s">
        <v>372</v>
      </c>
      <c r="F38" s="180" t="s">
        <v>556</v>
      </c>
      <c r="G38" s="189" t="s">
        <v>4290</v>
      </c>
      <c r="H38" s="189"/>
      <c r="J38" s="189"/>
      <c r="K38" s="189"/>
      <c r="L38" s="189"/>
      <c r="M38" s="189"/>
      <c r="N38" s="189"/>
      <c r="O38" s="194" t="s">
        <v>54</v>
      </c>
      <c r="P38" s="189"/>
      <c r="Q38" s="194" t="s">
        <v>54</v>
      </c>
      <c r="R38" s="189"/>
      <c r="S38" s="189"/>
      <c r="T38" s="189"/>
      <c r="U38" s="189"/>
      <c r="V38" s="189"/>
      <c r="W38" s="189"/>
      <c r="X38" s="189"/>
      <c r="Y38" s="189"/>
      <c r="Z38" s="189"/>
      <c r="AA38" s="189"/>
      <c r="AB38" s="189"/>
      <c r="AC38" s="189"/>
      <c r="AD38" s="189"/>
    </row>
    <row r="39" spans="1:30" x14ac:dyDescent="0.2">
      <c r="A39" s="234"/>
      <c r="B39" s="235"/>
      <c r="C39" s="237"/>
      <c r="D39" s="239"/>
      <c r="E39" s="96" t="s">
        <v>557</v>
      </c>
      <c r="F39" s="177"/>
      <c r="G39" s="189"/>
      <c r="H39" s="189"/>
      <c r="J39" s="189"/>
      <c r="K39" s="189"/>
      <c r="L39" s="189"/>
      <c r="M39" s="189"/>
      <c r="N39" s="189"/>
      <c r="O39" s="189"/>
      <c r="P39" s="189"/>
      <c r="Q39" s="189"/>
      <c r="R39" s="189"/>
      <c r="S39" s="189"/>
      <c r="T39" s="189"/>
      <c r="U39" s="189"/>
      <c r="V39" s="189"/>
      <c r="W39" s="189"/>
      <c r="X39" s="189"/>
      <c r="Y39" s="189"/>
      <c r="Z39" s="189"/>
      <c r="AA39" s="189"/>
      <c r="AB39" s="189"/>
      <c r="AC39" s="189"/>
      <c r="AD39" s="189"/>
    </row>
    <row r="40" spans="1:30" ht="30" x14ac:dyDescent="0.2">
      <c r="A40" s="234" t="s">
        <v>373</v>
      </c>
      <c r="B40" s="235" t="s">
        <v>559</v>
      </c>
      <c r="C40" s="237">
        <f>SUM(H40:H44)/COUNTIF(F40:F44,"&gt;""")/4</f>
        <v>0</v>
      </c>
      <c r="D40" s="240" t="s">
        <v>560</v>
      </c>
      <c r="E40" s="96" t="s">
        <v>374</v>
      </c>
      <c r="F40" s="180" t="s">
        <v>561</v>
      </c>
      <c r="G40" s="189"/>
      <c r="H40" s="189"/>
      <c r="J40" s="189"/>
      <c r="K40" s="189"/>
      <c r="L40" s="194" t="s">
        <v>54</v>
      </c>
      <c r="M40" s="194" t="s">
        <v>54</v>
      </c>
      <c r="N40" s="194"/>
      <c r="O40" s="189"/>
      <c r="P40" s="189"/>
      <c r="Q40" s="189"/>
      <c r="R40" s="189"/>
      <c r="S40" s="194" t="s">
        <v>54</v>
      </c>
      <c r="T40" s="189"/>
      <c r="U40" s="194" t="s">
        <v>54</v>
      </c>
      <c r="V40" s="194" t="s">
        <v>54</v>
      </c>
      <c r="W40" s="189"/>
      <c r="X40" s="189"/>
      <c r="Y40" s="189"/>
      <c r="Z40" s="189"/>
      <c r="AA40" s="189"/>
      <c r="AB40" s="189"/>
      <c r="AC40" s="189"/>
      <c r="AD40" s="189"/>
    </row>
    <row r="41" spans="1:30" x14ac:dyDescent="0.2">
      <c r="A41" s="234"/>
      <c r="B41" s="235"/>
      <c r="C41" s="237"/>
      <c r="D41" s="239"/>
      <c r="E41" s="96" t="s">
        <v>375</v>
      </c>
      <c r="F41" s="177" t="s">
        <v>563</v>
      </c>
      <c r="G41" s="189"/>
      <c r="H41" s="189"/>
      <c r="J41" s="194" t="s">
        <v>54</v>
      </c>
      <c r="K41" s="189"/>
      <c r="L41" s="194" t="s">
        <v>54</v>
      </c>
      <c r="M41" s="194" t="s">
        <v>54</v>
      </c>
      <c r="N41" s="194"/>
      <c r="O41" s="189"/>
      <c r="P41" s="189"/>
      <c r="Q41" s="189"/>
      <c r="R41" s="189"/>
      <c r="S41" s="189"/>
      <c r="T41" s="189"/>
      <c r="U41" s="194" t="s">
        <v>54</v>
      </c>
      <c r="V41" s="194" t="s">
        <v>54</v>
      </c>
      <c r="W41" s="189"/>
      <c r="X41" s="189"/>
      <c r="Y41" s="189"/>
      <c r="Z41" s="189"/>
      <c r="AA41" s="189"/>
      <c r="AB41" s="189"/>
      <c r="AC41" s="189"/>
      <c r="AD41" s="189"/>
    </row>
    <row r="42" spans="1:30" ht="25.5" x14ac:dyDescent="0.2">
      <c r="A42" s="234"/>
      <c r="B42" s="235"/>
      <c r="C42" s="237"/>
      <c r="D42" s="239"/>
      <c r="E42" s="96" t="s">
        <v>376</v>
      </c>
      <c r="F42" s="177" t="s">
        <v>564</v>
      </c>
      <c r="G42" s="189"/>
      <c r="H42" s="189"/>
      <c r="J42" s="189"/>
      <c r="K42" s="189"/>
      <c r="L42" s="194" t="s">
        <v>54</v>
      </c>
      <c r="M42" s="194" t="s">
        <v>54</v>
      </c>
      <c r="N42" s="194"/>
      <c r="O42" s="189"/>
      <c r="P42" s="189"/>
      <c r="Q42" s="189"/>
      <c r="R42" s="189"/>
      <c r="S42" s="189"/>
      <c r="T42" s="189"/>
      <c r="U42" s="194" t="s">
        <v>54</v>
      </c>
      <c r="V42" s="194" t="s">
        <v>54</v>
      </c>
      <c r="W42" s="189"/>
      <c r="X42" s="189"/>
      <c r="Y42" s="189"/>
      <c r="Z42" s="189"/>
      <c r="AA42" s="189"/>
      <c r="AB42" s="189"/>
      <c r="AC42" s="189"/>
      <c r="AD42" s="189"/>
    </row>
    <row r="43" spans="1:30" ht="38.25" x14ac:dyDescent="0.2">
      <c r="A43" s="234"/>
      <c r="B43" s="235"/>
      <c r="C43" s="237"/>
      <c r="D43" s="239"/>
      <c r="E43" s="96" t="s">
        <v>565</v>
      </c>
      <c r="F43" s="177" t="s">
        <v>566</v>
      </c>
      <c r="G43" s="189"/>
      <c r="H43" s="189"/>
      <c r="J43" s="189"/>
      <c r="K43" s="189"/>
      <c r="L43" s="194" t="s">
        <v>54</v>
      </c>
      <c r="M43" s="194" t="s">
        <v>54</v>
      </c>
      <c r="N43" s="194"/>
      <c r="O43" s="189"/>
      <c r="P43" s="189"/>
      <c r="Q43" s="189"/>
      <c r="R43" s="189"/>
      <c r="S43" s="189"/>
      <c r="T43" s="189"/>
      <c r="U43" s="194" t="s">
        <v>54</v>
      </c>
      <c r="V43" s="194" t="s">
        <v>54</v>
      </c>
      <c r="W43" s="189"/>
      <c r="X43" s="189"/>
      <c r="Y43" s="189"/>
      <c r="Z43" s="189"/>
      <c r="AA43" s="189"/>
      <c r="AB43" s="189"/>
      <c r="AC43" s="189"/>
      <c r="AD43" s="189"/>
    </row>
    <row r="44" spans="1:30" x14ac:dyDescent="0.2">
      <c r="A44" s="234"/>
      <c r="B44" s="235"/>
      <c r="C44" s="237"/>
      <c r="D44" s="239"/>
      <c r="E44" s="96" t="s">
        <v>568</v>
      </c>
      <c r="G44" s="189"/>
      <c r="H44" s="189"/>
      <c r="J44" s="189"/>
      <c r="K44" s="189"/>
      <c r="L44" s="189"/>
      <c r="M44" s="189"/>
      <c r="N44" s="189"/>
      <c r="O44" s="189"/>
      <c r="P44" s="189"/>
      <c r="Q44" s="189"/>
      <c r="R44" s="189"/>
      <c r="S44" s="189"/>
      <c r="T44" s="189"/>
      <c r="U44" s="189"/>
      <c r="V44" s="189"/>
      <c r="W44" s="189"/>
      <c r="X44" s="189"/>
      <c r="Y44" s="189"/>
      <c r="Z44" s="189"/>
      <c r="AA44" s="189"/>
      <c r="AB44" s="189"/>
      <c r="AC44" s="189"/>
      <c r="AD44" s="189"/>
    </row>
    <row r="45" spans="1:30" ht="45" x14ac:dyDescent="0.2">
      <c r="A45" s="234" t="s">
        <v>570</v>
      </c>
      <c r="B45" s="235" t="s">
        <v>571</v>
      </c>
      <c r="C45" s="237">
        <f>SUM(H45:H56)/COUNTIF(F45:F56,"&gt;""")/4</f>
        <v>0</v>
      </c>
      <c r="D45" s="240" t="s">
        <v>572</v>
      </c>
      <c r="E45" s="96" t="s">
        <v>573</v>
      </c>
      <c r="F45" s="180" t="s">
        <v>574</v>
      </c>
      <c r="G45" s="189" t="s">
        <v>4289</v>
      </c>
      <c r="H45" s="189"/>
      <c r="J45" s="189"/>
      <c r="K45" s="189"/>
      <c r="L45" s="189"/>
      <c r="M45" s="189"/>
      <c r="N45" s="189"/>
      <c r="O45" s="194" t="s">
        <v>54</v>
      </c>
      <c r="P45" s="189"/>
      <c r="Q45" s="194" t="s">
        <v>54</v>
      </c>
      <c r="R45" s="189"/>
      <c r="S45" s="189"/>
      <c r="T45" s="189"/>
      <c r="U45" s="189"/>
      <c r="V45" s="189"/>
      <c r="W45" s="189"/>
      <c r="X45" s="189"/>
      <c r="Y45" s="189"/>
      <c r="Z45" s="189"/>
      <c r="AA45" s="189"/>
      <c r="AB45" s="189"/>
      <c r="AC45" s="189"/>
      <c r="AD45" s="189"/>
    </row>
    <row r="46" spans="1:30" ht="30" x14ac:dyDescent="0.2">
      <c r="A46" s="234"/>
      <c r="B46" s="235"/>
      <c r="C46" s="237"/>
      <c r="D46" s="239"/>
      <c r="E46" s="96" t="s">
        <v>576</v>
      </c>
      <c r="F46" s="180" t="s">
        <v>577</v>
      </c>
      <c r="G46" s="189" t="s">
        <v>4289</v>
      </c>
      <c r="H46" s="189"/>
      <c r="J46" s="189"/>
      <c r="K46" s="189"/>
      <c r="L46" s="189"/>
      <c r="M46" s="189"/>
      <c r="N46" s="189"/>
      <c r="O46" s="194" t="s">
        <v>54</v>
      </c>
      <c r="P46" s="189"/>
      <c r="Q46" s="194" t="s">
        <v>54</v>
      </c>
      <c r="R46" s="189"/>
      <c r="S46" s="189"/>
      <c r="T46" s="189"/>
      <c r="U46" s="189"/>
      <c r="V46" s="189"/>
      <c r="W46" s="189"/>
      <c r="X46" s="189"/>
      <c r="Y46" s="189"/>
      <c r="Z46" s="189"/>
      <c r="AA46" s="189"/>
      <c r="AB46" s="189"/>
      <c r="AC46" s="189"/>
      <c r="AD46" s="189"/>
    </row>
    <row r="47" spans="1:30" ht="15" x14ac:dyDescent="0.2">
      <c r="A47" s="234"/>
      <c r="B47" s="235"/>
      <c r="C47" s="237"/>
      <c r="D47" s="239"/>
      <c r="E47" s="96" t="s">
        <v>579</v>
      </c>
      <c r="F47" s="180" t="s">
        <v>580</v>
      </c>
      <c r="G47" s="189" t="s">
        <v>4289</v>
      </c>
      <c r="H47" s="189"/>
      <c r="J47" s="189"/>
      <c r="K47" s="189"/>
      <c r="L47" s="189"/>
      <c r="M47" s="189"/>
      <c r="N47" s="189"/>
      <c r="O47" s="194" t="s">
        <v>54</v>
      </c>
      <c r="P47" s="189"/>
      <c r="Q47" s="194" t="s">
        <v>54</v>
      </c>
      <c r="R47" s="189"/>
      <c r="S47" s="189"/>
      <c r="T47" s="189"/>
      <c r="U47" s="189"/>
      <c r="V47" s="189"/>
      <c r="W47" s="189"/>
      <c r="X47" s="189"/>
      <c r="Y47" s="189"/>
      <c r="Z47" s="189"/>
      <c r="AA47" s="189"/>
      <c r="AB47" s="189"/>
      <c r="AC47" s="189"/>
      <c r="AD47" s="189"/>
    </row>
    <row r="48" spans="1:30" ht="15" x14ac:dyDescent="0.2">
      <c r="A48" s="234"/>
      <c r="B48" s="235"/>
      <c r="C48" s="237"/>
      <c r="D48" s="239"/>
      <c r="E48" s="96" t="s">
        <v>581</v>
      </c>
      <c r="F48" s="180" t="s">
        <v>582</v>
      </c>
      <c r="G48" s="189" t="s">
        <v>4289</v>
      </c>
      <c r="H48" s="189"/>
      <c r="J48" s="189"/>
      <c r="K48" s="189"/>
      <c r="L48" s="189"/>
      <c r="M48" s="189"/>
      <c r="N48" s="189"/>
      <c r="O48" s="194" t="s">
        <v>54</v>
      </c>
      <c r="P48" s="189"/>
      <c r="Q48" s="194" t="s">
        <v>54</v>
      </c>
      <c r="R48" s="189"/>
      <c r="S48" s="189"/>
      <c r="T48" s="189"/>
      <c r="U48" s="189"/>
      <c r="V48" s="189"/>
      <c r="W48" s="189"/>
      <c r="X48" s="189"/>
      <c r="Y48" s="189"/>
      <c r="Z48" s="189"/>
      <c r="AA48" s="189"/>
      <c r="AB48" s="189"/>
      <c r="AC48" s="189"/>
      <c r="AD48" s="189"/>
    </row>
    <row r="49" spans="1:30" ht="15" x14ac:dyDescent="0.2">
      <c r="A49" s="234"/>
      <c r="B49" s="235"/>
      <c r="C49" s="237"/>
      <c r="D49" s="239"/>
      <c r="E49" s="96" t="s">
        <v>583</v>
      </c>
      <c r="F49" s="180" t="s">
        <v>1549</v>
      </c>
      <c r="G49" s="189" t="s">
        <v>4289</v>
      </c>
      <c r="H49" s="189"/>
      <c r="J49" s="189"/>
      <c r="K49" s="189"/>
      <c r="L49" s="189"/>
      <c r="M49" s="189"/>
      <c r="N49" s="189"/>
      <c r="O49" s="194" t="s">
        <v>54</v>
      </c>
      <c r="P49" s="189"/>
      <c r="Q49" s="194" t="s">
        <v>54</v>
      </c>
      <c r="R49" s="189"/>
      <c r="S49" s="189"/>
      <c r="T49" s="189"/>
      <c r="U49" s="189"/>
      <c r="V49" s="189"/>
      <c r="W49" s="189"/>
      <c r="X49" s="189"/>
      <c r="Y49" s="189"/>
      <c r="Z49" s="189"/>
      <c r="AA49" s="189"/>
      <c r="AB49" s="189"/>
      <c r="AC49" s="189"/>
      <c r="AD49" s="189"/>
    </row>
    <row r="50" spans="1:30" ht="15" x14ac:dyDescent="0.2">
      <c r="A50" s="234"/>
      <c r="B50" s="235"/>
      <c r="C50" s="237"/>
      <c r="D50" s="239"/>
      <c r="E50" s="96" t="s">
        <v>586</v>
      </c>
      <c r="F50" s="180" t="s">
        <v>1548</v>
      </c>
      <c r="G50" s="189" t="s">
        <v>4289</v>
      </c>
      <c r="H50" s="189"/>
      <c r="J50" s="189"/>
      <c r="K50" s="189"/>
      <c r="L50" s="189"/>
      <c r="M50" s="189"/>
      <c r="N50" s="189"/>
      <c r="O50" s="194" t="s">
        <v>54</v>
      </c>
      <c r="P50" s="189"/>
      <c r="Q50" s="194" t="s">
        <v>54</v>
      </c>
      <c r="R50" s="189"/>
      <c r="S50" s="189"/>
      <c r="T50" s="189"/>
      <c r="U50" s="189"/>
      <c r="V50" s="189"/>
      <c r="W50" s="189"/>
      <c r="X50" s="189"/>
      <c r="Y50" s="189"/>
      <c r="Z50" s="189"/>
      <c r="AA50" s="189"/>
      <c r="AB50" s="189"/>
      <c r="AC50" s="189"/>
      <c r="AD50" s="189"/>
    </row>
    <row r="51" spans="1:30" ht="15" x14ac:dyDescent="0.2">
      <c r="A51" s="234"/>
      <c r="B51" s="235"/>
      <c r="C51" s="237"/>
      <c r="D51" s="239"/>
      <c r="E51" s="96" t="s">
        <v>588</v>
      </c>
      <c r="F51" s="180" t="s">
        <v>589</v>
      </c>
      <c r="G51" s="189" t="s">
        <v>4289</v>
      </c>
      <c r="H51" s="189"/>
      <c r="J51" s="189"/>
      <c r="K51" s="189"/>
      <c r="L51" s="189"/>
      <c r="M51" s="189"/>
      <c r="N51" s="189"/>
      <c r="O51" s="194" t="s">
        <v>54</v>
      </c>
      <c r="P51" s="189"/>
      <c r="Q51" s="194" t="s">
        <v>54</v>
      </c>
      <c r="R51" s="189"/>
      <c r="S51" s="189"/>
      <c r="T51" s="189"/>
      <c r="U51" s="189"/>
      <c r="V51" s="189"/>
      <c r="W51" s="189"/>
      <c r="X51" s="189"/>
      <c r="Y51" s="189"/>
      <c r="Z51" s="189"/>
      <c r="AA51" s="189"/>
      <c r="AB51" s="189"/>
      <c r="AC51" s="189"/>
      <c r="AD51" s="189"/>
    </row>
    <row r="52" spans="1:30" ht="15" x14ac:dyDescent="0.2">
      <c r="A52" s="234"/>
      <c r="B52" s="235"/>
      <c r="C52" s="237"/>
      <c r="D52" s="239"/>
      <c r="E52" s="96" t="s">
        <v>590</v>
      </c>
      <c r="F52" s="180" t="s">
        <v>591</v>
      </c>
      <c r="G52" s="189" t="s">
        <v>4289</v>
      </c>
      <c r="H52" s="189"/>
      <c r="J52" s="189"/>
      <c r="K52" s="189"/>
      <c r="L52" s="189"/>
      <c r="M52" s="189"/>
      <c r="N52" s="189"/>
      <c r="O52" s="194" t="s">
        <v>54</v>
      </c>
      <c r="P52" s="189"/>
      <c r="Q52" s="194" t="s">
        <v>54</v>
      </c>
      <c r="R52" s="189"/>
      <c r="S52" s="189"/>
      <c r="T52" s="189"/>
      <c r="U52" s="189"/>
      <c r="V52" s="189"/>
      <c r="W52" s="189"/>
      <c r="X52" s="189"/>
      <c r="Y52" s="189"/>
      <c r="Z52" s="189"/>
      <c r="AA52" s="189"/>
      <c r="AB52" s="189"/>
      <c r="AC52" s="189"/>
      <c r="AD52" s="189"/>
    </row>
    <row r="53" spans="1:30" ht="15" x14ac:dyDescent="0.2">
      <c r="A53" s="234"/>
      <c r="B53" s="235"/>
      <c r="C53" s="237"/>
      <c r="D53" s="239"/>
      <c r="E53" s="96" t="s">
        <v>593</v>
      </c>
      <c r="F53" s="180" t="s">
        <v>594</v>
      </c>
      <c r="G53" s="189" t="s">
        <v>4289</v>
      </c>
      <c r="H53" s="189"/>
      <c r="J53" s="189"/>
      <c r="K53" s="189"/>
      <c r="L53" s="189"/>
      <c r="M53" s="189"/>
      <c r="N53" s="189"/>
      <c r="O53" s="194" t="s">
        <v>54</v>
      </c>
      <c r="P53" s="189"/>
      <c r="Q53" s="194" t="s">
        <v>54</v>
      </c>
      <c r="R53" s="189"/>
      <c r="S53" s="189"/>
      <c r="T53" s="189"/>
      <c r="U53" s="189"/>
      <c r="V53" s="189"/>
      <c r="W53" s="189"/>
      <c r="X53" s="189"/>
      <c r="Y53" s="189"/>
      <c r="Z53" s="189"/>
      <c r="AA53" s="189"/>
      <c r="AB53" s="189"/>
      <c r="AC53" s="189"/>
      <c r="AD53" s="189"/>
    </row>
    <row r="54" spans="1:30" ht="15" x14ac:dyDescent="0.2">
      <c r="A54" s="234"/>
      <c r="B54" s="235"/>
      <c r="C54" s="237"/>
      <c r="D54" s="239"/>
      <c r="E54" s="96" t="s">
        <v>595</v>
      </c>
      <c r="F54" s="180" t="s">
        <v>596</v>
      </c>
      <c r="G54" s="189" t="s">
        <v>4289</v>
      </c>
      <c r="H54" s="189"/>
      <c r="J54" s="189"/>
      <c r="K54" s="189"/>
      <c r="L54" s="189"/>
      <c r="M54" s="189"/>
      <c r="N54" s="189"/>
      <c r="O54" s="194" t="s">
        <v>54</v>
      </c>
      <c r="P54" s="189"/>
      <c r="Q54" s="194" t="s">
        <v>54</v>
      </c>
      <c r="R54" s="189"/>
      <c r="S54" s="189"/>
      <c r="T54" s="189"/>
      <c r="U54" s="189"/>
      <c r="V54" s="189"/>
      <c r="W54" s="189"/>
      <c r="X54" s="189"/>
      <c r="Y54" s="189"/>
      <c r="Z54" s="189"/>
      <c r="AA54" s="189"/>
      <c r="AB54" s="189"/>
      <c r="AC54" s="189"/>
      <c r="AD54" s="189"/>
    </row>
    <row r="55" spans="1:30" ht="15" x14ac:dyDescent="0.2">
      <c r="A55" s="234"/>
      <c r="B55" s="235"/>
      <c r="C55" s="237"/>
      <c r="D55" s="239"/>
      <c r="E55" s="96" t="s">
        <v>597</v>
      </c>
      <c r="F55" s="180" t="s">
        <v>598</v>
      </c>
      <c r="G55" s="189" t="s">
        <v>4289</v>
      </c>
      <c r="H55" s="189"/>
      <c r="J55" s="189"/>
      <c r="K55" s="189"/>
      <c r="L55" s="189"/>
      <c r="M55" s="189"/>
      <c r="N55" s="189"/>
      <c r="O55" s="194" t="s">
        <v>54</v>
      </c>
      <c r="P55" s="189"/>
      <c r="Q55" s="194" t="s">
        <v>54</v>
      </c>
      <c r="R55" s="189"/>
      <c r="S55" s="189"/>
      <c r="T55" s="189"/>
      <c r="U55" s="189"/>
      <c r="V55" s="189"/>
      <c r="W55" s="189"/>
      <c r="X55" s="189"/>
      <c r="Y55" s="189"/>
      <c r="Z55" s="189"/>
      <c r="AA55" s="189"/>
      <c r="AB55" s="189"/>
      <c r="AC55" s="189"/>
      <c r="AD55" s="189"/>
    </row>
    <row r="56" spans="1:30" x14ac:dyDescent="0.2">
      <c r="A56" s="234"/>
      <c r="B56" s="235"/>
      <c r="C56" s="237"/>
      <c r="D56" s="239"/>
      <c r="E56" s="96" t="s">
        <v>599</v>
      </c>
      <c r="F56" s="179"/>
      <c r="G56" s="189" t="s">
        <v>4289</v>
      </c>
      <c r="H56" s="189"/>
      <c r="J56" s="189"/>
      <c r="K56" s="189"/>
      <c r="L56" s="189"/>
      <c r="M56" s="189"/>
      <c r="N56" s="189"/>
      <c r="O56" s="189"/>
      <c r="P56" s="189"/>
      <c r="Q56" s="189"/>
      <c r="R56" s="189"/>
      <c r="S56" s="189"/>
      <c r="T56" s="189"/>
      <c r="U56" s="189"/>
      <c r="V56" s="189"/>
      <c r="W56" s="189"/>
      <c r="X56" s="189"/>
      <c r="Y56" s="189"/>
      <c r="Z56" s="189"/>
      <c r="AA56" s="189"/>
      <c r="AB56" s="189"/>
      <c r="AC56" s="189"/>
      <c r="AD56" s="189"/>
    </row>
    <row r="57" spans="1:30" x14ac:dyDescent="0.2">
      <c r="A57" s="234" t="s">
        <v>604</v>
      </c>
      <c r="B57" s="235" t="s">
        <v>605</v>
      </c>
      <c r="C57" s="237">
        <f>SUM(H57:H64)/COUNTIF(F57:F64,"&gt;""")/4</f>
        <v>0</v>
      </c>
      <c r="D57" s="240" t="s">
        <v>606</v>
      </c>
      <c r="E57" s="96" t="s">
        <v>607</v>
      </c>
      <c r="F57" s="177" t="s">
        <v>608</v>
      </c>
      <c r="G57" s="189"/>
      <c r="H57" s="189"/>
      <c r="J57" s="189"/>
      <c r="K57" s="189"/>
      <c r="L57" s="189"/>
      <c r="M57" s="189"/>
      <c r="N57" s="189"/>
      <c r="O57" s="194" t="s">
        <v>54</v>
      </c>
      <c r="P57" s="189"/>
      <c r="Q57" s="194" t="s">
        <v>54</v>
      </c>
      <c r="R57" s="189"/>
      <c r="S57" s="194" t="s">
        <v>54</v>
      </c>
      <c r="T57" s="189"/>
      <c r="U57" s="189"/>
      <c r="V57" s="189"/>
      <c r="W57" s="189"/>
      <c r="X57" s="189"/>
      <c r="Y57" s="189"/>
      <c r="Z57" s="189"/>
      <c r="AA57" s="189"/>
      <c r="AB57" s="189"/>
      <c r="AC57" s="189"/>
      <c r="AD57" s="189"/>
    </row>
    <row r="58" spans="1:30" x14ac:dyDescent="0.2">
      <c r="A58" s="234"/>
      <c r="B58" s="235"/>
      <c r="C58" s="237"/>
      <c r="D58" s="239"/>
      <c r="E58" s="96" t="s">
        <v>610</v>
      </c>
      <c r="F58" s="177" t="s">
        <v>611</v>
      </c>
      <c r="G58" s="189"/>
      <c r="H58" s="189"/>
      <c r="J58" s="189"/>
      <c r="K58" s="189"/>
      <c r="L58" s="189"/>
      <c r="M58" s="189"/>
      <c r="N58" s="189"/>
      <c r="O58" s="194" t="s">
        <v>54</v>
      </c>
      <c r="P58" s="189"/>
      <c r="Q58" s="194" t="s">
        <v>54</v>
      </c>
      <c r="R58" s="189"/>
      <c r="S58" s="194" t="s">
        <v>54</v>
      </c>
      <c r="T58" s="189"/>
      <c r="U58" s="189"/>
      <c r="V58" s="189"/>
      <c r="W58" s="189"/>
      <c r="X58" s="189"/>
      <c r="Y58" s="189"/>
      <c r="Z58" s="189"/>
      <c r="AA58" s="189"/>
      <c r="AB58" s="189"/>
      <c r="AC58" s="189"/>
      <c r="AD58" s="189"/>
    </row>
    <row r="59" spans="1:30" ht="25.5" x14ac:dyDescent="0.2">
      <c r="A59" s="234"/>
      <c r="B59" s="235"/>
      <c r="C59" s="237"/>
      <c r="D59" s="239"/>
      <c r="E59" s="96" t="s">
        <v>612</v>
      </c>
      <c r="F59" s="177" t="s">
        <v>613</v>
      </c>
      <c r="G59" s="189"/>
      <c r="H59" s="189"/>
      <c r="J59" s="189"/>
      <c r="K59" s="189"/>
      <c r="L59" s="189"/>
      <c r="M59" s="189"/>
      <c r="N59" s="189"/>
      <c r="O59" s="194" t="s">
        <v>54</v>
      </c>
      <c r="P59" s="189"/>
      <c r="Q59" s="194" t="s">
        <v>54</v>
      </c>
      <c r="R59" s="189"/>
      <c r="S59" s="194" t="s">
        <v>54</v>
      </c>
      <c r="T59" s="189"/>
      <c r="U59" s="189"/>
      <c r="V59" s="189"/>
      <c r="W59" s="189"/>
      <c r="X59" s="189"/>
      <c r="Y59" s="189"/>
      <c r="Z59" s="189"/>
      <c r="AA59" s="189"/>
      <c r="AB59" s="189"/>
      <c r="AC59" s="189"/>
      <c r="AD59" s="189"/>
    </row>
    <row r="60" spans="1:30" ht="38.25" x14ac:dyDescent="0.2">
      <c r="A60" s="234"/>
      <c r="B60" s="235"/>
      <c r="C60" s="237"/>
      <c r="D60" s="239"/>
      <c r="E60" s="96" t="s">
        <v>615</v>
      </c>
      <c r="F60" s="177" t="s">
        <v>616</v>
      </c>
      <c r="G60" s="189"/>
      <c r="H60" s="189"/>
      <c r="J60" s="189"/>
      <c r="K60" s="189"/>
      <c r="L60" s="189"/>
      <c r="M60" s="189"/>
      <c r="N60" s="189"/>
      <c r="O60" s="194" t="s">
        <v>54</v>
      </c>
      <c r="P60" s="189"/>
      <c r="Q60" s="194" t="s">
        <v>54</v>
      </c>
      <c r="R60" s="189"/>
      <c r="S60" s="194" t="s">
        <v>54</v>
      </c>
      <c r="T60" s="189"/>
      <c r="U60" s="189"/>
      <c r="V60" s="189"/>
      <c r="W60" s="189"/>
      <c r="X60" s="189"/>
      <c r="Y60" s="189"/>
      <c r="Z60" s="189"/>
      <c r="AA60" s="189"/>
      <c r="AB60" s="189"/>
      <c r="AC60" s="189"/>
      <c r="AD60" s="189"/>
    </row>
    <row r="61" spans="1:30" x14ac:dyDescent="0.2">
      <c r="A61" s="234"/>
      <c r="B61" s="235"/>
      <c r="C61" s="237"/>
      <c r="D61" s="239"/>
      <c r="E61" s="96" t="s">
        <v>617</v>
      </c>
      <c r="F61" s="177" t="s">
        <v>618</v>
      </c>
      <c r="G61" s="189"/>
      <c r="H61" s="189"/>
      <c r="J61" s="189"/>
      <c r="K61" s="189"/>
      <c r="L61" s="189"/>
      <c r="M61" s="189"/>
      <c r="N61" s="189"/>
      <c r="O61" s="194" t="s">
        <v>54</v>
      </c>
      <c r="P61" s="189"/>
      <c r="Q61" s="194" t="s">
        <v>54</v>
      </c>
      <c r="R61" s="189"/>
      <c r="S61" s="194" t="s">
        <v>54</v>
      </c>
      <c r="T61" s="189"/>
      <c r="U61" s="189"/>
      <c r="V61" s="189"/>
      <c r="W61" s="189"/>
      <c r="X61" s="189"/>
      <c r="Y61" s="189"/>
      <c r="Z61" s="189"/>
      <c r="AA61" s="189"/>
      <c r="AB61" s="189"/>
      <c r="AC61" s="189"/>
      <c r="AD61" s="189"/>
    </row>
    <row r="62" spans="1:30" x14ac:dyDescent="0.2">
      <c r="A62" s="234"/>
      <c r="B62" s="235"/>
      <c r="C62" s="237"/>
      <c r="D62" s="239"/>
      <c r="E62" s="96" t="s">
        <v>620</v>
      </c>
      <c r="F62" s="177" t="s">
        <v>621</v>
      </c>
      <c r="G62" s="189"/>
      <c r="H62" s="189"/>
      <c r="J62" s="189"/>
      <c r="K62" s="189"/>
      <c r="L62" s="189"/>
      <c r="M62" s="189"/>
      <c r="N62" s="189"/>
      <c r="O62" s="194" t="s">
        <v>54</v>
      </c>
      <c r="P62" s="189"/>
      <c r="Q62" s="194" t="s">
        <v>54</v>
      </c>
      <c r="R62" s="189"/>
      <c r="S62" s="194" t="s">
        <v>54</v>
      </c>
      <c r="T62" s="189"/>
      <c r="U62" s="189"/>
      <c r="V62" s="189"/>
      <c r="W62" s="189"/>
      <c r="X62" s="189"/>
      <c r="Y62" s="189"/>
      <c r="Z62" s="189"/>
      <c r="AA62" s="189"/>
      <c r="AB62" s="189"/>
      <c r="AC62" s="189"/>
      <c r="AD62" s="189"/>
    </row>
    <row r="63" spans="1:30" ht="25.5" x14ac:dyDescent="0.2">
      <c r="A63" s="245"/>
      <c r="B63" s="246"/>
      <c r="C63" s="247"/>
      <c r="D63" s="239"/>
      <c r="E63" s="96" t="s">
        <v>623</v>
      </c>
      <c r="F63" s="182" t="s">
        <v>624</v>
      </c>
      <c r="G63" s="189"/>
      <c r="H63" s="189"/>
      <c r="J63" s="189"/>
      <c r="K63" s="189"/>
      <c r="L63" s="189"/>
      <c r="M63" s="189"/>
      <c r="N63" s="189"/>
      <c r="O63" s="194" t="s">
        <v>54</v>
      </c>
      <c r="P63" s="189"/>
      <c r="Q63" s="194" t="s">
        <v>54</v>
      </c>
      <c r="R63" s="189"/>
      <c r="S63" s="194" t="s">
        <v>54</v>
      </c>
      <c r="T63" s="189"/>
      <c r="U63" s="189"/>
      <c r="V63" s="189"/>
      <c r="W63" s="189"/>
      <c r="X63" s="189"/>
      <c r="Y63" s="189"/>
      <c r="Z63" s="189"/>
      <c r="AA63" s="189"/>
      <c r="AB63" s="189"/>
      <c r="AC63" s="189"/>
      <c r="AD63" s="189"/>
    </row>
    <row r="64" spans="1:30" x14ac:dyDescent="0.2">
      <c r="A64" s="245"/>
      <c r="B64" s="246"/>
      <c r="C64" s="247"/>
      <c r="D64" s="239"/>
      <c r="E64" s="96" t="s">
        <v>625</v>
      </c>
      <c r="F64" s="182"/>
      <c r="G64" s="189"/>
      <c r="H64" s="189"/>
      <c r="J64" s="189"/>
      <c r="K64" s="189"/>
      <c r="L64" s="189"/>
      <c r="M64" s="189"/>
      <c r="N64" s="189"/>
      <c r="O64" s="189"/>
      <c r="P64" s="189"/>
      <c r="Q64" s="189"/>
      <c r="R64" s="189"/>
      <c r="S64" s="189"/>
      <c r="T64" s="189"/>
      <c r="U64" s="189"/>
      <c r="V64" s="189"/>
      <c r="W64" s="189"/>
      <c r="X64" s="189"/>
      <c r="Y64" s="189"/>
      <c r="Z64" s="189"/>
      <c r="AA64" s="189"/>
      <c r="AB64" s="189"/>
      <c r="AC64" s="189"/>
      <c r="AD64" s="189"/>
    </row>
    <row r="65" spans="1:30" ht="13.5" thickBot="1" x14ac:dyDescent="0.25">
      <c r="A65" s="141"/>
      <c r="B65" s="141"/>
      <c r="C65" s="142"/>
      <c r="D65" s="141"/>
      <c r="E65" s="141"/>
      <c r="F65" s="141"/>
      <c r="G65" s="189"/>
      <c r="H65" s="189"/>
      <c r="J65" s="189"/>
      <c r="K65" s="189"/>
      <c r="L65" s="189"/>
      <c r="M65" s="189"/>
      <c r="N65" s="189"/>
      <c r="O65" s="189"/>
      <c r="P65" s="189"/>
      <c r="Q65" s="189"/>
      <c r="R65" s="189"/>
      <c r="S65" s="189"/>
      <c r="T65" s="189"/>
      <c r="U65" s="189"/>
      <c r="V65" s="189"/>
      <c r="W65" s="189"/>
      <c r="X65" s="189"/>
      <c r="Y65" s="189"/>
      <c r="Z65" s="189"/>
      <c r="AA65" s="189"/>
      <c r="AB65" s="189"/>
      <c r="AC65" s="189"/>
      <c r="AD65" s="189"/>
    </row>
    <row r="66" spans="1:30" ht="25.5" x14ac:dyDescent="0.2">
      <c r="A66" s="248" t="s">
        <v>377</v>
      </c>
      <c r="B66" s="251" t="s">
        <v>627</v>
      </c>
      <c r="C66" s="254">
        <f>SUM(H66:H72)/COUNTIF(F66:F72,"&gt;""")/4</f>
        <v>0</v>
      </c>
      <c r="D66" s="248" t="s">
        <v>628</v>
      </c>
      <c r="E66" s="16" t="s">
        <v>378</v>
      </c>
      <c r="F66" s="179" t="s">
        <v>4317</v>
      </c>
      <c r="G66" s="189" t="s">
        <v>4290</v>
      </c>
      <c r="H66" s="194" t="s">
        <v>4619</v>
      </c>
      <c r="J66" s="189"/>
      <c r="K66" s="189"/>
      <c r="L66" s="189"/>
      <c r="M66" s="189"/>
      <c r="N66" s="189"/>
      <c r="O66" s="189"/>
      <c r="P66" s="189"/>
      <c r="Q66" s="189"/>
      <c r="R66" s="189"/>
      <c r="S66" s="194" t="s">
        <v>54</v>
      </c>
      <c r="T66" s="189"/>
      <c r="U66" s="189"/>
      <c r="V66" s="189"/>
      <c r="W66" s="189"/>
      <c r="Y66" s="189"/>
      <c r="Z66" s="189"/>
      <c r="AA66" s="189"/>
      <c r="AB66" s="189"/>
      <c r="AC66" s="189"/>
      <c r="AD66" s="189"/>
    </row>
    <row r="67" spans="1:30" x14ac:dyDescent="0.2">
      <c r="A67" s="249"/>
      <c r="B67" s="252"/>
      <c r="C67" s="255"/>
      <c r="D67" s="249"/>
      <c r="E67" s="16" t="s">
        <v>379</v>
      </c>
      <c r="F67" s="177" t="s">
        <v>631</v>
      </c>
      <c r="G67" s="189" t="s">
        <v>4290</v>
      </c>
      <c r="H67" s="189"/>
      <c r="J67" s="189"/>
      <c r="K67" s="189"/>
      <c r="L67" s="189"/>
      <c r="M67" s="189"/>
      <c r="N67" s="189"/>
      <c r="O67" s="189"/>
      <c r="P67" s="189"/>
      <c r="Q67" s="189"/>
      <c r="R67" s="189"/>
      <c r="S67" s="194" t="s">
        <v>54</v>
      </c>
      <c r="T67" s="189"/>
      <c r="U67" s="189"/>
      <c r="V67" s="189"/>
      <c r="W67" s="189"/>
      <c r="X67" s="194"/>
      <c r="Y67" s="189"/>
      <c r="Z67" s="189"/>
      <c r="AA67" s="189"/>
      <c r="AB67" s="189"/>
      <c r="AC67" s="189"/>
      <c r="AD67" s="189"/>
    </row>
    <row r="68" spans="1:30" x14ac:dyDescent="0.2">
      <c r="A68" s="249"/>
      <c r="B68" s="252"/>
      <c r="C68" s="255"/>
      <c r="D68" s="249"/>
      <c r="E68" s="16" t="s">
        <v>380</v>
      </c>
      <c r="F68" s="177" t="s">
        <v>633</v>
      </c>
      <c r="G68" s="189" t="s">
        <v>4290</v>
      </c>
      <c r="H68" s="189"/>
      <c r="J68" s="189"/>
      <c r="K68" s="189"/>
      <c r="L68" s="189"/>
      <c r="M68" s="189"/>
      <c r="N68" s="189"/>
      <c r="O68" s="189"/>
      <c r="P68" s="189"/>
      <c r="Q68" s="189"/>
      <c r="R68" s="189"/>
      <c r="S68" s="194" t="s">
        <v>54</v>
      </c>
      <c r="T68" s="194" t="s">
        <v>54</v>
      </c>
      <c r="U68" s="189"/>
      <c r="V68" s="189"/>
      <c r="W68" s="189"/>
      <c r="X68" s="194" t="s">
        <v>4319</v>
      </c>
      <c r="Y68" s="189"/>
      <c r="Z68" s="189"/>
      <c r="AA68" s="189"/>
      <c r="AB68" s="189"/>
      <c r="AC68" s="189"/>
      <c r="AD68" s="189"/>
    </row>
    <row r="69" spans="1:30" ht="25.5" x14ac:dyDescent="0.2">
      <c r="A69" s="249"/>
      <c r="B69" s="252"/>
      <c r="C69" s="255"/>
      <c r="D69" s="249"/>
      <c r="E69" s="16" t="s">
        <v>381</v>
      </c>
      <c r="F69" s="177" t="s">
        <v>634</v>
      </c>
      <c r="G69" s="189" t="s">
        <v>4290</v>
      </c>
      <c r="H69" s="189"/>
      <c r="J69" s="189"/>
      <c r="K69" s="189"/>
      <c r="L69" s="189"/>
      <c r="M69" s="189"/>
      <c r="N69" s="189"/>
      <c r="O69" s="189"/>
      <c r="P69" s="189"/>
      <c r="Q69" s="189"/>
      <c r="R69" s="189"/>
      <c r="S69" s="194" t="s">
        <v>54</v>
      </c>
      <c r="T69" s="194" t="s">
        <v>54</v>
      </c>
      <c r="U69" s="189"/>
      <c r="V69" s="194" t="s">
        <v>54</v>
      </c>
      <c r="W69" s="189"/>
      <c r="X69" s="194" t="s">
        <v>4319</v>
      </c>
      <c r="Y69" s="189"/>
      <c r="Z69" s="189"/>
      <c r="AA69" s="189"/>
      <c r="AB69" s="189"/>
      <c r="AC69" s="189"/>
      <c r="AD69" s="189"/>
    </row>
    <row r="70" spans="1:30" ht="25.5" x14ac:dyDescent="0.2">
      <c r="A70" s="249"/>
      <c r="B70" s="252"/>
      <c r="C70" s="255"/>
      <c r="D70" s="249"/>
      <c r="E70" s="16" t="s">
        <v>382</v>
      </c>
      <c r="F70" s="177" t="s">
        <v>636</v>
      </c>
      <c r="G70" s="189" t="s">
        <v>4290</v>
      </c>
      <c r="H70" s="189"/>
      <c r="J70" s="189"/>
      <c r="K70" s="189"/>
      <c r="L70" s="189"/>
      <c r="M70" s="189"/>
      <c r="N70" s="189"/>
      <c r="O70" s="189"/>
      <c r="P70" s="189"/>
      <c r="Q70" s="189"/>
      <c r="R70" s="189"/>
      <c r="S70" s="194" t="s">
        <v>54</v>
      </c>
      <c r="T70" s="194" t="s">
        <v>54</v>
      </c>
      <c r="U70" s="189"/>
      <c r="V70" s="189"/>
      <c r="W70" s="189"/>
      <c r="X70" s="194" t="s">
        <v>4319</v>
      </c>
      <c r="Y70" s="189"/>
      <c r="Z70" s="189"/>
      <c r="AA70" s="189"/>
      <c r="AB70" s="189"/>
      <c r="AC70" s="189"/>
      <c r="AD70" s="189"/>
    </row>
    <row r="71" spans="1:30" x14ac:dyDescent="0.2">
      <c r="A71" s="249"/>
      <c r="B71" s="252"/>
      <c r="C71" s="255"/>
      <c r="D71" s="249"/>
      <c r="E71" s="16" t="s">
        <v>637</v>
      </c>
      <c r="F71" s="181" t="s">
        <v>4318</v>
      </c>
      <c r="G71" s="189" t="s">
        <v>4290</v>
      </c>
      <c r="H71" s="189"/>
      <c r="J71" s="189"/>
      <c r="K71" s="189"/>
      <c r="L71" s="189"/>
      <c r="M71" s="189"/>
      <c r="N71" s="189"/>
      <c r="O71" s="189"/>
      <c r="P71" s="189"/>
      <c r="Q71" s="189"/>
      <c r="R71" s="189"/>
      <c r="S71" s="189"/>
      <c r="T71" s="189"/>
      <c r="U71" s="189"/>
      <c r="V71" s="189"/>
      <c r="W71" s="189"/>
      <c r="X71" s="189"/>
      <c r="Y71" s="189"/>
      <c r="Z71" s="189"/>
      <c r="AA71" s="189"/>
      <c r="AB71" s="189"/>
      <c r="AC71" s="189"/>
      <c r="AD71" s="189"/>
    </row>
    <row r="72" spans="1:30" ht="13.5" thickBot="1" x14ac:dyDescent="0.25">
      <c r="A72" s="249"/>
      <c r="B72" s="252"/>
      <c r="C72" s="255"/>
      <c r="D72" s="249"/>
      <c r="E72" s="16" t="s">
        <v>640</v>
      </c>
      <c r="F72" s="177"/>
      <c r="G72" s="189"/>
      <c r="H72" s="189"/>
      <c r="J72" s="189"/>
      <c r="K72" s="189"/>
      <c r="L72" s="189"/>
      <c r="M72" s="189"/>
      <c r="N72" s="189"/>
      <c r="O72" s="189"/>
      <c r="P72" s="189"/>
      <c r="Q72" s="189"/>
      <c r="R72" s="189"/>
      <c r="S72" s="189"/>
      <c r="T72" s="189"/>
      <c r="U72" s="189"/>
      <c r="V72" s="189"/>
      <c r="W72" s="189"/>
      <c r="X72" s="189"/>
      <c r="Y72" s="189"/>
      <c r="Z72" s="189"/>
      <c r="AA72" s="189"/>
      <c r="AB72" s="189"/>
      <c r="AC72" s="189"/>
      <c r="AD72" s="189"/>
    </row>
    <row r="73" spans="1:30" ht="15" x14ac:dyDescent="0.2">
      <c r="A73" s="248" t="s">
        <v>383</v>
      </c>
      <c r="B73" s="251" t="s">
        <v>642</v>
      </c>
      <c r="C73" s="254">
        <f>SUM(H73:H85)/COUNTIF(F73:F85,"&gt;""")/4</f>
        <v>0</v>
      </c>
      <c r="D73" s="248" t="s">
        <v>643</v>
      </c>
      <c r="E73" s="96" t="s">
        <v>384</v>
      </c>
      <c r="F73" s="180" t="s">
        <v>644</v>
      </c>
      <c r="G73" s="189" t="s">
        <v>4289</v>
      </c>
      <c r="H73" s="189"/>
      <c r="J73" s="189"/>
      <c r="K73" s="189"/>
      <c r="L73" s="189"/>
      <c r="M73" s="189"/>
      <c r="N73" s="189"/>
      <c r="O73" s="189"/>
      <c r="P73" s="189"/>
      <c r="Q73" s="189"/>
      <c r="R73" s="189"/>
      <c r="S73" s="189"/>
      <c r="T73" s="189"/>
      <c r="U73" s="189"/>
      <c r="V73" s="189"/>
      <c r="W73" s="189"/>
      <c r="X73" s="194" t="s">
        <v>4319</v>
      </c>
      <c r="Y73" s="189"/>
      <c r="Z73" s="189"/>
      <c r="AA73" s="189"/>
      <c r="AB73" s="189"/>
      <c r="AC73" s="189"/>
      <c r="AD73" s="189"/>
    </row>
    <row r="74" spans="1:30" ht="15" x14ac:dyDescent="0.2">
      <c r="A74" s="249"/>
      <c r="B74" s="252"/>
      <c r="C74" s="255"/>
      <c r="D74" s="249"/>
      <c r="E74" s="96" t="s">
        <v>385</v>
      </c>
      <c r="F74" s="180" t="s">
        <v>646</v>
      </c>
      <c r="G74" s="189" t="s">
        <v>4289</v>
      </c>
      <c r="H74" s="189"/>
      <c r="J74" s="189"/>
      <c r="K74" s="189"/>
      <c r="L74" s="189"/>
      <c r="M74" s="189"/>
      <c r="N74" s="189"/>
      <c r="O74" s="189"/>
      <c r="P74" s="189"/>
      <c r="Q74" s="189"/>
      <c r="R74" s="189"/>
      <c r="S74" s="189"/>
      <c r="T74" s="189"/>
      <c r="U74" s="189"/>
      <c r="V74" s="189"/>
      <c r="W74" s="189"/>
      <c r="X74" s="194" t="s">
        <v>4319</v>
      </c>
      <c r="Y74" s="189"/>
      <c r="Z74" s="189"/>
      <c r="AA74" s="189"/>
      <c r="AB74" s="189"/>
      <c r="AC74" s="189"/>
      <c r="AD74" s="189"/>
    </row>
    <row r="75" spans="1:30" ht="15" x14ac:dyDescent="0.2">
      <c r="A75" s="249"/>
      <c r="B75" s="252"/>
      <c r="C75" s="255"/>
      <c r="D75" s="249"/>
      <c r="E75" s="96" t="s">
        <v>386</v>
      </c>
      <c r="F75" s="180" t="s">
        <v>648</v>
      </c>
      <c r="G75" s="189" t="s">
        <v>4289</v>
      </c>
      <c r="H75" s="189"/>
      <c r="J75" s="189"/>
      <c r="K75" s="189"/>
      <c r="L75" s="189"/>
      <c r="M75" s="189"/>
      <c r="N75" s="189"/>
      <c r="O75" s="189"/>
      <c r="P75" s="189"/>
      <c r="Q75" s="189"/>
      <c r="R75" s="189"/>
      <c r="S75" s="194" t="s">
        <v>54</v>
      </c>
      <c r="T75" s="194" t="s">
        <v>54</v>
      </c>
      <c r="U75" s="189"/>
      <c r="V75" s="194" t="s">
        <v>54</v>
      </c>
      <c r="W75" s="189"/>
      <c r="X75" s="194" t="s">
        <v>4319</v>
      </c>
      <c r="Y75" s="189"/>
      <c r="Z75" s="189"/>
      <c r="AA75" s="189"/>
      <c r="AB75" s="189"/>
      <c r="AC75" s="189"/>
      <c r="AD75" s="189"/>
    </row>
    <row r="76" spans="1:30" ht="15" x14ac:dyDescent="0.2">
      <c r="A76" s="249"/>
      <c r="B76" s="252"/>
      <c r="C76" s="255"/>
      <c r="D76" s="249"/>
      <c r="E76" s="96" t="s">
        <v>387</v>
      </c>
      <c r="F76" s="180" t="s">
        <v>649</v>
      </c>
      <c r="G76" s="189" t="s">
        <v>4289</v>
      </c>
      <c r="H76" s="189"/>
      <c r="J76" s="189"/>
      <c r="K76" s="189"/>
      <c r="L76" s="189"/>
      <c r="M76" s="189"/>
      <c r="N76" s="189"/>
      <c r="O76" s="189"/>
      <c r="P76" s="189"/>
      <c r="Q76" s="189"/>
      <c r="R76" s="189"/>
      <c r="S76" s="189"/>
      <c r="T76" s="189"/>
      <c r="U76" s="189"/>
      <c r="V76" s="189"/>
      <c r="W76" s="189"/>
      <c r="X76" s="194" t="s">
        <v>4319</v>
      </c>
      <c r="Y76" s="189"/>
      <c r="Z76" s="189"/>
      <c r="AA76" s="189"/>
      <c r="AB76" s="189"/>
      <c r="AC76" s="189"/>
      <c r="AD76" s="189"/>
    </row>
    <row r="77" spans="1:30" ht="15" x14ac:dyDescent="0.2">
      <c r="A77" s="249"/>
      <c r="B77" s="252"/>
      <c r="C77" s="255"/>
      <c r="D77" s="249"/>
      <c r="E77" s="96" t="s">
        <v>388</v>
      </c>
      <c r="F77" s="180" t="s">
        <v>651</v>
      </c>
      <c r="G77" s="189" t="s">
        <v>4289</v>
      </c>
      <c r="H77" s="189"/>
      <c r="J77" s="189"/>
      <c r="K77" s="189"/>
      <c r="L77" s="189"/>
      <c r="M77" s="189"/>
      <c r="N77" s="189"/>
      <c r="O77" s="189"/>
      <c r="P77" s="189"/>
      <c r="Q77" s="189"/>
      <c r="R77" s="189"/>
      <c r="S77" s="189"/>
      <c r="T77" s="189"/>
      <c r="U77" s="189"/>
      <c r="V77" s="189"/>
      <c r="W77" s="189"/>
      <c r="X77" s="194" t="s">
        <v>4319</v>
      </c>
      <c r="Y77" s="189"/>
      <c r="Z77" s="189"/>
      <c r="AA77" s="189"/>
      <c r="AB77" s="189"/>
      <c r="AC77" s="189"/>
      <c r="AD77" s="189"/>
    </row>
    <row r="78" spans="1:30" ht="15" x14ac:dyDescent="0.2">
      <c r="A78" s="249"/>
      <c r="B78" s="252"/>
      <c r="C78" s="255"/>
      <c r="D78" s="249"/>
      <c r="E78" s="96" t="s">
        <v>653</v>
      </c>
      <c r="F78" s="180" t="s">
        <v>654</v>
      </c>
      <c r="G78" s="189" t="s">
        <v>4289</v>
      </c>
      <c r="H78" s="189"/>
      <c r="J78" s="189"/>
      <c r="K78" s="189"/>
      <c r="L78" s="189"/>
      <c r="M78" s="189"/>
      <c r="N78" s="189"/>
      <c r="O78" s="189"/>
      <c r="P78" s="189"/>
      <c r="Q78" s="189"/>
      <c r="R78" s="189"/>
      <c r="S78" s="189"/>
      <c r="T78" s="189"/>
      <c r="U78" s="189"/>
      <c r="V78" s="189"/>
      <c r="W78" s="189"/>
      <c r="X78" s="194" t="s">
        <v>4319</v>
      </c>
      <c r="Y78" s="189"/>
      <c r="Z78" s="189"/>
      <c r="AA78" s="189"/>
      <c r="AB78" s="189"/>
      <c r="AC78" s="189"/>
      <c r="AD78" s="189"/>
    </row>
    <row r="79" spans="1:30" ht="15" x14ac:dyDescent="0.2">
      <c r="A79" s="249"/>
      <c r="B79" s="252"/>
      <c r="C79" s="255"/>
      <c r="D79" s="249"/>
      <c r="E79" s="96" t="s">
        <v>656</v>
      </c>
      <c r="F79" s="180" t="s">
        <v>657</v>
      </c>
      <c r="G79" s="189" t="s">
        <v>4289</v>
      </c>
      <c r="H79" s="189"/>
      <c r="J79" s="189"/>
      <c r="K79" s="189"/>
      <c r="L79" s="189"/>
      <c r="M79" s="189"/>
      <c r="N79" s="189"/>
      <c r="O79" s="189"/>
      <c r="P79" s="189"/>
      <c r="Q79" s="189"/>
      <c r="R79" s="189"/>
      <c r="S79" s="189"/>
      <c r="T79" s="189"/>
      <c r="U79" s="189"/>
      <c r="V79" s="189"/>
      <c r="W79" s="189"/>
      <c r="X79" s="194" t="s">
        <v>4319</v>
      </c>
      <c r="Y79" s="194" t="s">
        <v>54</v>
      </c>
      <c r="Z79" s="189"/>
      <c r="AA79" s="189"/>
      <c r="AB79" s="189"/>
      <c r="AC79" s="189"/>
      <c r="AD79" s="189"/>
    </row>
    <row r="80" spans="1:30" ht="15" x14ac:dyDescent="0.2">
      <c r="A80" s="249"/>
      <c r="B80" s="252"/>
      <c r="C80" s="255"/>
      <c r="D80" s="249"/>
      <c r="E80" s="96" t="s">
        <v>658</v>
      </c>
      <c r="F80" s="180" t="s">
        <v>1550</v>
      </c>
      <c r="G80" s="189" t="s">
        <v>4289</v>
      </c>
      <c r="H80" s="189"/>
      <c r="J80" s="189"/>
      <c r="K80" s="189"/>
      <c r="L80" s="189"/>
      <c r="M80" s="189"/>
      <c r="N80" s="189"/>
      <c r="O80" s="189"/>
      <c r="P80" s="189"/>
      <c r="Q80" s="189"/>
      <c r="R80" s="189"/>
      <c r="S80" s="189"/>
      <c r="T80" s="189"/>
      <c r="U80" s="189"/>
      <c r="V80" s="189"/>
      <c r="W80" s="189"/>
      <c r="X80" s="194" t="s">
        <v>4319</v>
      </c>
      <c r="Y80" s="194" t="s">
        <v>54</v>
      </c>
      <c r="Z80" s="194" t="s">
        <v>54</v>
      </c>
      <c r="AA80" s="189"/>
      <c r="AB80" s="189"/>
      <c r="AC80" s="189"/>
      <c r="AD80" s="189"/>
    </row>
    <row r="81" spans="1:30" ht="15" x14ac:dyDescent="0.2">
      <c r="A81" s="249"/>
      <c r="B81" s="252"/>
      <c r="C81" s="255"/>
      <c r="D81" s="249"/>
      <c r="E81" s="96" t="s">
        <v>659</v>
      </c>
      <c r="F81" s="180" t="s">
        <v>660</v>
      </c>
      <c r="G81" s="189" t="s">
        <v>4289</v>
      </c>
      <c r="H81" s="189"/>
      <c r="J81" s="189"/>
      <c r="K81" s="189"/>
      <c r="L81" s="189"/>
      <c r="M81" s="189"/>
      <c r="N81" s="189"/>
      <c r="O81" s="189"/>
      <c r="P81" s="189"/>
      <c r="Q81" s="189"/>
      <c r="R81" s="189"/>
      <c r="S81" s="189"/>
      <c r="T81" s="189"/>
      <c r="U81" s="189"/>
      <c r="V81" s="189"/>
      <c r="W81" s="189"/>
      <c r="X81" s="194" t="s">
        <v>4319</v>
      </c>
      <c r="Y81" s="189"/>
      <c r="Z81" s="194" t="s">
        <v>54</v>
      </c>
      <c r="AA81" s="189"/>
      <c r="AB81" s="189"/>
      <c r="AC81" s="189"/>
      <c r="AD81" s="189"/>
    </row>
    <row r="82" spans="1:30" ht="15" x14ac:dyDescent="0.2">
      <c r="A82" s="249"/>
      <c r="B82" s="252"/>
      <c r="C82" s="255"/>
      <c r="D82" s="249"/>
      <c r="E82" s="96" t="s">
        <v>661</v>
      </c>
      <c r="F82" s="180" t="s">
        <v>662</v>
      </c>
      <c r="G82" s="189" t="s">
        <v>4289</v>
      </c>
      <c r="H82" s="189"/>
      <c r="J82" s="189"/>
      <c r="K82" s="189"/>
      <c r="L82" s="189"/>
      <c r="M82" s="189"/>
      <c r="N82" s="189"/>
      <c r="O82" s="189"/>
      <c r="P82" s="189"/>
      <c r="Q82" s="189"/>
      <c r="R82" s="189"/>
      <c r="S82" s="189"/>
      <c r="T82" s="189"/>
      <c r="U82" s="189"/>
      <c r="V82" s="189"/>
      <c r="W82" s="189"/>
      <c r="X82" s="194" t="s">
        <v>4319</v>
      </c>
      <c r="Y82" s="189"/>
      <c r="Z82" s="194" t="s">
        <v>54</v>
      </c>
      <c r="AA82" s="189"/>
      <c r="AB82" s="189"/>
      <c r="AC82" s="189"/>
      <c r="AD82" s="189"/>
    </row>
    <row r="83" spans="1:30" ht="15" x14ac:dyDescent="0.2">
      <c r="A83" s="249"/>
      <c r="B83" s="252"/>
      <c r="C83" s="255"/>
      <c r="D83" s="249"/>
      <c r="E83" s="96" t="s">
        <v>663</v>
      </c>
      <c r="F83" s="180" t="s">
        <v>664</v>
      </c>
      <c r="G83" s="189" t="s">
        <v>4289</v>
      </c>
      <c r="H83" s="189"/>
      <c r="J83" s="189"/>
      <c r="K83" s="189"/>
      <c r="L83" s="189"/>
      <c r="M83" s="189"/>
      <c r="N83" s="189"/>
      <c r="O83" s="189"/>
      <c r="P83" s="189"/>
      <c r="Q83" s="189"/>
      <c r="R83" s="189"/>
      <c r="S83" s="189"/>
      <c r="T83" s="189"/>
      <c r="U83" s="189"/>
      <c r="V83" s="189"/>
      <c r="W83" s="189"/>
      <c r="X83" s="194" t="s">
        <v>4319</v>
      </c>
      <c r="Y83" s="189"/>
      <c r="Z83" s="194" t="s">
        <v>54</v>
      </c>
      <c r="AA83" s="189"/>
      <c r="AB83" s="189"/>
      <c r="AC83" s="189"/>
      <c r="AD83" s="189"/>
    </row>
    <row r="84" spans="1:30" ht="15" x14ac:dyDescent="0.2">
      <c r="A84" s="249"/>
      <c r="B84" s="252"/>
      <c r="C84" s="255"/>
      <c r="D84" s="249"/>
      <c r="E84" s="96" t="s">
        <v>665</v>
      </c>
      <c r="F84" s="180" t="s">
        <v>1551</v>
      </c>
      <c r="G84" s="189" t="s">
        <v>4289</v>
      </c>
      <c r="H84" s="189"/>
      <c r="J84" s="189"/>
      <c r="K84" s="189"/>
      <c r="L84" s="189"/>
      <c r="M84" s="189"/>
      <c r="N84" s="189"/>
      <c r="O84" s="189"/>
      <c r="P84" s="189"/>
      <c r="Q84" s="189"/>
      <c r="R84" s="189"/>
      <c r="S84" s="189"/>
      <c r="T84" s="189"/>
      <c r="U84" s="189"/>
      <c r="V84" s="194" t="s">
        <v>54</v>
      </c>
      <c r="W84" s="194"/>
      <c r="X84" s="194" t="s">
        <v>4319</v>
      </c>
      <c r="Y84" s="189"/>
      <c r="Z84" s="189"/>
      <c r="AA84" s="189"/>
      <c r="AB84" s="189"/>
      <c r="AC84" s="189"/>
      <c r="AD84" s="189"/>
    </row>
    <row r="85" spans="1:30" ht="13.5" thickBot="1" x14ac:dyDescent="0.25">
      <c r="A85" s="250"/>
      <c r="B85" s="253"/>
      <c r="C85" s="256"/>
      <c r="D85" s="250"/>
      <c r="E85" s="96" t="s">
        <v>667</v>
      </c>
      <c r="F85" s="177"/>
      <c r="G85" s="189"/>
      <c r="H85" s="189"/>
      <c r="J85" s="189"/>
      <c r="K85" s="189"/>
      <c r="L85" s="189"/>
      <c r="M85" s="189"/>
      <c r="N85" s="189"/>
      <c r="O85" s="189"/>
      <c r="P85" s="189"/>
      <c r="Q85" s="189"/>
      <c r="R85" s="189"/>
      <c r="S85" s="189"/>
      <c r="T85" s="189"/>
      <c r="U85" s="189"/>
      <c r="V85" s="189"/>
      <c r="W85" s="189"/>
      <c r="X85" s="189"/>
      <c r="Y85" s="189"/>
      <c r="Z85" s="189"/>
      <c r="AA85" s="189"/>
      <c r="AB85" s="189"/>
      <c r="AC85" s="189"/>
      <c r="AD85" s="189"/>
    </row>
    <row r="86" spans="1:30" x14ac:dyDescent="0.2">
      <c r="A86" s="248" t="s">
        <v>389</v>
      </c>
      <c r="B86" s="251" t="s">
        <v>1908</v>
      </c>
      <c r="C86" s="254">
        <f>SUM(H86:H93)/COUNTIF(F86:F93,"&gt;""")/4</f>
        <v>0</v>
      </c>
      <c r="D86" s="257" t="s">
        <v>4320</v>
      </c>
      <c r="E86" s="96" t="s">
        <v>390</v>
      </c>
      <c r="F86" s="227" t="s">
        <v>669</v>
      </c>
      <c r="G86" s="189" t="s">
        <v>4291</v>
      </c>
      <c r="H86" s="189"/>
      <c r="J86" s="189"/>
      <c r="K86" s="189"/>
      <c r="L86" s="189"/>
      <c r="M86" s="194" t="s">
        <v>54</v>
      </c>
      <c r="N86" s="189"/>
      <c r="O86" s="189"/>
      <c r="P86" s="189"/>
      <c r="Q86" s="189"/>
      <c r="R86" s="189"/>
      <c r="S86" s="189"/>
      <c r="T86" s="189"/>
      <c r="U86" s="189"/>
      <c r="V86" s="189"/>
      <c r="W86" s="189"/>
      <c r="X86" s="189"/>
      <c r="Y86" s="189"/>
      <c r="Z86" s="189"/>
      <c r="AA86" s="189"/>
      <c r="AB86" s="189"/>
      <c r="AC86" s="189"/>
      <c r="AD86" s="189"/>
    </row>
    <row r="87" spans="1:30" x14ac:dyDescent="0.2">
      <c r="A87" s="249"/>
      <c r="B87" s="252"/>
      <c r="C87" s="255"/>
      <c r="D87" s="249"/>
      <c r="E87" s="96" t="s">
        <v>391</v>
      </c>
      <c r="F87" s="227" t="s">
        <v>671</v>
      </c>
      <c r="G87" s="189" t="s">
        <v>4290</v>
      </c>
      <c r="H87" s="189"/>
      <c r="J87" s="189"/>
      <c r="K87" s="189"/>
      <c r="L87" s="189"/>
      <c r="M87" s="194" t="s">
        <v>54</v>
      </c>
      <c r="N87" s="189"/>
      <c r="O87" s="189"/>
      <c r="P87" s="189"/>
      <c r="Q87" s="189"/>
      <c r="R87" s="189"/>
      <c r="S87" s="189"/>
      <c r="T87" s="189"/>
      <c r="U87" s="189"/>
      <c r="V87" s="189"/>
      <c r="W87" s="189"/>
      <c r="X87" s="189"/>
      <c r="Y87" s="189"/>
      <c r="Z87" s="189"/>
      <c r="AA87" s="189"/>
      <c r="AB87" s="189"/>
      <c r="AC87" s="189"/>
      <c r="AD87" s="189"/>
    </row>
    <row r="88" spans="1:30" x14ac:dyDescent="0.2">
      <c r="A88" s="249"/>
      <c r="B88" s="252"/>
      <c r="C88" s="255"/>
      <c r="D88" s="249"/>
      <c r="E88" s="96" t="s">
        <v>392</v>
      </c>
      <c r="F88" s="228" t="s">
        <v>672</v>
      </c>
      <c r="G88" s="189" t="s">
        <v>4291</v>
      </c>
      <c r="H88" s="189"/>
      <c r="J88" s="189"/>
      <c r="K88" s="189"/>
      <c r="L88" s="189"/>
      <c r="M88" s="194" t="s">
        <v>54</v>
      </c>
      <c r="N88" s="189"/>
      <c r="O88" s="189"/>
      <c r="P88" s="189"/>
      <c r="Q88" s="189"/>
      <c r="R88" s="189"/>
      <c r="S88" s="194" t="s">
        <v>54</v>
      </c>
      <c r="T88" s="189"/>
      <c r="U88" s="189"/>
      <c r="V88" s="189"/>
      <c r="W88" s="189"/>
      <c r="X88" s="194" t="s">
        <v>54</v>
      </c>
      <c r="Y88" s="189"/>
      <c r="Z88" s="189"/>
      <c r="AA88" s="189"/>
      <c r="AB88" s="189"/>
      <c r="AC88" s="189"/>
      <c r="AD88" s="189"/>
    </row>
    <row r="89" spans="1:30" x14ac:dyDescent="0.2">
      <c r="A89" s="249"/>
      <c r="B89" s="252"/>
      <c r="C89" s="255"/>
      <c r="D89" s="249"/>
      <c r="E89" s="96" t="s">
        <v>673</v>
      </c>
      <c r="F89" s="229" t="s">
        <v>4321</v>
      </c>
      <c r="G89" s="189" t="s">
        <v>4290</v>
      </c>
      <c r="H89" s="189"/>
      <c r="J89" s="189"/>
      <c r="K89" s="189"/>
      <c r="L89" s="189"/>
      <c r="M89" s="194" t="s">
        <v>54</v>
      </c>
      <c r="N89" s="189"/>
      <c r="O89" s="189"/>
      <c r="P89" s="189"/>
      <c r="Q89" s="189"/>
      <c r="R89" s="189"/>
      <c r="S89" s="194" t="s">
        <v>54</v>
      </c>
      <c r="T89" s="189"/>
      <c r="U89" s="189"/>
      <c r="V89" s="189"/>
      <c r="W89" s="189"/>
      <c r="X89" s="194" t="s">
        <v>54</v>
      </c>
      <c r="Y89" s="189"/>
      <c r="Z89" s="189"/>
      <c r="AA89" s="189"/>
      <c r="AB89" s="189"/>
      <c r="AC89" s="189"/>
      <c r="AD89" s="189"/>
    </row>
    <row r="90" spans="1:30" x14ac:dyDescent="0.2">
      <c r="A90" s="249"/>
      <c r="B90" s="252"/>
      <c r="C90" s="255"/>
      <c r="D90" s="249"/>
      <c r="E90" s="96" t="s">
        <v>676</v>
      </c>
      <c r="F90" s="228" t="s">
        <v>2226</v>
      </c>
      <c r="G90" s="189" t="s">
        <v>4290</v>
      </c>
      <c r="H90" s="189"/>
      <c r="J90" s="189"/>
      <c r="K90" s="189"/>
      <c r="L90" s="189"/>
      <c r="M90" s="194"/>
      <c r="N90" s="189"/>
      <c r="O90" s="189"/>
      <c r="P90" s="189"/>
      <c r="Q90" s="189"/>
      <c r="R90" s="189"/>
      <c r="S90" s="189"/>
      <c r="T90" s="189"/>
      <c r="U90" s="189"/>
      <c r="V90" s="189"/>
      <c r="W90" s="189"/>
      <c r="X90" s="189"/>
      <c r="Y90" s="189"/>
      <c r="Z90" s="189"/>
      <c r="AA90" s="189"/>
      <c r="AB90" s="189"/>
      <c r="AC90" s="189"/>
      <c r="AD90" s="189"/>
    </row>
    <row r="91" spans="1:30" x14ac:dyDescent="0.2">
      <c r="A91" s="249"/>
      <c r="B91" s="252"/>
      <c r="C91" s="255"/>
      <c r="D91" s="249"/>
      <c r="E91" s="96" t="s">
        <v>678</v>
      </c>
      <c r="F91" s="228" t="s">
        <v>679</v>
      </c>
      <c r="G91" s="189" t="s">
        <v>4291</v>
      </c>
      <c r="H91" s="189"/>
      <c r="J91" s="189"/>
      <c r="K91" s="189"/>
      <c r="L91" s="189"/>
      <c r="M91" s="194" t="s">
        <v>54</v>
      </c>
      <c r="N91" s="189"/>
      <c r="O91" s="189"/>
      <c r="P91" s="189"/>
      <c r="Q91" s="189"/>
      <c r="R91" s="189"/>
      <c r="S91" s="194" t="s">
        <v>54</v>
      </c>
      <c r="T91" s="189"/>
      <c r="U91" s="189"/>
      <c r="V91" s="189"/>
      <c r="W91" s="189"/>
      <c r="X91" s="189"/>
      <c r="Y91" s="189"/>
      <c r="Z91" s="189"/>
      <c r="AA91" s="189"/>
      <c r="AB91" s="189"/>
      <c r="AC91" s="189"/>
      <c r="AD91" s="189"/>
    </row>
    <row r="92" spans="1:30" ht="45" x14ac:dyDescent="0.2">
      <c r="A92" s="249"/>
      <c r="B92" s="252"/>
      <c r="C92" s="255"/>
      <c r="D92" s="249"/>
      <c r="E92" s="96" t="s">
        <v>681</v>
      </c>
      <c r="F92" s="228" t="s">
        <v>682</v>
      </c>
      <c r="G92" s="189" t="s">
        <v>4290</v>
      </c>
      <c r="H92" s="189"/>
      <c r="J92" s="189"/>
      <c r="K92" s="189"/>
      <c r="L92" s="189"/>
      <c r="M92" s="194" t="s">
        <v>54</v>
      </c>
      <c r="N92" s="189"/>
      <c r="O92" s="189"/>
      <c r="P92" s="189"/>
      <c r="Q92" s="189"/>
      <c r="R92" s="189"/>
      <c r="S92" s="194" t="s">
        <v>54</v>
      </c>
      <c r="T92" s="189"/>
      <c r="U92" s="189"/>
      <c r="V92" s="189"/>
      <c r="W92" s="189"/>
      <c r="X92" s="189"/>
      <c r="Y92" s="189"/>
      <c r="Z92" s="189"/>
      <c r="AA92" s="189"/>
      <c r="AB92" s="189"/>
      <c r="AC92" s="189"/>
      <c r="AD92" s="189"/>
    </row>
    <row r="93" spans="1:30" ht="13.5" thickBot="1" x14ac:dyDescent="0.25">
      <c r="A93" s="250"/>
      <c r="B93" s="253"/>
      <c r="C93" s="256"/>
      <c r="D93" s="250"/>
      <c r="E93" s="96" t="s">
        <v>684</v>
      </c>
      <c r="F93" s="177"/>
      <c r="G93" s="189"/>
      <c r="H93" s="189"/>
      <c r="J93" s="189"/>
      <c r="K93" s="189"/>
      <c r="L93" s="189"/>
      <c r="M93" s="189"/>
      <c r="N93" s="189"/>
      <c r="O93" s="189"/>
      <c r="P93" s="189"/>
      <c r="Q93" s="189"/>
      <c r="R93" s="189"/>
      <c r="S93" s="189"/>
      <c r="T93" s="189"/>
      <c r="U93" s="189"/>
      <c r="V93" s="189"/>
      <c r="W93" s="189"/>
      <c r="X93" s="189"/>
      <c r="Y93" s="189"/>
      <c r="Z93" s="189"/>
      <c r="AA93" s="189"/>
      <c r="AB93" s="189"/>
      <c r="AC93" s="189"/>
      <c r="AD93" s="189"/>
    </row>
    <row r="94" spans="1:30" x14ac:dyDescent="0.2">
      <c r="A94" s="248" t="s">
        <v>393</v>
      </c>
      <c r="B94" s="251" t="s">
        <v>1909</v>
      </c>
      <c r="C94" s="254">
        <f>SUM(H94:H101)/COUNTIF(F94:F101,"&gt;""")/4</f>
        <v>0</v>
      </c>
      <c r="D94" s="248" t="s">
        <v>685</v>
      </c>
      <c r="E94" s="96" t="s">
        <v>394</v>
      </c>
      <c r="F94" s="196" t="s">
        <v>686</v>
      </c>
      <c r="G94" s="189" t="s">
        <v>4290</v>
      </c>
      <c r="H94" s="189"/>
      <c r="J94" s="189"/>
      <c r="K94" s="189"/>
      <c r="L94" s="189"/>
      <c r="M94" s="189"/>
      <c r="N94" s="189"/>
      <c r="O94" s="194" t="s">
        <v>54</v>
      </c>
      <c r="P94" s="189"/>
      <c r="Q94" s="189"/>
      <c r="R94" s="189"/>
      <c r="S94" s="189"/>
      <c r="T94" s="194" t="s">
        <v>54</v>
      </c>
      <c r="U94" s="189"/>
      <c r="V94" s="189"/>
      <c r="W94" s="189"/>
      <c r="X94" s="194" t="s">
        <v>54</v>
      </c>
      <c r="Y94" s="189"/>
      <c r="Z94" s="189"/>
      <c r="AA94" s="189"/>
      <c r="AB94" s="189"/>
      <c r="AC94" s="189"/>
      <c r="AD94" s="189"/>
    </row>
    <row r="95" spans="1:30" x14ac:dyDescent="0.2">
      <c r="A95" s="249"/>
      <c r="B95" s="252"/>
      <c r="C95" s="255"/>
      <c r="D95" s="249"/>
      <c r="E95" s="96" t="s">
        <v>395</v>
      </c>
      <c r="F95" s="179" t="s">
        <v>4323</v>
      </c>
      <c r="G95" s="189" t="s">
        <v>4290</v>
      </c>
      <c r="H95" s="189"/>
      <c r="J95" s="189"/>
      <c r="K95" s="189"/>
      <c r="L95" s="189"/>
      <c r="M95" s="189"/>
      <c r="N95" s="189"/>
      <c r="O95" s="194" t="s">
        <v>54</v>
      </c>
      <c r="P95" s="189"/>
      <c r="Q95" s="189"/>
      <c r="R95" s="189"/>
      <c r="S95" s="189"/>
      <c r="T95" s="194" t="s">
        <v>54</v>
      </c>
      <c r="U95" s="189"/>
      <c r="V95" s="189"/>
      <c r="W95" s="189"/>
      <c r="X95" s="194" t="s">
        <v>54</v>
      </c>
      <c r="Y95" s="189"/>
      <c r="Z95" s="189"/>
      <c r="AA95" s="189"/>
      <c r="AB95" s="189"/>
      <c r="AC95" s="189"/>
      <c r="AD95" s="189"/>
    </row>
    <row r="96" spans="1:30" x14ac:dyDescent="0.2">
      <c r="A96" s="249"/>
      <c r="B96" s="252"/>
      <c r="C96" s="255"/>
      <c r="D96" s="249"/>
      <c r="E96" s="96" t="s">
        <v>396</v>
      </c>
      <c r="F96" s="179" t="s">
        <v>4322</v>
      </c>
      <c r="G96" s="189" t="s">
        <v>4290</v>
      </c>
      <c r="H96" s="189"/>
      <c r="J96" s="189"/>
      <c r="K96" s="189"/>
      <c r="L96" s="189"/>
      <c r="M96" s="189"/>
      <c r="N96" s="189"/>
      <c r="O96" s="194" t="s">
        <v>54</v>
      </c>
      <c r="P96" s="189"/>
      <c r="Q96" s="189"/>
      <c r="R96" s="189"/>
      <c r="S96" s="189"/>
      <c r="T96" s="194" t="s">
        <v>54</v>
      </c>
      <c r="U96" s="189"/>
      <c r="V96" s="189"/>
      <c r="W96" s="189"/>
      <c r="X96" s="194" t="s">
        <v>54</v>
      </c>
      <c r="Y96" s="189"/>
      <c r="Z96" s="189"/>
      <c r="AA96" s="189"/>
      <c r="AB96" s="189"/>
      <c r="AC96" s="189"/>
      <c r="AD96" s="189"/>
    </row>
    <row r="97" spans="1:30" x14ac:dyDescent="0.2">
      <c r="A97" s="249"/>
      <c r="B97" s="252"/>
      <c r="C97" s="255"/>
      <c r="D97" s="249"/>
      <c r="E97" s="96" t="s">
        <v>397</v>
      </c>
      <c r="F97" s="179" t="s">
        <v>4324</v>
      </c>
      <c r="G97" s="189" t="s">
        <v>4291</v>
      </c>
      <c r="H97" s="189"/>
      <c r="J97" s="189"/>
      <c r="K97" s="189"/>
      <c r="L97" s="189"/>
      <c r="M97" s="189"/>
      <c r="N97" s="189"/>
      <c r="O97" s="194" t="s">
        <v>54</v>
      </c>
      <c r="P97" s="189"/>
      <c r="Q97" s="189"/>
      <c r="R97" s="189"/>
      <c r="S97" s="189"/>
      <c r="T97" s="194" t="s">
        <v>54</v>
      </c>
      <c r="U97" s="189"/>
      <c r="V97" s="189"/>
      <c r="W97" s="194" t="s">
        <v>54</v>
      </c>
      <c r="X97" s="194" t="s">
        <v>54</v>
      </c>
      <c r="Y97" s="189"/>
      <c r="Z97" s="189"/>
      <c r="AA97" s="189"/>
      <c r="AB97" s="189"/>
      <c r="AC97" s="189"/>
      <c r="AD97" s="189"/>
    </row>
    <row r="98" spans="1:30" x14ac:dyDescent="0.2">
      <c r="A98" s="249"/>
      <c r="B98" s="252"/>
      <c r="C98" s="255"/>
      <c r="D98" s="249"/>
      <c r="E98" s="96" t="s">
        <v>398</v>
      </c>
      <c r="F98" s="179" t="s">
        <v>4325</v>
      </c>
      <c r="G98" s="189" t="s">
        <v>4290</v>
      </c>
      <c r="H98" s="189"/>
      <c r="J98" s="189"/>
      <c r="K98" s="189"/>
      <c r="L98" s="189"/>
      <c r="M98" s="189"/>
      <c r="N98" s="189"/>
      <c r="O98" s="194" t="s">
        <v>54</v>
      </c>
      <c r="P98" s="189"/>
      <c r="Q98" s="189"/>
      <c r="R98" s="189"/>
      <c r="S98" s="189"/>
      <c r="T98" s="194" t="s">
        <v>54</v>
      </c>
      <c r="U98" s="189"/>
      <c r="V98" s="189"/>
      <c r="W98" s="189"/>
      <c r="X98" s="194" t="s">
        <v>54</v>
      </c>
      <c r="Y98" s="189"/>
      <c r="Z98" s="189"/>
      <c r="AA98" s="189"/>
      <c r="AB98" s="189"/>
      <c r="AC98" s="189"/>
      <c r="AD98" s="189"/>
    </row>
    <row r="99" spans="1:30" x14ac:dyDescent="0.2">
      <c r="A99" s="249"/>
      <c r="B99" s="252"/>
      <c r="C99" s="255"/>
      <c r="D99" s="249"/>
      <c r="E99" s="96" t="s">
        <v>399</v>
      </c>
      <c r="F99" s="179" t="s">
        <v>4326</v>
      </c>
      <c r="G99" s="189" t="s">
        <v>4290</v>
      </c>
      <c r="H99" s="189"/>
      <c r="J99" s="189"/>
      <c r="K99" s="189"/>
      <c r="L99" s="189"/>
      <c r="M99" s="189"/>
      <c r="N99" s="189"/>
      <c r="O99" s="194" t="s">
        <v>54</v>
      </c>
      <c r="P99" s="189"/>
      <c r="Q99" s="189"/>
      <c r="R99" s="189"/>
      <c r="S99" s="189"/>
      <c r="T99" s="194" t="s">
        <v>54</v>
      </c>
      <c r="U99" s="189"/>
      <c r="V99" s="189"/>
      <c r="W99" s="194" t="s">
        <v>54</v>
      </c>
      <c r="X99" s="194" t="s">
        <v>54</v>
      </c>
      <c r="Y99" s="189"/>
      <c r="Z99" s="189"/>
      <c r="AA99" s="189"/>
      <c r="AB99" s="189"/>
      <c r="AC99" s="189"/>
      <c r="AD99" s="189"/>
    </row>
    <row r="100" spans="1:30" x14ac:dyDescent="0.2">
      <c r="A100" s="249"/>
      <c r="B100" s="252"/>
      <c r="C100" s="255"/>
      <c r="D100" s="249"/>
      <c r="E100" s="96" t="s">
        <v>694</v>
      </c>
      <c r="F100" s="177" t="s">
        <v>695</v>
      </c>
      <c r="G100" s="189" t="s">
        <v>4290</v>
      </c>
      <c r="H100" s="189"/>
      <c r="J100" s="189"/>
      <c r="K100" s="189"/>
      <c r="L100" s="189"/>
      <c r="M100" s="189"/>
      <c r="N100" s="189"/>
      <c r="O100" s="194"/>
      <c r="P100" s="189"/>
      <c r="Q100" s="189"/>
      <c r="R100" s="189"/>
      <c r="S100" s="189"/>
      <c r="T100" s="194" t="s">
        <v>54</v>
      </c>
      <c r="U100" s="189"/>
      <c r="V100" s="189"/>
      <c r="W100" s="189"/>
      <c r="X100" s="194" t="s">
        <v>54</v>
      </c>
      <c r="Y100" s="189"/>
      <c r="Z100" s="189"/>
      <c r="AA100" s="189"/>
      <c r="AB100" s="189"/>
      <c r="AC100" s="189"/>
      <c r="AD100" s="189"/>
    </row>
    <row r="101" spans="1:30" ht="13.5" thickBot="1" x14ac:dyDescent="0.25">
      <c r="A101" s="249"/>
      <c r="B101" s="252"/>
      <c r="C101" s="256"/>
      <c r="D101" s="250"/>
      <c r="E101" s="96" t="s">
        <v>697</v>
      </c>
      <c r="F101" s="177" t="s">
        <v>698</v>
      </c>
      <c r="G101" s="189" t="s">
        <v>4291</v>
      </c>
      <c r="H101" s="189"/>
      <c r="J101" s="189"/>
      <c r="K101" s="189"/>
      <c r="L101" s="189"/>
      <c r="M101" s="189"/>
      <c r="N101" s="189"/>
      <c r="O101" s="189"/>
      <c r="P101" s="189"/>
      <c r="Q101" s="189"/>
      <c r="R101" s="189"/>
      <c r="S101" s="189"/>
      <c r="T101" s="194" t="s">
        <v>54</v>
      </c>
      <c r="U101" s="189"/>
      <c r="V101" s="189"/>
      <c r="W101" s="189"/>
      <c r="X101" s="194" t="s">
        <v>54</v>
      </c>
      <c r="Y101" s="189"/>
      <c r="Z101" s="189"/>
      <c r="AA101" s="189"/>
      <c r="AB101" s="189"/>
      <c r="AC101" s="189"/>
      <c r="AD101" s="189"/>
    </row>
    <row r="102" spans="1:30" x14ac:dyDescent="0.2">
      <c r="A102" s="248" t="s">
        <v>400</v>
      </c>
      <c r="B102" s="251" t="s">
        <v>1910</v>
      </c>
      <c r="C102" s="254">
        <f>SUM(H102:H112)/COUNTIF(F102:F112,"&gt;""")/4</f>
        <v>0</v>
      </c>
      <c r="D102" s="248" t="s">
        <v>699</v>
      </c>
      <c r="E102" s="96" t="s">
        <v>401</v>
      </c>
      <c r="F102" s="177" t="s">
        <v>700</v>
      </c>
      <c r="G102" s="189" t="s">
        <v>4290</v>
      </c>
      <c r="H102" s="189"/>
      <c r="J102" s="189"/>
      <c r="K102" s="189"/>
      <c r="L102" s="189"/>
      <c r="M102" s="189"/>
      <c r="N102" s="189"/>
      <c r="O102" s="189"/>
      <c r="P102" s="189"/>
      <c r="Q102" s="189"/>
      <c r="R102" s="189"/>
      <c r="S102" s="194" t="s">
        <v>54</v>
      </c>
      <c r="T102" s="194" t="s">
        <v>54</v>
      </c>
      <c r="U102" s="189"/>
      <c r="V102" s="189"/>
      <c r="W102" s="189"/>
      <c r="X102" s="189"/>
      <c r="Y102" s="189"/>
      <c r="Z102" s="189"/>
      <c r="AA102" s="189"/>
      <c r="AB102" s="189"/>
      <c r="AC102" s="189"/>
      <c r="AD102" s="189"/>
    </row>
    <row r="103" spans="1:30" x14ac:dyDescent="0.2">
      <c r="A103" s="249"/>
      <c r="B103" s="252"/>
      <c r="C103" s="255"/>
      <c r="D103" s="249"/>
      <c r="E103" s="96" t="s">
        <v>402</v>
      </c>
      <c r="F103" s="177" t="s">
        <v>701</v>
      </c>
      <c r="G103" s="189" t="s">
        <v>4290</v>
      </c>
      <c r="H103" s="189"/>
      <c r="J103" s="189"/>
      <c r="K103" s="189"/>
      <c r="L103" s="189"/>
      <c r="M103" s="189"/>
      <c r="N103" s="189"/>
      <c r="O103" s="189"/>
      <c r="P103" s="189"/>
      <c r="Q103" s="189"/>
      <c r="R103" s="189"/>
      <c r="S103" s="194" t="s">
        <v>54</v>
      </c>
      <c r="T103" s="194" t="s">
        <v>54</v>
      </c>
      <c r="U103" s="189"/>
      <c r="V103" s="189"/>
      <c r="W103" s="189"/>
      <c r="X103" s="189"/>
      <c r="Y103" s="189"/>
      <c r="Z103" s="189"/>
      <c r="AA103" s="189"/>
      <c r="AB103" s="189"/>
      <c r="AC103" s="189"/>
      <c r="AD103" s="189"/>
    </row>
    <row r="104" spans="1:30" x14ac:dyDescent="0.2">
      <c r="A104" s="249"/>
      <c r="B104" s="252"/>
      <c r="C104" s="255"/>
      <c r="D104" s="249"/>
      <c r="E104" s="96" t="s">
        <v>403</v>
      </c>
      <c r="F104" s="177" t="s">
        <v>702</v>
      </c>
      <c r="G104" s="189" t="s">
        <v>4290</v>
      </c>
      <c r="H104" s="189"/>
      <c r="J104" s="189"/>
      <c r="K104" s="189"/>
      <c r="L104" s="189"/>
      <c r="M104" s="189"/>
      <c r="N104" s="189"/>
      <c r="O104" s="189"/>
      <c r="P104" s="189"/>
      <c r="Q104" s="189"/>
      <c r="R104" s="189"/>
      <c r="S104" s="194" t="s">
        <v>54</v>
      </c>
      <c r="T104" s="194" t="s">
        <v>54</v>
      </c>
      <c r="U104" s="189"/>
      <c r="V104" s="189"/>
      <c r="W104" s="189"/>
      <c r="X104" s="194" t="s">
        <v>54</v>
      </c>
      <c r="Y104" s="189"/>
      <c r="Z104" s="189"/>
      <c r="AA104" s="189"/>
      <c r="AB104" s="189"/>
      <c r="AC104" s="189"/>
      <c r="AD104" s="189"/>
    </row>
    <row r="105" spans="1:30" x14ac:dyDescent="0.2">
      <c r="A105" s="249"/>
      <c r="B105" s="252"/>
      <c r="C105" s="255"/>
      <c r="D105" s="249"/>
      <c r="E105" s="96" t="s">
        <v>404</v>
      </c>
      <c r="F105" s="177" t="s">
        <v>704</v>
      </c>
      <c r="G105" s="189" t="s">
        <v>4290</v>
      </c>
      <c r="H105" s="189"/>
      <c r="J105" s="189"/>
      <c r="K105" s="189"/>
      <c r="L105" s="189"/>
      <c r="M105" s="189"/>
      <c r="N105" s="189"/>
      <c r="O105" s="189"/>
      <c r="P105" s="189"/>
      <c r="Q105" s="189"/>
      <c r="R105" s="189"/>
      <c r="S105" s="194" t="s">
        <v>54</v>
      </c>
      <c r="T105" s="194" t="s">
        <v>54</v>
      </c>
      <c r="U105" s="189"/>
      <c r="V105" s="189"/>
      <c r="W105" s="189"/>
      <c r="X105" s="194" t="s">
        <v>54</v>
      </c>
      <c r="Y105" s="189"/>
      <c r="Z105" s="189"/>
      <c r="AA105" s="189"/>
      <c r="AB105" s="189"/>
      <c r="AC105" s="189"/>
      <c r="AD105" s="189"/>
    </row>
    <row r="106" spans="1:30" ht="38.25" x14ac:dyDescent="0.2">
      <c r="A106" s="249"/>
      <c r="B106" s="252"/>
      <c r="C106" s="255"/>
      <c r="D106" s="249"/>
      <c r="E106" s="96" t="s">
        <v>405</v>
      </c>
      <c r="F106" s="177" t="s">
        <v>706</v>
      </c>
      <c r="G106" s="189" t="s">
        <v>4290</v>
      </c>
      <c r="H106" s="179" t="s">
        <v>3114</v>
      </c>
      <c r="J106" s="189"/>
      <c r="K106" s="189"/>
      <c r="L106" s="189"/>
      <c r="M106" s="189"/>
      <c r="N106" s="189"/>
      <c r="O106" s="189"/>
      <c r="P106" s="189"/>
      <c r="Q106" s="189"/>
      <c r="R106" s="189"/>
      <c r="S106" s="194" t="s">
        <v>54</v>
      </c>
      <c r="T106" s="194" t="s">
        <v>54</v>
      </c>
      <c r="U106" s="189"/>
      <c r="V106" s="189"/>
      <c r="W106" s="189"/>
      <c r="X106" s="189"/>
      <c r="Y106" s="189"/>
      <c r="Z106" s="189"/>
      <c r="AA106" s="189"/>
      <c r="AB106" s="189"/>
      <c r="AC106" s="189"/>
      <c r="AD106" s="189"/>
    </row>
    <row r="107" spans="1:30" x14ac:dyDescent="0.2">
      <c r="A107" s="249"/>
      <c r="B107" s="252"/>
      <c r="C107" s="255"/>
      <c r="D107" s="249"/>
      <c r="E107" s="96" t="s">
        <v>406</v>
      </c>
      <c r="F107" s="177" t="s">
        <v>707</v>
      </c>
      <c r="G107" s="189" t="s">
        <v>4290</v>
      </c>
      <c r="J107" s="189"/>
      <c r="K107" s="189"/>
      <c r="L107" s="189"/>
      <c r="M107" s="189"/>
      <c r="N107" s="189"/>
      <c r="O107" s="189"/>
      <c r="P107" s="189"/>
      <c r="Q107" s="189"/>
      <c r="R107" s="189"/>
      <c r="S107" s="194" t="s">
        <v>54</v>
      </c>
      <c r="T107" s="189"/>
      <c r="U107" s="189"/>
      <c r="V107" s="189"/>
      <c r="W107" s="189"/>
      <c r="X107" s="189"/>
      <c r="Y107" s="189"/>
      <c r="Z107" s="189"/>
      <c r="AA107" s="189"/>
      <c r="AB107" s="189"/>
      <c r="AC107" s="189"/>
      <c r="AD107" s="189"/>
    </row>
    <row r="108" spans="1:30" x14ac:dyDescent="0.2">
      <c r="A108" s="249"/>
      <c r="B108" s="252"/>
      <c r="C108" s="255"/>
      <c r="D108" s="249"/>
      <c r="E108" s="96" t="s">
        <v>407</v>
      </c>
      <c r="F108" s="177" t="s">
        <v>708</v>
      </c>
      <c r="G108" s="189" t="s">
        <v>4290</v>
      </c>
      <c r="J108" s="189"/>
      <c r="K108" s="189"/>
      <c r="L108" s="189"/>
      <c r="M108" s="189"/>
      <c r="N108" s="189"/>
      <c r="O108" s="189"/>
      <c r="P108" s="189"/>
      <c r="Q108" s="189"/>
      <c r="R108" s="189"/>
      <c r="S108" s="194" t="s">
        <v>54</v>
      </c>
      <c r="T108" s="189"/>
      <c r="U108" s="189"/>
      <c r="V108" s="189"/>
      <c r="W108" s="189"/>
      <c r="X108" s="189"/>
      <c r="Y108" s="189"/>
      <c r="Z108" s="189"/>
      <c r="AA108" s="189"/>
      <c r="AB108" s="189"/>
      <c r="AC108" s="189"/>
      <c r="AD108" s="189"/>
    </row>
    <row r="109" spans="1:30" x14ac:dyDescent="0.2">
      <c r="A109" s="249"/>
      <c r="B109" s="252"/>
      <c r="C109" s="255"/>
      <c r="D109" s="249"/>
      <c r="E109" s="96" t="s">
        <v>408</v>
      </c>
      <c r="F109" s="189" t="s">
        <v>4940</v>
      </c>
      <c r="G109" s="189" t="s">
        <v>4290</v>
      </c>
      <c r="J109" s="189"/>
      <c r="K109" s="189"/>
      <c r="L109" s="189"/>
      <c r="M109" s="189"/>
      <c r="N109" s="189"/>
      <c r="O109" s="189"/>
      <c r="P109" s="189"/>
      <c r="Q109" s="189"/>
      <c r="R109" s="189"/>
      <c r="S109" s="194" t="s">
        <v>54</v>
      </c>
      <c r="T109" s="189"/>
      <c r="U109" s="189"/>
      <c r="V109" s="189"/>
      <c r="W109" s="189"/>
      <c r="X109" s="189"/>
      <c r="Y109" s="189"/>
      <c r="Z109" s="189"/>
      <c r="AA109" s="189"/>
      <c r="AB109" s="189"/>
      <c r="AC109" s="189"/>
      <c r="AD109" s="189"/>
    </row>
    <row r="110" spans="1:30" x14ac:dyDescent="0.2">
      <c r="A110" s="249"/>
      <c r="B110" s="252"/>
      <c r="C110" s="255"/>
      <c r="D110" s="249"/>
      <c r="E110" s="96" t="s">
        <v>409</v>
      </c>
      <c r="F110" s="189" t="s">
        <v>709</v>
      </c>
      <c r="G110" s="189" t="s">
        <v>4290</v>
      </c>
      <c r="H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row>
    <row r="111" spans="1:30" x14ac:dyDescent="0.2">
      <c r="A111" s="249"/>
      <c r="B111" s="252"/>
      <c r="C111" s="255"/>
      <c r="D111" s="249"/>
      <c r="E111" s="96" t="s">
        <v>711</v>
      </c>
      <c r="F111" s="177" t="s">
        <v>710</v>
      </c>
      <c r="G111" s="189" t="s">
        <v>4290</v>
      </c>
      <c r="H111" s="189"/>
      <c r="J111" s="189"/>
      <c r="K111" s="189"/>
      <c r="L111" s="189"/>
      <c r="M111" s="189"/>
      <c r="N111" s="189"/>
      <c r="O111" s="189"/>
      <c r="P111" s="189"/>
      <c r="Q111" s="189"/>
      <c r="R111" s="189"/>
      <c r="S111" s="194" t="s">
        <v>54</v>
      </c>
      <c r="T111" s="189"/>
      <c r="U111" s="189"/>
      <c r="V111" s="189"/>
      <c r="W111" s="189"/>
      <c r="X111" s="194" t="s">
        <v>54</v>
      </c>
      <c r="Y111" s="189"/>
      <c r="Z111" s="189"/>
      <c r="AA111" s="189"/>
      <c r="AB111" s="189"/>
      <c r="AC111" s="189"/>
      <c r="AD111" s="189"/>
    </row>
    <row r="112" spans="1:30" ht="13.5" thickBot="1" x14ac:dyDescent="0.25">
      <c r="A112" s="250"/>
      <c r="B112" s="253"/>
      <c r="C112" s="256"/>
      <c r="D112" s="250"/>
      <c r="E112" s="96" t="s">
        <v>714</v>
      </c>
      <c r="G112" s="189"/>
      <c r="H112" s="189"/>
      <c r="J112" s="189"/>
      <c r="K112" s="189"/>
      <c r="L112" s="189"/>
      <c r="M112" s="189"/>
      <c r="N112" s="189"/>
      <c r="O112" s="189"/>
      <c r="P112" s="194" t="s">
        <v>54</v>
      </c>
      <c r="Q112" s="189"/>
      <c r="R112" s="189"/>
      <c r="S112" s="194" t="s">
        <v>54</v>
      </c>
      <c r="T112" s="189"/>
      <c r="U112" s="189"/>
      <c r="V112" s="194" t="s">
        <v>54</v>
      </c>
      <c r="W112" s="189"/>
      <c r="X112" s="189"/>
      <c r="Y112" s="189"/>
      <c r="Z112" s="189"/>
      <c r="AA112" s="189"/>
      <c r="AB112" s="189"/>
      <c r="AC112" s="189"/>
      <c r="AD112" s="189"/>
    </row>
    <row r="113" spans="1:30" x14ac:dyDescent="0.2">
      <c r="A113" s="248" t="s">
        <v>410</v>
      </c>
      <c r="B113" s="251" t="s">
        <v>3408</v>
      </c>
      <c r="C113" s="254">
        <f>SUM(H113:H125)/COUNTIF(F113:F125,"&gt;""")/4</f>
        <v>0</v>
      </c>
      <c r="D113" s="248" t="s">
        <v>715</v>
      </c>
      <c r="E113" s="96" t="s">
        <v>411</v>
      </c>
      <c r="F113" s="177" t="s">
        <v>716</v>
      </c>
      <c r="G113" s="189" t="s">
        <v>4290</v>
      </c>
      <c r="H113" s="189" t="s">
        <v>4720</v>
      </c>
      <c r="J113" s="189"/>
      <c r="K113" s="189"/>
      <c r="L113" s="189"/>
      <c r="M113" s="189"/>
      <c r="N113" s="189"/>
      <c r="O113" s="189"/>
      <c r="P113" s="189"/>
      <c r="Q113" s="189"/>
      <c r="R113" s="189"/>
      <c r="S113" s="189"/>
      <c r="T113" s="194" t="s">
        <v>54</v>
      </c>
      <c r="U113" s="194"/>
      <c r="V113" s="189"/>
      <c r="W113" s="189"/>
      <c r="X113" s="189"/>
      <c r="Y113" s="189"/>
      <c r="Z113" s="189"/>
      <c r="AA113" s="189"/>
      <c r="AB113" s="189"/>
      <c r="AC113" s="189"/>
      <c r="AD113" s="189"/>
    </row>
    <row r="114" spans="1:30" x14ac:dyDescent="0.2">
      <c r="A114" s="249"/>
      <c r="B114" s="252"/>
      <c r="C114" s="255"/>
      <c r="D114" s="249"/>
      <c r="E114" s="96" t="s">
        <v>412</v>
      </c>
      <c r="F114" s="177" t="s">
        <v>718</v>
      </c>
      <c r="G114" s="189" t="s">
        <v>4290</v>
      </c>
      <c r="H114" s="189" t="s">
        <v>4720</v>
      </c>
      <c r="J114" s="189"/>
      <c r="K114" s="189"/>
      <c r="L114" s="189"/>
      <c r="M114" s="189"/>
      <c r="N114" s="189"/>
      <c r="O114" s="189"/>
      <c r="P114" s="189"/>
      <c r="Q114" s="189"/>
      <c r="R114" s="189"/>
      <c r="S114" s="189"/>
      <c r="T114" s="194" t="s">
        <v>54</v>
      </c>
      <c r="U114" s="194"/>
      <c r="V114" s="189"/>
      <c r="W114" s="189"/>
      <c r="X114" s="189"/>
      <c r="Y114" s="189"/>
      <c r="Z114" s="189"/>
      <c r="AA114" s="189"/>
      <c r="AB114" s="189"/>
      <c r="AC114" s="189"/>
      <c r="AD114" s="189"/>
    </row>
    <row r="115" spans="1:30" x14ac:dyDescent="0.2">
      <c r="A115" s="249"/>
      <c r="B115" s="252"/>
      <c r="C115" s="255"/>
      <c r="D115" s="249"/>
      <c r="E115" s="96" t="s">
        <v>413</v>
      </c>
      <c r="F115" s="177" t="s">
        <v>720</v>
      </c>
      <c r="G115" s="189" t="s">
        <v>4290</v>
      </c>
      <c r="H115" s="189" t="s">
        <v>4720</v>
      </c>
      <c r="J115" s="189"/>
      <c r="K115" s="189"/>
      <c r="L115" s="189"/>
      <c r="M115" s="189"/>
      <c r="N115" s="189"/>
      <c r="O115" s="189"/>
      <c r="P115" s="194" t="s">
        <v>54</v>
      </c>
      <c r="Q115" s="189"/>
      <c r="R115" s="189"/>
      <c r="S115" s="189"/>
      <c r="T115" s="194" t="s">
        <v>54</v>
      </c>
      <c r="U115" s="194" t="s">
        <v>54</v>
      </c>
      <c r="V115" s="189"/>
      <c r="W115" s="189"/>
      <c r="X115" s="189"/>
      <c r="Y115" s="189"/>
      <c r="Z115" s="189"/>
      <c r="AA115" s="189"/>
      <c r="AB115" s="189"/>
      <c r="AC115" s="189"/>
      <c r="AD115" s="189"/>
    </row>
    <row r="116" spans="1:30" ht="25.5" x14ac:dyDescent="0.2">
      <c r="A116" s="249"/>
      <c r="B116" s="252"/>
      <c r="C116" s="255"/>
      <c r="D116" s="249"/>
      <c r="E116" s="96" t="s">
        <v>721</v>
      </c>
      <c r="F116" s="177" t="s">
        <v>722</v>
      </c>
      <c r="G116" s="189" t="s">
        <v>4290</v>
      </c>
      <c r="H116" s="189" t="s">
        <v>4720</v>
      </c>
      <c r="J116" s="189"/>
      <c r="K116" s="189"/>
      <c r="L116" s="189"/>
      <c r="M116" s="189"/>
      <c r="N116" s="189"/>
      <c r="O116" s="189"/>
      <c r="P116" s="194" t="s">
        <v>54</v>
      </c>
      <c r="Q116" s="189"/>
      <c r="R116" s="189"/>
      <c r="S116" s="189"/>
      <c r="T116" s="194" t="s">
        <v>54</v>
      </c>
      <c r="U116" s="194" t="s">
        <v>54</v>
      </c>
      <c r="V116" s="189"/>
      <c r="W116" s="189"/>
      <c r="X116" s="189"/>
      <c r="Y116" s="189"/>
      <c r="Z116" s="189"/>
      <c r="AA116" s="189"/>
      <c r="AB116" s="189"/>
      <c r="AC116" s="189"/>
      <c r="AD116" s="189"/>
    </row>
    <row r="117" spans="1:30" x14ac:dyDescent="0.2">
      <c r="A117" s="249"/>
      <c r="B117" s="252"/>
      <c r="C117" s="255"/>
      <c r="D117" s="249"/>
      <c r="E117" s="96" t="s">
        <v>723</v>
      </c>
      <c r="F117" s="177" t="s">
        <v>724</v>
      </c>
      <c r="G117" s="189" t="s">
        <v>4290</v>
      </c>
      <c r="H117" s="189" t="s">
        <v>4720</v>
      </c>
      <c r="J117" s="189"/>
      <c r="K117" s="189"/>
      <c r="L117" s="189"/>
      <c r="M117" s="189"/>
      <c r="N117" s="189"/>
      <c r="O117" s="189"/>
      <c r="P117" s="189"/>
      <c r="Q117" s="189"/>
      <c r="R117" s="189"/>
      <c r="S117" s="189"/>
      <c r="T117" s="194" t="s">
        <v>54</v>
      </c>
      <c r="U117" s="194"/>
      <c r="V117" s="189"/>
      <c r="W117" s="189"/>
      <c r="X117" s="189"/>
      <c r="Y117" s="189"/>
      <c r="Z117" s="189"/>
      <c r="AA117" s="189"/>
      <c r="AB117" s="189"/>
      <c r="AC117" s="189"/>
      <c r="AD117" s="189"/>
    </row>
    <row r="118" spans="1:30" x14ac:dyDescent="0.2">
      <c r="A118" s="249"/>
      <c r="B118" s="252"/>
      <c r="C118" s="255"/>
      <c r="D118" s="249"/>
      <c r="E118" s="96" t="s">
        <v>725</v>
      </c>
      <c r="F118" s="177" t="s">
        <v>726</v>
      </c>
      <c r="G118" s="189" t="s">
        <v>4291</v>
      </c>
      <c r="H118" s="189" t="s">
        <v>4720</v>
      </c>
      <c r="J118" s="189"/>
      <c r="K118" s="189"/>
      <c r="L118" s="189"/>
      <c r="M118" s="189"/>
      <c r="N118" s="189"/>
      <c r="O118" s="189"/>
      <c r="P118" s="189"/>
      <c r="Q118" s="189"/>
      <c r="R118" s="189"/>
      <c r="S118" s="189"/>
      <c r="T118" s="194" t="s">
        <v>54</v>
      </c>
      <c r="U118" s="194" t="s">
        <v>54</v>
      </c>
      <c r="V118" s="189"/>
      <c r="W118" s="189"/>
      <c r="X118" s="189"/>
      <c r="Y118" s="189"/>
      <c r="Z118" s="189"/>
      <c r="AA118" s="189"/>
      <c r="AB118" s="189"/>
      <c r="AC118" s="189"/>
      <c r="AD118" s="189"/>
    </row>
    <row r="119" spans="1:30" x14ac:dyDescent="0.2">
      <c r="A119" s="249"/>
      <c r="B119" s="252"/>
      <c r="C119" s="255"/>
      <c r="D119" s="249"/>
      <c r="E119" s="96" t="s">
        <v>727</v>
      </c>
      <c r="F119" s="177" t="s">
        <v>728</v>
      </c>
      <c r="G119" s="189" t="s">
        <v>4291</v>
      </c>
      <c r="H119" s="189" t="s">
        <v>4720</v>
      </c>
      <c r="J119" s="189"/>
      <c r="K119" s="189"/>
      <c r="L119" s="189"/>
      <c r="M119" s="189"/>
      <c r="N119" s="189"/>
      <c r="O119" s="189"/>
      <c r="P119" s="189"/>
      <c r="Q119" s="189"/>
      <c r="R119" s="189"/>
      <c r="S119" s="189"/>
      <c r="T119" s="194" t="s">
        <v>54</v>
      </c>
      <c r="U119" s="194"/>
      <c r="V119" s="189"/>
      <c r="W119" s="189"/>
      <c r="X119" s="189"/>
      <c r="Y119" s="189"/>
      <c r="Z119" s="189"/>
      <c r="AA119" s="189"/>
      <c r="AB119" s="189"/>
      <c r="AC119" s="189"/>
      <c r="AD119" s="189"/>
    </row>
    <row r="120" spans="1:30" x14ac:dyDescent="0.2">
      <c r="A120" s="249"/>
      <c r="B120" s="252"/>
      <c r="C120" s="255"/>
      <c r="D120" s="249"/>
      <c r="E120" s="96" t="s">
        <v>729</v>
      </c>
      <c r="F120" s="177" t="s">
        <v>730</v>
      </c>
      <c r="G120" s="189" t="s">
        <v>4291</v>
      </c>
      <c r="H120" s="189" t="s">
        <v>4720</v>
      </c>
      <c r="J120" s="189"/>
      <c r="K120" s="189"/>
      <c r="L120" s="189"/>
      <c r="M120" s="189"/>
      <c r="N120" s="189"/>
      <c r="O120" s="189"/>
      <c r="P120" s="189"/>
      <c r="Q120" s="189"/>
      <c r="R120" s="189"/>
      <c r="S120" s="189"/>
      <c r="T120" s="194" t="s">
        <v>54</v>
      </c>
      <c r="U120" s="194"/>
      <c r="V120" s="189"/>
      <c r="W120" s="189"/>
      <c r="X120" s="189"/>
      <c r="Y120" s="189"/>
      <c r="Z120" s="189"/>
      <c r="AA120" s="189"/>
      <c r="AB120" s="189"/>
      <c r="AC120" s="189"/>
      <c r="AD120" s="189"/>
    </row>
    <row r="121" spans="1:30" x14ac:dyDescent="0.2">
      <c r="A121" s="249"/>
      <c r="B121" s="252"/>
      <c r="C121" s="255"/>
      <c r="D121" s="249"/>
      <c r="E121" s="96" t="s">
        <v>731</v>
      </c>
      <c r="F121" s="179" t="s">
        <v>732</v>
      </c>
      <c r="G121" s="189" t="s">
        <v>4291</v>
      </c>
      <c r="H121" s="189" t="s">
        <v>4720</v>
      </c>
      <c r="J121" s="189"/>
      <c r="K121" s="189"/>
      <c r="L121" s="189"/>
      <c r="M121" s="189"/>
      <c r="N121" s="189"/>
      <c r="O121" s="189"/>
      <c r="P121" s="189"/>
      <c r="Q121" s="189"/>
      <c r="R121" s="189"/>
      <c r="S121" s="189"/>
      <c r="T121" s="194" t="s">
        <v>54</v>
      </c>
      <c r="U121" s="194"/>
      <c r="V121" s="189"/>
      <c r="W121" s="189"/>
      <c r="X121" s="189"/>
      <c r="Y121" s="189"/>
      <c r="Z121" s="189"/>
      <c r="AA121" s="189"/>
      <c r="AB121" s="189"/>
      <c r="AC121" s="189"/>
      <c r="AD121" s="189"/>
    </row>
    <row r="122" spans="1:30" x14ac:dyDescent="0.2">
      <c r="A122" s="249"/>
      <c r="B122" s="252"/>
      <c r="C122" s="255"/>
      <c r="D122" s="249"/>
      <c r="E122" s="96" t="s">
        <v>733</v>
      </c>
      <c r="F122" s="177" t="s">
        <v>734</v>
      </c>
      <c r="G122" s="189" t="s">
        <v>4291</v>
      </c>
      <c r="H122" s="189" t="s">
        <v>4720</v>
      </c>
      <c r="J122" s="189"/>
      <c r="K122" s="189"/>
      <c r="L122" s="189"/>
      <c r="M122" s="189"/>
      <c r="N122" s="189"/>
      <c r="O122" s="189"/>
      <c r="P122" s="189"/>
      <c r="Q122" s="189"/>
      <c r="R122" s="189"/>
      <c r="S122" s="189"/>
      <c r="T122" s="194" t="s">
        <v>54</v>
      </c>
      <c r="U122" s="194"/>
      <c r="V122" s="189"/>
      <c r="W122" s="189"/>
      <c r="X122" s="189"/>
      <c r="Y122" s="189"/>
      <c r="Z122" s="189"/>
      <c r="AA122" s="189"/>
      <c r="AB122" s="189"/>
      <c r="AC122" s="189"/>
      <c r="AD122" s="189"/>
    </row>
    <row r="123" spans="1:30" x14ac:dyDescent="0.2">
      <c r="A123" s="249"/>
      <c r="B123" s="252"/>
      <c r="C123" s="255"/>
      <c r="D123" s="249"/>
      <c r="E123" s="96" t="s">
        <v>735</v>
      </c>
      <c r="F123" s="177" t="s">
        <v>736</v>
      </c>
      <c r="G123" s="189" t="s">
        <v>4291</v>
      </c>
      <c r="H123" s="189" t="s">
        <v>4720</v>
      </c>
      <c r="J123" s="189"/>
      <c r="K123" s="189"/>
      <c r="L123" s="189"/>
      <c r="M123" s="189"/>
      <c r="N123" s="189"/>
      <c r="O123" s="189"/>
      <c r="P123" s="189"/>
      <c r="Q123" s="189"/>
      <c r="R123" s="189"/>
      <c r="S123" s="189"/>
      <c r="T123" s="194" t="s">
        <v>54</v>
      </c>
      <c r="U123" s="189"/>
      <c r="V123" s="189"/>
      <c r="W123" s="189"/>
      <c r="X123" s="189"/>
      <c r="Y123" s="189"/>
      <c r="Z123" s="189"/>
      <c r="AA123" s="189"/>
      <c r="AB123" s="189"/>
      <c r="AC123" s="189"/>
      <c r="AD123" s="189"/>
    </row>
    <row r="124" spans="1:30" x14ac:dyDescent="0.2">
      <c r="A124" s="249"/>
      <c r="B124" s="252"/>
      <c r="C124" s="255"/>
      <c r="D124" s="249"/>
      <c r="E124" s="96" t="s">
        <v>737</v>
      </c>
      <c r="F124" s="177"/>
      <c r="G124" s="189"/>
      <c r="H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row>
    <row r="125" spans="1:30" ht="13.5" thickBot="1" x14ac:dyDescent="0.25">
      <c r="A125" s="250"/>
      <c r="B125" s="253"/>
      <c r="C125" s="256"/>
      <c r="D125" s="250"/>
      <c r="E125" s="96" t="s">
        <v>738</v>
      </c>
      <c r="F125" s="177"/>
      <c r="G125" s="189"/>
      <c r="H125" s="189"/>
      <c r="J125" s="189"/>
      <c r="K125" s="189"/>
      <c r="L125" s="189"/>
      <c r="M125" s="189"/>
      <c r="N125" s="189"/>
      <c r="O125" s="189"/>
      <c r="P125" s="189"/>
      <c r="Q125" s="189"/>
      <c r="R125" s="189"/>
      <c r="S125" s="189"/>
      <c r="T125" s="189"/>
      <c r="U125" s="189"/>
      <c r="V125" s="189"/>
      <c r="W125" s="189"/>
      <c r="X125" s="189"/>
      <c r="Y125" s="189"/>
      <c r="Z125" s="189"/>
      <c r="AA125" s="189"/>
      <c r="AB125" s="189"/>
      <c r="AC125" s="189"/>
      <c r="AD125" s="189"/>
    </row>
    <row r="126" spans="1:30" ht="15" x14ac:dyDescent="0.2">
      <c r="A126" s="258" t="s">
        <v>414</v>
      </c>
      <c r="B126" s="261" t="s">
        <v>739</v>
      </c>
      <c r="C126" s="254">
        <f>SUM(H126:H136)/COUNTIF(F126:F136,"&gt;""")/4</f>
        <v>0</v>
      </c>
      <c r="D126" s="258" t="s">
        <v>740</v>
      </c>
      <c r="E126" s="106" t="s">
        <v>415</v>
      </c>
      <c r="F126" s="180" t="s">
        <v>741</v>
      </c>
      <c r="G126" s="189" t="s">
        <v>4289</v>
      </c>
      <c r="H126" s="189" t="s">
        <v>4593</v>
      </c>
      <c r="J126" s="189"/>
      <c r="K126" s="189"/>
      <c r="L126" s="189"/>
      <c r="M126" s="189"/>
      <c r="N126" s="189"/>
      <c r="O126" s="189"/>
      <c r="P126" s="189"/>
      <c r="Q126" s="189"/>
      <c r="R126" s="189"/>
      <c r="S126" s="189"/>
      <c r="T126" s="189"/>
      <c r="U126" s="189"/>
      <c r="V126" s="189"/>
      <c r="W126" s="189"/>
      <c r="X126" s="194" t="s">
        <v>54</v>
      </c>
      <c r="Y126" s="194" t="s">
        <v>54</v>
      </c>
      <c r="Z126" s="189"/>
      <c r="AA126" s="189"/>
      <c r="AB126" s="189"/>
      <c r="AC126" s="189"/>
      <c r="AD126" s="189"/>
    </row>
    <row r="127" spans="1:30" ht="15" x14ac:dyDescent="0.2">
      <c r="A127" s="259"/>
      <c r="B127" s="262"/>
      <c r="C127" s="255"/>
      <c r="D127" s="259"/>
      <c r="E127" s="106" t="s">
        <v>416</v>
      </c>
      <c r="F127" s="180" t="s">
        <v>746</v>
      </c>
      <c r="G127" s="189" t="s">
        <v>4289</v>
      </c>
      <c r="H127" s="189" t="s">
        <v>4593</v>
      </c>
      <c r="J127" s="189"/>
      <c r="K127" s="189"/>
      <c r="L127" s="189"/>
      <c r="M127" s="189"/>
      <c r="N127" s="189"/>
      <c r="O127" s="189"/>
      <c r="P127" s="189"/>
      <c r="Q127" s="189"/>
      <c r="R127" s="189"/>
      <c r="S127" s="189"/>
      <c r="T127" s="189"/>
      <c r="U127" s="189"/>
      <c r="V127" s="189"/>
      <c r="W127" s="189"/>
      <c r="X127" s="194" t="s">
        <v>54</v>
      </c>
      <c r="Y127" s="194" t="s">
        <v>54</v>
      </c>
      <c r="Z127" s="189"/>
      <c r="AA127" s="189"/>
      <c r="AB127" s="189"/>
      <c r="AC127" s="189"/>
      <c r="AD127" s="189"/>
    </row>
    <row r="128" spans="1:30" ht="15" x14ac:dyDescent="0.2">
      <c r="A128" s="259"/>
      <c r="B128" s="262"/>
      <c r="C128" s="255"/>
      <c r="D128" s="259"/>
      <c r="E128" s="106" t="s">
        <v>417</v>
      </c>
      <c r="F128" s="180" t="s">
        <v>748</v>
      </c>
      <c r="G128" s="189" t="s">
        <v>4289</v>
      </c>
      <c r="H128" s="189" t="s">
        <v>4593</v>
      </c>
      <c r="J128" s="189"/>
      <c r="K128" s="189"/>
      <c r="L128" s="189"/>
      <c r="M128" s="189"/>
      <c r="N128" s="189"/>
      <c r="O128" s="189"/>
      <c r="P128" s="189"/>
      <c r="Q128" s="189"/>
      <c r="R128" s="189"/>
      <c r="S128" s="189"/>
      <c r="T128" s="189"/>
      <c r="U128" s="189"/>
      <c r="V128" s="189"/>
      <c r="W128" s="189"/>
      <c r="X128" s="194" t="s">
        <v>54</v>
      </c>
      <c r="Y128" s="194" t="s">
        <v>54</v>
      </c>
      <c r="Z128" s="189"/>
      <c r="AA128" s="189"/>
      <c r="AB128" s="189"/>
      <c r="AC128" s="189"/>
      <c r="AD128" s="189"/>
    </row>
    <row r="129" spans="1:30" ht="15" x14ac:dyDescent="0.2">
      <c r="A129" s="259"/>
      <c r="B129" s="262"/>
      <c r="C129" s="255"/>
      <c r="D129" s="259"/>
      <c r="E129" s="106" t="s">
        <v>418</v>
      </c>
      <c r="F129" s="180" t="s">
        <v>749</v>
      </c>
      <c r="G129" s="189" t="s">
        <v>4289</v>
      </c>
      <c r="H129" s="189" t="s">
        <v>4593</v>
      </c>
      <c r="J129" s="189"/>
      <c r="K129" s="189"/>
      <c r="L129" s="189"/>
      <c r="M129" s="189"/>
      <c r="N129" s="189"/>
      <c r="O129" s="189"/>
      <c r="P129" s="189"/>
      <c r="Q129" s="189"/>
      <c r="R129" s="189"/>
      <c r="S129" s="189"/>
      <c r="T129" s="189"/>
      <c r="U129" s="189"/>
      <c r="V129" s="189"/>
      <c r="W129" s="189"/>
      <c r="X129" s="194" t="s">
        <v>54</v>
      </c>
      <c r="Y129" s="194" t="s">
        <v>54</v>
      </c>
      <c r="Z129" s="189"/>
      <c r="AA129" s="189"/>
      <c r="AB129" s="189"/>
      <c r="AC129" s="189"/>
      <c r="AD129" s="189"/>
    </row>
    <row r="130" spans="1:30" ht="15" x14ac:dyDescent="0.2">
      <c r="A130" s="259"/>
      <c r="B130" s="262"/>
      <c r="C130" s="255"/>
      <c r="D130" s="259"/>
      <c r="E130" s="106" t="s">
        <v>419</v>
      </c>
      <c r="F130" s="180" t="s">
        <v>750</v>
      </c>
      <c r="G130" s="189" t="s">
        <v>4289</v>
      </c>
      <c r="H130" s="189" t="s">
        <v>4594</v>
      </c>
      <c r="J130" s="189"/>
      <c r="K130" s="189"/>
      <c r="L130" s="189"/>
      <c r="M130" s="189"/>
      <c r="N130" s="189"/>
      <c r="O130" s="189"/>
      <c r="P130" s="189"/>
      <c r="Q130" s="189"/>
      <c r="R130" s="189"/>
      <c r="S130" s="189"/>
      <c r="T130" s="189"/>
      <c r="U130" s="189"/>
      <c r="V130" s="189"/>
      <c r="W130" s="189"/>
      <c r="X130" s="194" t="s">
        <v>54</v>
      </c>
      <c r="Y130" s="194" t="s">
        <v>54</v>
      </c>
      <c r="Z130" s="189"/>
      <c r="AA130" s="189"/>
      <c r="AB130" s="189"/>
      <c r="AC130" s="189"/>
      <c r="AD130" s="189"/>
    </row>
    <row r="131" spans="1:30" ht="15" x14ac:dyDescent="0.2">
      <c r="A131" s="259"/>
      <c r="B131" s="262"/>
      <c r="C131" s="255"/>
      <c r="D131" s="259"/>
      <c r="E131" s="106" t="s">
        <v>751</v>
      </c>
      <c r="F131" s="180" t="s">
        <v>752</v>
      </c>
      <c r="G131" s="189" t="s">
        <v>4289</v>
      </c>
      <c r="H131" s="189" t="s">
        <v>4594</v>
      </c>
      <c r="J131" s="189"/>
      <c r="K131" s="189"/>
      <c r="L131" s="189"/>
      <c r="M131" s="189"/>
      <c r="N131" s="189"/>
      <c r="O131" s="189"/>
      <c r="P131" s="189"/>
      <c r="Q131" s="189"/>
      <c r="R131" s="189"/>
      <c r="S131" s="189"/>
      <c r="T131" s="189"/>
      <c r="U131" s="189"/>
      <c r="V131" s="189"/>
      <c r="W131" s="189"/>
      <c r="X131" s="194" t="s">
        <v>54</v>
      </c>
      <c r="Y131" s="194" t="s">
        <v>54</v>
      </c>
      <c r="Z131" s="189"/>
      <c r="AA131" s="189"/>
      <c r="AB131" s="189"/>
      <c r="AC131" s="189"/>
      <c r="AD131" s="189"/>
    </row>
    <row r="132" spans="1:30" ht="15" x14ac:dyDescent="0.2">
      <c r="A132" s="259"/>
      <c r="B132" s="262"/>
      <c r="C132" s="255"/>
      <c r="D132" s="259"/>
      <c r="E132" s="106" t="s">
        <v>753</v>
      </c>
      <c r="F132" s="180" t="s">
        <v>754</v>
      </c>
      <c r="G132" s="189" t="s">
        <v>4290</v>
      </c>
      <c r="H132" s="189"/>
      <c r="J132" s="189"/>
      <c r="K132" s="189"/>
      <c r="L132" s="189"/>
      <c r="M132" s="189"/>
      <c r="N132" s="189"/>
      <c r="O132" s="189"/>
      <c r="P132" s="189"/>
      <c r="Q132" s="189"/>
      <c r="R132" s="189"/>
      <c r="S132" s="189"/>
      <c r="T132" s="189"/>
      <c r="U132" s="189"/>
      <c r="V132" s="189"/>
      <c r="W132" s="189"/>
      <c r="X132" s="194" t="s">
        <v>54</v>
      </c>
      <c r="Y132" s="194" t="s">
        <v>54</v>
      </c>
      <c r="Z132" s="189"/>
      <c r="AA132" s="189"/>
      <c r="AB132" s="189"/>
      <c r="AC132" s="189"/>
      <c r="AD132" s="189"/>
    </row>
    <row r="133" spans="1:30" ht="15" x14ac:dyDescent="0.2">
      <c r="A133" s="259"/>
      <c r="B133" s="262"/>
      <c r="C133" s="255"/>
      <c r="D133" s="259"/>
      <c r="E133" s="106" t="s">
        <v>755</v>
      </c>
      <c r="F133" s="180" t="s">
        <v>756</v>
      </c>
      <c r="G133" s="189" t="s">
        <v>4290</v>
      </c>
      <c r="H133" s="189"/>
      <c r="J133" s="189"/>
      <c r="K133" s="189"/>
      <c r="L133" s="189"/>
      <c r="M133" s="189"/>
      <c r="N133" s="189"/>
      <c r="O133" s="189"/>
      <c r="P133" s="189"/>
      <c r="Q133" s="189"/>
      <c r="R133" s="189"/>
      <c r="S133" s="189"/>
      <c r="T133" s="189"/>
      <c r="U133" s="189"/>
      <c r="V133" s="189"/>
      <c r="W133" s="189"/>
      <c r="X133" s="194" t="s">
        <v>54</v>
      </c>
      <c r="Y133" s="194" t="s">
        <v>54</v>
      </c>
      <c r="Z133" s="189"/>
      <c r="AA133" s="189"/>
      <c r="AB133" s="189"/>
      <c r="AC133" s="189"/>
      <c r="AD133" s="189"/>
    </row>
    <row r="134" spans="1:30" ht="30" x14ac:dyDescent="0.2">
      <c r="A134" s="259"/>
      <c r="B134" s="262"/>
      <c r="C134" s="255"/>
      <c r="D134" s="259"/>
      <c r="E134" s="106" t="s">
        <v>757</v>
      </c>
      <c r="F134" s="180" t="s">
        <v>758</v>
      </c>
      <c r="G134" s="189" t="s">
        <v>4290</v>
      </c>
      <c r="H134" s="189"/>
      <c r="J134" s="189"/>
      <c r="K134" s="189"/>
      <c r="L134" s="189"/>
      <c r="M134" s="189"/>
      <c r="N134" s="189"/>
      <c r="O134" s="189"/>
      <c r="P134" s="189"/>
      <c r="Q134" s="189"/>
      <c r="R134" s="189"/>
      <c r="S134" s="189"/>
      <c r="T134" s="189"/>
      <c r="U134" s="189"/>
      <c r="V134" s="189"/>
      <c r="W134" s="189"/>
      <c r="X134" s="194" t="s">
        <v>54</v>
      </c>
      <c r="Y134" s="194" t="s">
        <v>54</v>
      </c>
      <c r="Z134" s="189"/>
      <c r="AA134" s="189"/>
      <c r="AB134" s="189"/>
      <c r="AC134" s="189"/>
      <c r="AD134" s="189"/>
    </row>
    <row r="135" spans="1:30" ht="15" x14ac:dyDescent="0.2">
      <c r="A135" s="259"/>
      <c r="B135" s="262"/>
      <c r="C135" s="255"/>
      <c r="D135" s="259"/>
      <c r="E135" s="106" t="s">
        <v>759</v>
      </c>
      <c r="F135" s="180" t="s">
        <v>760</v>
      </c>
      <c r="G135" s="189" t="s">
        <v>4290</v>
      </c>
      <c r="H135" s="189"/>
      <c r="J135" s="189"/>
      <c r="K135" s="189"/>
      <c r="L135" s="189"/>
      <c r="M135" s="189"/>
      <c r="N135" s="189"/>
      <c r="O135" s="189"/>
      <c r="P135" s="189"/>
      <c r="Q135" s="189"/>
      <c r="R135" s="189"/>
      <c r="S135" s="189"/>
      <c r="T135" s="189"/>
      <c r="U135" s="189"/>
      <c r="V135" s="189"/>
      <c r="W135" s="189"/>
      <c r="X135" s="194" t="s">
        <v>54</v>
      </c>
      <c r="Y135" s="194" t="s">
        <v>54</v>
      </c>
      <c r="Z135" s="189"/>
      <c r="AA135" s="189"/>
      <c r="AB135" s="189"/>
      <c r="AC135" s="189"/>
      <c r="AD135" s="189"/>
    </row>
    <row r="136" spans="1:30" ht="13.5" thickBot="1" x14ac:dyDescent="0.25">
      <c r="A136" s="260"/>
      <c r="B136" s="263"/>
      <c r="C136" s="256"/>
      <c r="D136" s="260"/>
      <c r="E136" s="106" t="s">
        <v>761</v>
      </c>
      <c r="F136" s="177"/>
      <c r="G136" s="189"/>
      <c r="H136" s="189"/>
      <c r="J136" s="189"/>
      <c r="K136" s="189"/>
      <c r="L136" s="189"/>
      <c r="M136" s="189"/>
      <c r="N136" s="189"/>
      <c r="O136" s="189"/>
      <c r="P136" s="189"/>
      <c r="Q136" s="189"/>
      <c r="R136" s="189"/>
      <c r="S136" s="189"/>
      <c r="T136" s="189"/>
      <c r="U136" s="189"/>
      <c r="V136" s="189"/>
      <c r="W136" s="189"/>
      <c r="X136" s="189"/>
      <c r="Y136" s="189"/>
      <c r="Z136" s="189"/>
      <c r="AA136" s="189"/>
      <c r="AB136" s="189"/>
      <c r="AC136" s="189"/>
      <c r="AD136" s="189"/>
    </row>
    <row r="137" spans="1:30" ht="30" x14ac:dyDescent="0.2">
      <c r="A137" s="258" t="s">
        <v>420</v>
      </c>
      <c r="B137" s="261" t="s">
        <v>762</v>
      </c>
      <c r="C137" s="254">
        <f>SUM(H137:H151)/COUNTIF(F139:F151,"&gt;""")/4</f>
        <v>0</v>
      </c>
      <c r="D137" s="258" t="s">
        <v>763</v>
      </c>
      <c r="E137" s="34" t="s">
        <v>421</v>
      </c>
      <c r="F137" s="180" t="s">
        <v>764</v>
      </c>
      <c r="G137" s="189" t="s">
        <v>4290</v>
      </c>
      <c r="H137" s="189" t="s">
        <v>3115</v>
      </c>
      <c r="J137" s="189"/>
      <c r="K137" s="189"/>
      <c r="L137" s="189"/>
      <c r="M137" s="189"/>
      <c r="N137" s="189"/>
      <c r="O137" s="189"/>
      <c r="P137" s="189"/>
      <c r="Q137" s="189"/>
      <c r="R137" s="189"/>
      <c r="S137" s="194" t="s">
        <v>54</v>
      </c>
      <c r="T137" s="189"/>
      <c r="U137" s="189"/>
      <c r="V137" s="189"/>
      <c r="W137" s="189"/>
      <c r="X137" s="189"/>
      <c r="Y137" s="189"/>
      <c r="Z137" s="189"/>
      <c r="AA137" s="189"/>
      <c r="AB137" s="189"/>
      <c r="AC137" s="189"/>
      <c r="AD137" s="189"/>
    </row>
    <row r="138" spans="1:30" ht="15" x14ac:dyDescent="0.2">
      <c r="A138" s="259"/>
      <c r="B138" s="262"/>
      <c r="C138" s="255"/>
      <c r="D138" s="259"/>
      <c r="E138" s="34" t="s">
        <v>422</v>
      </c>
      <c r="F138" s="180" t="s">
        <v>769</v>
      </c>
      <c r="G138" s="189" t="s">
        <v>4290</v>
      </c>
      <c r="H138" s="189"/>
      <c r="J138" s="189"/>
      <c r="K138" s="189"/>
      <c r="L138" s="189"/>
      <c r="M138" s="189"/>
      <c r="N138" s="189"/>
      <c r="O138" s="189"/>
      <c r="P138" s="189"/>
      <c r="Q138" s="189"/>
      <c r="R138" s="189"/>
      <c r="S138" s="194" t="s">
        <v>54</v>
      </c>
      <c r="T138" s="189"/>
      <c r="U138" s="189"/>
      <c r="V138" s="189"/>
      <c r="W138" s="189"/>
      <c r="X138" s="189"/>
      <c r="Y138" s="189"/>
      <c r="Z138" s="194" t="s">
        <v>54</v>
      </c>
      <c r="AA138" s="189"/>
      <c r="AB138" s="189"/>
      <c r="AC138" s="189"/>
      <c r="AD138" s="189"/>
    </row>
    <row r="139" spans="1:30" ht="15" x14ac:dyDescent="0.2">
      <c r="A139" s="259"/>
      <c r="B139" s="262"/>
      <c r="C139" s="255"/>
      <c r="D139" s="259"/>
      <c r="E139" s="34" t="s">
        <v>423</v>
      </c>
      <c r="F139" s="180" t="s">
        <v>770</v>
      </c>
      <c r="G139" s="189" t="s">
        <v>4290</v>
      </c>
      <c r="H139" s="189"/>
      <c r="J139" s="189"/>
      <c r="K139" s="189"/>
      <c r="L139" s="189"/>
      <c r="M139" s="189"/>
      <c r="N139" s="189"/>
      <c r="O139" s="189"/>
      <c r="P139" s="189"/>
      <c r="Q139" s="189"/>
      <c r="R139" s="189"/>
      <c r="S139" s="189"/>
      <c r="T139" s="189"/>
      <c r="U139" s="189"/>
      <c r="V139" s="189"/>
      <c r="W139" s="189"/>
      <c r="X139" s="189"/>
      <c r="Y139" s="189"/>
      <c r="Z139" s="194" t="s">
        <v>54</v>
      </c>
      <c r="AA139" s="189"/>
      <c r="AB139" s="189"/>
      <c r="AC139" s="189"/>
      <c r="AD139" s="189"/>
    </row>
    <row r="140" spans="1:30" ht="15" x14ac:dyDescent="0.2">
      <c r="A140" s="259"/>
      <c r="B140" s="262"/>
      <c r="C140" s="255"/>
      <c r="D140" s="259"/>
      <c r="E140" s="34" t="s">
        <v>424</v>
      </c>
      <c r="F140" s="180" t="s">
        <v>771</v>
      </c>
      <c r="G140" s="189" t="s">
        <v>4290</v>
      </c>
      <c r="H140" s="189"/>
      <c r="J140" s="189"/>
      <c r="K140" s="189"/>
      <c r="L140" s="189"/>
      <c r="M140" s="189"/>
      <c r="N140" s="189"/>
      <c r="O140" s="189"/>
      <c r="P140" s="189"/>
      <c r="Q140" s="189"/>
      <c r="R140" s="189"/>
      <c r="S140" s="189"/>
      <c r="T140" s="189"/>
      <c r="U140" s="189"/>
      <c r="V140" s="189"/>
      <c r="W140" s="189"/>
      <c r="X140" s="189"/>
      <c r="Y140" s="189"/>
      <c r="Z140" s="194" t="s">
        <v>54</v>
      </c>
      <c r="AA140" s="189"/>
      <c r="AB140" s="189"/>
      <c r="AC140" s="189"/>
      <c r="AD140" s="189"/>
    </row>
    <row r="141" spans="1:30" ht="30" x14ac:dyDescent="0.2">
      <c r="A141" s="259"/>
      <c r="B141" s="262"/>
      <c r="C141" s="255"/>
      <c r="D141" s="259"/>
      <c r="E141" s="34" t="s">
        <v>772</v>
      </c>
      <c r="F141" s="180" t="s">
        <v>773</v>
      </c>
      <c r="G141" s="189" t="s">
        <v>4290</v>
      </c>
      <c r="H141" s="189"/>
      <c r="J141" s="189"/>
      <c r="K141" s="189"/>
      <c r="L141" s="189"/>
      <c r="M141" s="189"/>
      <c r="N141" s="189"/>
      <c r="O141" s="189"/>
      <c r="P141" s="189"/>
      <c r="Q141" s="189"/>
      <c r="R141" s="189"/>
      <c r="S141" s="189"/>
      <c r="T141" s="189"/>
      <c r="U141" s="189"/>
      <c r="V141" s="189"/>
      <c r="W141" s="189"/>
      <c r="X141" s="189"/>
      <c r="Y141" s="189"/>
      <c r="Z141" s="194" t="s">
        <v>54</v>
      </c>
      <c r="AA141" s="189"/>
      <c r="AB141" s="189"/>
      <c r="AC141" s="189"/>
      <c r="AD141" s="189"/>
    </row>
    <row r="142" spans="1:30" ht="30" x14ac:dyDescent="0.2">
      <c r="A142" s="259"/>
      <c r="B142" s="262"/>
      <c r="C142" s="255"/>
      <c r="D142" s="259"/>
      <c r="E142" s="34" t="s">
        <v>774</v>
      </c>
      <c r="F142" s="180" t="s">
        <v>775</v>
      </c>
      <c r="G142" s="189" t="s">
        <v>4290</v>
      </c>
      <c r="H142" s="189"/>
      <c r="J142" s="189"/>
      <c r="K142" s="189"/>
      <c r="L142" s="189"/>
      <c r="M142" s="189"/>
      <c r="N142" s="189"/>
      <c r="O142" s="189"/>
      <c r="P142" s="189"/>
      <c r="Q142" s="189"/>
      <c r="R142" s="189"/>
      <c r="S142" s="189"/>
      <c r="T142" s="189"/>
      <c r="U142" s="189"/>
      <c r="V142" s="189"/>
      <c r="W142" s="189"/>
      <c r="X142" s="189"/>
      <c r="Y142" s="189"/>
      <c r="Z142" s="194" t="s">
        <v>54</v>
      </c>
      <c r="AA142" s="189"/>
      <c r="AB142" s="189"/>
      <c r="AC142" s="189"/>
      <c r="AD142" s="189"/>
    </row>
    <row r="143" spans="1:30" ht="15" x14ac:dyDescent="0.2">
      <c r="A143" s="259"/>
      <c r="B143" s="262"/>
      <c r="C143" s="255"/>
      <c r="D143" s="259"/>
      <c r="E143" s="34" t="s">
        <v>776</v>
      </c>
      <c r="F143" s="180" t="s">
        <v>777</v>
      </c>
      <c r="G143" s="189" t="s">
        <v>4290</v>
      </c>
      <c r="H143" s="189"/>
      <c r="J143" s="189"/>
      <c r="K143" s="189"/>
      <c r="L143" s="189"/>
      <c r="M143" s="189"/>
      <c r="N143" s="189"/>
      <c r="O143" s="189"/>
      <c r="P143" s="189"/>
      <c r="Q143" s="189"/>
      <c r="R143" s="189"/>
      <c r="S143" s="189"/>
      <c r="T143" s="189"/>
      <c r="U143" s="189"/>
      <c r="V143" s="189"/>
      <c r="W143" s="189"/>
      <c r="X143" s="194" t="s">
        <v>54</v>
      </c>
      <c r="Y143" s="189"/>
      <c r="Z143" s="194" t="s">
        <v>54</v>
      </c>
      <c r="AA143" s="189"/>
      <c r="AB143" s="189"/>
      <c r="AC143" s="189"/>
      <c r="AD143" s="189"/>
    </row>
    <row r="144" spans="1:30" ht="30" x14ac:dyDescent="0.2">
      <c r="A144" s="259"/>
      <c r="B144" s="262"/>
      <c r="C144" s="255"/>
      <c r="D144" s="259"/>
      <c r="E144" s="34" t="s">
        <v>778</v>
      </c>
      <c r="F144" s="180" t="s">
        <v>779</v>
      </c>
      <c r="G144" s="189" t="s">
        <v>4290</v>
      </c>
      <c r="H144" s="189" t="s">
        <v>4296</v>
      </c>
      <c r="J144" s="189"/>
      <c r="K144" s="189"/>
      <c r="L144" s="189"/>
      <c r="M144" s="189"/>
      <c r="N144" s="189"/>
      <c r="O144" s="189"/>
      <c r="P144" s="189"/>
      <c r="Q144" s="189"/>
      <c r="R144" s="189"/>
      <c r="S144" s="189"/>
      <c r="T144" s="189"/>
      <c r="U144" s="194" t="s">
        <v>54</v>
      </c>
      <c r="V144" s="189"/>
      <c r="W144" s="189"/>
      <c r="X144" s="189"/>
      <c r="Y144" s="189"/>
      <c r="Z144" s="194" t="s">
        <v>54</v>
      </c>
      <c r="AA144" s="189"/>
      <c r="AB144" s="189"/>
      <c r="AC144" s="189"/>
      <c r="AD144" s="189"/>
    </row>
    <row r="145" spans="1:30" ht="15" x14ac:dyDescent="0.2">
      <c r="A145" s="259"/>
      <c r="B145" s="262"/>
      <c r="C145" s="255"/>
      <c r="D145" s="259"/>
      <c r="E145" s="34" t="s">
        <v>2811</v>
      </c>
      <c r="F145" s="180" t="s">
        <v>781</v>
      </c>
      <c r="G145" s="189" t="s">
        <v>4290</v>
      </c>
      <c r="H145" s="189"/>
      <c r="J145" s="189"/>
      <c r="K145" s="189"/>
      <c r="L145" s="189"/>
      <c r="M145" s="189"/>
      <c r="N145" s="189"/>
      <c r="O145" s="189"/>
      <c r="P145" s="189"/>
      <c r="Q145" s="189"/>
      <c r="R145" s="189"/>
      <c r="S145" s="189"/>
      <c r="T145" s="189"/>
      <c r="U145" s="189"/>
      <c r="V145" s="189"/>
      <c r="W145" s="189"/>
      <c r="X145" s="194" t="s">
        <v>54</v>
      </c>
      <c r="Y145" s="189"/>
      <c r="Z145" s="189"/>
      <c r="AA145" s="189"/>
      <c r="AB145" s="189"/>
      <c r="AC145" s="189"/>
      <c r="AD145" s="189"/>
    </row>
    <row r="146" spans="1:30" ht="15" x14ac:dyDescent="0.2">
      <c r="A146" s="259"/>
      <c r="B146" s="262"/>
      <c r="C146" s="255"/>
      <c r="D146" s="259"/>
      <c r="E146" s="34" t="s">
        <v>785</v>
      </c>
      <c r="F146" s="180" t="s">
        <v>782</v>
      </c>
      <c r="G146" s="189" t="s">
        <v>4290</v>
      </c>
      <c r="H146" s="189" t="s">
        <v>4297</v>
      </c>
      <c r="J146" s="189"/>
      <c r="K146" s="189"/>
      <c r="L146" s="189"/>
      <c r="M146" s="189"/>
      <c r="N146" s="189"/>
      <c r="O146" s="189"/>
      <c r="P146" s="189"/>
      <c r="Q146" s="189"/>
      <c r="R146" s="189"/>
      <c r="S146" s="189"/>
      <c r="T146" s="189"/>
      <c r="U146" s="189"/>
      <c r="V146" s="189"/>
      <c r="W146" s="189"/>
      <c r="X146" s="194" t="s">
        <v>54</v>
      </c>
      <c r="Y146" s="189"/>
      <c r="Z146" s="189"/>
      <c r="AA146" s="189"/>
      <c r="AB146" s="189"/>
      <c r="AC146" s="189"/>
      <c r="AD146" s="189"/>
    </row>
    <row r="147" spans="1:30" ht="15" x14ac:dyDescent="0.2">
      <c r="A147" s="259"/>
      <c r="B147" s="262"/>
      <c r="C147" s="255"/>
      <c r="D147" s="259"/>
      <c r="E147" s="34" t="s">
        <v>787</v>
      </c>
      <c r="F147" s="180" t="s">
        <v>784</v>
      </c>
      <c r="G147" s="189" t="s">
        <v>4290</v>
      </c>
      <c r="H147" s="189"/>
      <c r="J147" s="189"/>
      <c r="K147" s="189"/>
      <c r="L147" s="189"/>
      <c r="M147" s="189"/>
      <c r="N147" s="189"/>
      <c r="O147" s="189"/>
      <c r="P147" s="189"/>
      <c r="Q147" s="189"/>
      <c r="R147" s="189"/>
      <c r="S147" s="189"/>
      <c r="T147" s="189"/>
      <c r="U147" s="189"/>
      <c r="V147" s="189"/>
      <c r="W147" s="189"/>
      <c r="X147" s="194" t="s">
        <v>54</v>
      </c>
      <c r="Y147" s="189"/>
      <c r="Z147" s="189"/>
      <c r="AA147" s="189"/>
      <c r="AB147" s="189"/>
      <c r="AC147" s="189"/>
      <c r="AD147" s="189"/>
    </row>
    <row r="148" spans="1:30" ht="15" x14ac:dyDescent="0.2">
      <c r="A148" s="259"/>
      <c r="B148" s="262"/>
      <c r="C148" s="255"/>
      <c r="D148" s="259"/>
      <c r="E148" s="34" t="s">
        <v>789</v>
      </c>
      <c r="F148" s="180" t="s">
        <v>786</v>
      </c>
      <c r="G148" s="189" t="s">
        <v>4290</v>
      </c>
      <c r="H148" s="189" t="s">
        <v>4297</v>
      </c>
      <c r="J148" s="189"/>
      <c r="K148" s="189"/>
      <c r="L148" s="189"/>
      <c r="M148" s="189"/>
      <c r="N148" s="189"/>
      <c r="O148" s="189"/>
      <c r="P148" s="189"/>
      <c r="Q148" s="189"/>
      <c r="R148" s="189"/>
      <c r="S148" s="189"/>
      <c r="T148" s="189"/>
      <c r="U148" s="189"/>
      <c r="V148" s="189"/>
      <c r="W148" s="189"/>
      <c r="X148" s="194" t="s">
        <v>54</v>
      </c>
      <c r="Y148" s="189"/>
      <c r="Z148" s="194" t="s">
        <v>54</v>
      </c>
      <c r="AA148" s="189"/>
      <c r="AB148" s="189"/>
      <c r="AC148" s="189"/>
      <c r="AD148" s="189"/>
    </row>
    <row r="149" spans="1:30" ht="15" x14ac:dyDescent="0.2">
      <c r="A149" s="259"/>
      <c r="B149" s="262"/>
      <c r="C149" s="255"/>
      <c r="D149" s="259"/>
      <c r="E149" s="34" t="s">
        <v>791</v>
      </c>
      <c r="F149" s="180" t="s">
        <v>788</v>
      </c>
      <c r="G149" s="189" t="s">
        <v>4290</v>
      </c>
      <c r="H149" s="189"/>
      <c r="J149" s="189"/>
      <c r="K149" s="189"/>
      <c r="L149" s="189"/>
      <c r="M149" s="189"/>
      <c r="N149" s="189"/>
      <c r="O149" s="189"/>
      <c r="P149" s="189"/>
      <c r="Q149" s="189"/>
      <c r="R149" s="189"/>
      <c r="S149" s="189"/>
      <c r="T149" s="189"/>
      <c r="U149" s="189"/>
      <c r="V149" s="189"/>
      <c r="W149" s="189"/>
      <c r="X149" s="194" t="s">
        <v>54</v>
      </c>
      <c r="Y149" s="189"/>
      <c r="Z149" s="189"/>
      <c r="AA149" s="189"/>
      <c r="AB149" s="189"/>
      <c r="AC149" s="189"/>
      <c r="AD149" s="189"/>
    </row>
    <row r="150" spans="1:30" ht="45" x14ac:dyDescent="0.2">
      <c r="A150" s="259"/>
      <c r="B150" s="262"/>
      <c r="C150" s="255"/>
      <c r="D150" s="259"/>
      <c r="E150" s="34" t="s">
        <v>3052</v>
      </c>
      <c r="F150" s="180" t="s">
        <v>790</v>
      </c>
      <c r="G150" s="189" t="s">
        <v>4290</v>
      </c>
      <c r="H150" s="189" t="s">
        <v>4297</v>
      </c>
      <c r="J150" s="189"/>
      <c r="K150" s="189"/>
      <c r="L150" s="189"/>
      <c r="M150" s="189"/>
      <c r="N150" s="189"/>
      <c r="O150" s="189"/>
      <c r="P150" s="189"/>
      <c r="Q150" s="189"/>
      <c r="R150" s="189"/>
      <c r="S150" s="189"/>
      <c r="T150" s="189"/>
      <c r="U150" s="189"/>
      <c r="V150" s="189"/>
      <c r="W150" s="189"/>
      <c r="X150" s="194" t="s">
        <v>54</v>
      </c>
      <c r="Y150" s="189"/>
      <c r="Z150" s="189"/>
      <c r="AA150" s="189"/>
      <c r="AB150" s="189"/>
      <c r="AC150" s="189"/>
      <c r="AD150" s="189"/>
    </row>
    <row r="151" spans="1:30" ht="30.75" thickBot="1" x14ac:dyDescent="0.25">
      <c r="A151" s="259"/>
      <c r="B151" s="262"/>
      <c r="C151" s="255"/>
      <c r="D151" s="260"/>
      <c r="E151" s="34" t="s">
        <v>3053</v>
      </c>
      <c r="F151" s="173" t="s">
        <v>4327</v>
      </c>
      <c r="G151" s="189" t="s">
        <v>4290</v>
      </c>
      <c r="H151" s="189"/>
      <c r="J151" s="189"/>
      <c r="K151" s="189"/>
      <c r="L151" s="189"/>
      <c r="M151" s="189"/>
      <c r="N151" s="189"/>
      <c r="O151" s="189"/>
      <c r="P151" s="189"/>
      <c r="Q151" s="194" t="s">
        <v>54</v>
      </c>
      <c r="R151" s="189"/>
      <c r="S151" s="189"/>
      <c r="T151" s="189"/>
      <c r="U151" s="189"/>
      <c r="V151" s="189"/>
      <c r="W151" s="194" t="s">
        <v>54</v>
      </c>
      <c r="X151" s="194" t="s">
        <v>54</v>
      </c>
      <c r="Y151" s="189"/>
      <c r="Z151" s="194" t="s">
        <v>54</v>
      </c>
      <c r="AA151" s="189"/>
      <c r="AB151" s="189"/>
      <c r="AC151" s="189"/>
      <c r="AD151" s="189"/>
    </row>
    <row r="152" spans="1:30" ht="25.5" x14ac:dyDescent="0.2">
      <c r="A152" s="248" t="s">
        <v>425</v>
      </c>
      <c r="B152" s="251" t="s">
        <v>792</v>
      </c>
      <c r="C152" s="254">
        <f>SUM(H152:H160)/COUNTIF(F153:F160,"&gt;""")/4</f>
        <v>0</v>
      </c>
      <c r="D152" s="248" t="s">
        <v>793</v>
      </c>
      <c r="E152" s="96" t="s">
        <v>426</v>
      </c>
      <c r="F152" s="179" t="s">
        <v>794</v>
      </c>
      <c r="G152" s="220" t="s">
        <v>4290</v>
      </c>
      <c r="H152" s="189"/>
      <c r="J152" s="189"/>
      <c r="K152" s="189"/>
      <c r="L152" s="189"/>
      <c r="M152" s="189"/>
      <c r="N152" s="189"/>
      <c r="O152" s="189"/>
      <c r="P152" s="189"/>
      <c r="Q152" s="189"/>
      <c r="R152" s="189"/>
      <c r="S152" s="194" t="s">
        <v>54</v>
      </c>
      <c r="T152" s="189"/>
      <c r="U152" s="189"/>
      <c r="V152" s="194" t="s">
        <v>54</v>
      </c>
      <c r="W152" s="189"/>
      <c r="X152" s="189"/>
      <c r="Y152" s="194" t="s">
        <v>54</v>
      </c>
      <c r="Z152" s="189"/>
      <c r="AA152" s="189"/>
      <c r="AB152" s="189"/>
      <c r="AC152" s="189"/>
      <c r="AD152" s="189"/>
    </row>
    <row r="153" spans="1:30" ht="25.5" x14ac:dyDescent="0.2">
      <c r="A153" s="249"/>
      <c r="B153" s="252"/>
      <c r="C153" s="255"/>
      <c r="D153" s="249"/>
      <c r="E153" s="96" t="s">
        <v>427</v>
      </c>
      <c r="F153" s="179" t="s">
        <v>796</v>
      </c>
      <c r="G153" s="220" t="s">
        <v>4290</v>
      </c>
      <c r="H153" s="189"/>
      <c r="J153" s="189"/>
      <c r="K153" s="189"/>
      <c r="L153" s="189"/>
      <c r="M153" s="189"/>
      <c r="N153" s="189"/>
      <c r="O153" s="189"/>
      <c r="P153" s="189"/>
      <c r="Q153" s="189"/>
      <c r="R153" s="189"/>
      <c r="S153" s="194" t="s">
        <v>54</v>
      </c>
      <c r="T153" s="189"/>
      <c r="U153" s="189"/>
      <c r="V153" s="194" t="s">
        <v>54</v>
      </c>
      <c r="W153" s="189"/>
      <c r="X153" s="189"/>
      <c r="Y153" s="194" t="s">
        <v>54</v>
      </c>
      <c r="Z153" s="189"/>
      <c r="AA153" s="189"/>
      <c r="AB153" s="189"/>
      <c r="AC153" s="189"/>
      <c r="AD153" s="189"/>
    </row>
    <row r="154" spans="1:30" x14ac:dyDescent="0.2">
      <c r="A154" s="249"/>
      <c r="B154" s="252"/>
      <c r="C154" s="255"/>
      <c r="D154" s="249"/>
      <c r="E154" s="96" t="s">
        <v>428</v>
      </c>
      <c r="F154" s="179" t="s">
        <v>797</v>
      </c>
      <c r="G154" s="220" t="s">
        <v>4290</v>
      </c>
      <c r="H154" s="189"/>
      <c r="J154" s="189"/>
      <c r="K154" s="189"/>
      <c r="L154" s="189"/>
      <c r="M154" s="189"/>
      <c r="N154" s="189"/>
      <c r="O154" s="189"/>
      <c r="P154" s="189"/>
      <c r="Q154" s="194" t="s">
        <v>54</v>
      </c>
      <c r="R154" s="189"/>
      <c r="S154" s="194" t="s">
        <v>54</v>
      </c>
      <c r="T154" s="189"/>
      <c r="U154" s="189"/>
      <c r="V154" s="194" t="s">
        <v>54</v>
      </c>
      <c r="W154" s="189"/>
      <c r="X154" s="189"/>
      <c r="Y154" s="194" t="s">
        <v>54</v>
      </c>
      <c r="Z154" s="189"/>
      <c r="AA154" s="189"/>
      <c r="AB154" s="189"/>
      <c r="AC154" s="189"/>
      <c r="AD154" s="189"/>
    </row>
    <row r="155" spans="1:30" x14ac:dyDescent="0.2">
      <c r="A155" s="249"/>
      <c r="B155" s="252"/>
      <c r="C155" s="255"/>
      <c r="D155" s="249"/>
      <c r="E155" s="96" t="s">
        <v>429</v>
      </c>
      <c r="F155" s="179" t="s">
        <v>798</v>
      </c>
      <c r="G155" s="220" t="s">
        <v>4290</v>
      </c>
      <c r="H155" s="189"/>
      <c r="J155" s="189"/>
      <c r="K155" s="189"/>
      <c r="L155" s="189"/>
      <c r="M155" s="189"/>
      <c r="N155" s="189"/>
      <c r="O155" s="189"/>
      <c r="P155" s="189"/>
      <c r="Q155" s="194" t="s">
        <v>54</v>
      </c>
      <c r="R155" s="189"/>
      <c r="S155" s="194" t="s">
        <v>54</v>
      </c>
      <c r="T155" s="189"/>
      <c r="U155" s="189"/>
      <c r="V155" s="194" t="s">
        <v>54</v>
      </c>
      <c r="W155" s="189"/>
      <c r="X155" s="189"/>
      <c r="Y155" s="194" t="s">
        <v>54</v>
      </c>
      <c r="Z155" s="189"/>
      <c r="AA155" s="189"/>
      <c r="AB155" s="189"/>
      <c r="AC155" s="189"/>
      <c r="AD155" s="189"/>
    </row>
    <row r="156" spans="1:30" x14ac:dyDescent="0.2">
      <c r="A156" s="249"/>
      <c r="B156" s="252"/>
      <c r="C156" s="255"/>
      <c r="D156" s="249"/>
      <c r="E156" s="96" t="s">
        <v>430</v>
      </c>
      <c r="F156" s="179" t="s">
        <v>799</v>
      </c>
      <c r="G156" s="220" t="s">
        <v>4290</v>
      </c>
      <c r="H156" s="189"/>
      <c r="J156" s="189"/>
      <c r="K156" s="189"/>
      <c r="L156" s="189"/>
      <c r="M156" s="189"/>
      <c r="N156" s="189"/>
      <c r="O156" s="189"/>
      <c r="P156" s="189"/>
      <c r="Q156" s="189"/>
      <c r="R156" s="189"/>
      <c r="S156" s="194" t="s">
        <v>54</v>
      </c>
      <c r="T156" s="189"/>
      <c r="U156" s="189"/>
      <c r="V156" s="194" t="s">
        <v>54</v>
      </c>
      <c r="W156" s="189"/>
      <c r="X156" s="189"/>
      <c r="Y156" s="189"/>
      <c r="Z156" s="189"/>
      <c r="AA156" s="189"/>
      <c r="AB156" s="189"/>
      <c r="AC156" s="189"/>
      <c r="AD156" s="189"/>
    </row>
    <row r="157" spans="1:30" x14ac:dyDescent="0.2">
      <c r="A157" s="249"/>
      <c r="B157" s="252"/>
      <c r="C157" s="255"/>
      <c r="D157" s="249"/>
      <c r="E157" s="96" t="s">
        <v>431</v>
      </c>
      <c r="F157" s="179" t="s">
        <v>800</v>
      </c>
      <c r="G157" s="220" t="s">
        <v>4290</v>
      </c>
      <c r="H157" s="189"/>
      <c r="J157" s="189"/>
      <c r="K157" s="189"/>
      <c r="L157" s="189"/>
      <c r="M157" s="189"/>
      <c r="N157" s="189"/>
      <c r="O157" s="189"/>
      <c r="P157" s="189"/>
      <c r="Q157" s="189"/>
      <c r="R157" s="189"/>
      <c r="S157" s="189"/>
      <c r="T157" s="189"/>
      <c r="U157" s="189"/>
      <c r="V157" s="194" t="s">
        <v>54</v>
      </c>
      <c r="W157" s="189"/>
      <c r="X157" s="189"/>
      <c r="Y157" s="189"/>
      <c r="Z157" s="189"/>
      <c r="AA157" s="189"/>
      <c r="AB157" s="189"/>
      <c r="AC157" s="189"/>
      <c r="AD157" s="189"/>
    </row>
    <row r="158" spans="1:30" x14ac:dyDescent="0.2">
      <c r="A158" s="249"/>
      <c r="B158" s="252"/>
      <c r="C158" s="255"/>
      <c r="D158" s="249"/>
      <c r="E158" s="96" t="s">
        <v>801</v>
      </c>
      <c r="F158" s="179" t="s">
        <v>802</v>
      </c>
      <c r="G158" s="220" t="s">
        <v>4290</v>
      </c>
      <c r="H158" s="189"/>
      <c r="J158" s="189"/>
      <c r="K158" s="189"/>
      <c r="L158" s="189"/>
      <c r="M158" s="189"/>
      <c r="N158" s="189"/>
      <c r="O158" s="189"/>
      <c r="P158" s="189"/>
      <c r="Q158" s="189"/>
      <c r="R158" s="189"/>
      <c r="S158" s="189"/>
      <c r="T158" s="189"/>
      <c r="U158" s="189"/>
      <c r="V158" s="194" t="s">
        <v>54</v>
      </c>
      <c r="W158" s="189"/>
      <c r="X158" s="189"/>
      <c r="Y158" s="189"/>
      <c r="Z158" s="189"/>
      <c r="AA158" s="189"/>
      <c r="AB158" s="189"/>
      <c r="AC158" s="189"/>
      <c r="AD158" s="189"/>
    </row>
    <row r="159" spans="1:30" x14ac:dyDescent="0.2">
      <c r="A159" s="249"/>
      <c r="B159" s="252"/>
      <c r="C159" s="255"/>
      <c r="D159" s="249"/>
      <c r="E159" s="96" t="s">
        <v>803</v>
      </c>
      <c r="F159" s="179" t="s">
        <v>804</v>
      </c>
      <c r="G159" s="220" t="s">
        <v>4290</v>
      </c>
      <c r="H159" s="189"/>
      <c r="J159" s="189"/>
      <c r="K159" s="189"/>
      <c r="L159" s="189"/>
      <c r="M159" s="189"/>
      <c r="N159" s="189"/>
      <c r="O159" s="189"/>
      <c r="P159" s="189"/>
      <c r="Q159" s="194" t="s">
        <v>54</v>
      </c>
      <c r="R159" s="189"/>
      <c r="S159" s="189"/>
      <c r="T159" s="189"/>
      <c r="U159" s="189"/>
      <c r="V159" s="194" t="s">
        <v>54</v>
      </c>
      <c r="W159" s="189"/>
      <c r="X159" s="189"/>
      <c r="Y159" s="189"/>
      <c r="Z159" s="189"/>
      <c r="AA159" s="189"/>
      <c r="AB159" s="189"/>
      <c r="AC159" s="189"/>
      <c r="AD159" s="189"/>
    </row>
    <row r="160" spans="1:30" ht="13.5" thickBot="1" x14ac:dyDescent="0.25">
      <c r="A160" s="250"/>
      <c r="B160" s="253"/>
      <c r="C160" s="256"/>
      <c r="D160" s="250"/>
      <c r="E160" s="96" t="s">
        <v>805</v>
      </c>
      <c r="F160" s="177"/>
      <c r="G160" s="189"/>
      <c r="H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row>
    <row r="161" spans="1:30" ht="15" x14ac:dyDescent="0.2">
      <c r="A161" s="248" t="s">
        <v>806</v>
      </c>
      <c r="B161" s="251" t="s">
        <v>807</v>
      </c>
      <c r="C161" s="254">
        <f>SUM(H161:H168)/COUNTIF(F161:F168,"&gt;""")/4</f>
        <v>0</v>
      </c>
      <c r="D161" s="257" t="s">
        <v>877</v>
      </c>
      <c r="E161" s="96" t="s">
        <v>808</v>
      </c>
      <c r="F161" s="180" t="s">
        <v>878</v>
      </c>
      <c r="G161" s="189" t="s">
        <v>4290</v>
      </c>
      <c r="H161" s="189"/>
      <c r="J161" s="189"/>
      <c r="K161" s="189"/>
      <c r="L161" s="189"/>
      <c r="M161" s="189"/>
      <c r="N161" s="189"/>
      <c r="O161" s="189"/>
      <c r="P161" s="189"/>
      <c r="Q161" s="189"/>
      <c r="R161" s="189"/>
      <c r="S161" s="194" t="s">
        <v>54</v>
      </c>
      <c r="T161" s="189"/>
      <c r="U161" s="189"/>
      <c r="V161" s="189"/>
      <c r="W161" s="189"/>
      <c r="X161" s="189"/>
      <c r="Y161" s="189"/>
      <c r="Z161" s="189"/>
      <c r="AA161" s="189"/>
      <c r="AB161" s="189"/>
      <c r="AC161" s="189"/>
      <c r="AD161" s="189"/>
    </row>
    <row r="162" spans="1:30" ht="30" x14ac:dyDescent="0.2">
      <c r="A162" s="249"/>
      <c r="B162" s="252"/>
      <c r="C162" s="255"/>
      <c r="D162" s="249"/>
      <c r="E162" s="96" t="s">
        <v>810</v>
      </c>
      <c r="F162" s="184" t="s">
        <v>811</v>
      </c>
      <c r="G162" s="189" t="s">
        <v>4290</v>
      </c>
      <c r="H162" s="189"/>
      <c r="J162" s="189"/>
      <c r="K162" s="189"/>
      <c r="L162" s="189"/>
      <c r="M162" s="189"/>
      <c r="N162" s="189"/>
      <c r="O162" s="189"/>
      <c r="P162" s="189"/>
      <c r="Q162" s="189"/>
      <c r="R162" s="189"/>
      <c r="S162" s="194" t="s">
        <v>54</v>
      </c>
      <c r="T162" s="189"/>
      <c r="U162" s="189"/>
      <c r="V162" s="189"/>
      <c r="W162" s="189"/>
      <c r="X162" s="189"/>
      <c r="Y162" s="189"/>
      <c r="Z162" s="189"/>
      <c r="AA162" s="189"/>
      <c r="AB162" s="189"/>
      <c r="AC162" s="189"/>
      <c r="AD162" s="189"/>
    </row>
    <row r="163" spans="1:30" ht="15" x14ac:dyDescent="0.2">
      <c r="A163" s="249"/>
      <c r="B163" s="252"/>
      <c r="C163" s="255"/>
      <c r="D163" s="249"/>
      <c r="E163" s="96" t="s">
        <v>812</v>
      </c>
      <c r="F163" s="180" t="s">
        <v>876</v>
      </c>
      <c r="G163" s="189" t="s">
        <v>4290</v>
      </c>
      <c r="H163" s="189"/>
      <c r="J163" s="189"/>
      <c r="K163" s="189"/>
      <c r="L163" s="189"/>
      <c r="M163" s="189"/>
      <c r="N163" s="189"/>
      <c r="O163" s="189"/>
      <c r="P163" s="189"/>
      <c r="Q163" s="189"/>
      <c r="R163" s="189"/>
      <c r="S163" s="194" t="s">
        <v>54</v>
      </c>
      <c r="T163" s="189"/>
      <c r="U163" s="189"/>
      <c r="V163" s="189"/>
      <c r="W163" s="189"/>
      <c r="X163" s="189"/>
      <c r="Y163" s="189"/>
      <c r="Z163" s="189"/>
      <c r="AA163" s="189"/>
      <c r="AB163" s="189"/>
      <c r="AC163" s="189"/>
      <c r="AD163" s="189"/>
    </row>
    <row r="164" spans="1:30" ht="15" x14ac:dyDescent="0.2">
      <c r="A164" s="249"/>
      <c r="B164" s="252"/>
      <c r="C164" s="255"/>
      <c r="D164" s="249"/>
      <c r="E164" s="96" t="s">
        <v>813</v>
      </c>
      <c r="F164" s="180" t="s">
        <v>814</v>
      </c>
      <c r="G164" s="189" t="s">
        <v>4290</v>
      </c>
      <c r="H164" s="189"/>
      <c r="J164" s="189"/>
      <c r="K164" s="189"/>
      <c r="L164" s="189"/>
      <c r="M164" s="189"/>
      <c r="N164" s="189"/>
      <c r="O164" s="189"/>
      <c r="P164" s="189"/>
      <c r="Q164" s="189"/>
      <c r="R164" s="189"/>
      <c r="S164" s="194" t="s">
        <v>54</v>
      </c>
      <c r="T164" s="189"/>
      <c r="U164" s="189"/>
      <c r="V164" s="189"/>
      <c r="W164" s="189"/>
      <c r="X164" s="189"/>
      <c r="Y164" s="189"/>
      <c r="Z164" s="189"/>
      <c r="AA164" s="189"/>
      <c r="AB164" s="189"/>
      <c r="AC164" s="189"/>
      <c r="AD164" s="189"/>
    </row>
    <row r="165" spans="1:30" ht="15" x14ac:dyDescent="0.2">
      <c r="A165" s="249"/>
      <c r="B165" s="252"/>
      <c r="C165" s="255"/>
      <c r="D165" s="249"/>
      <c r="E165" s="96" t="s">
        <v>815</v>
      </c>
      <c r="F165" s="180" t="s">
        <v>879</v>
      </c>
      <c r="G165" s="189" t="s">
        <v>4290</v>
      </c>
      <c r="H165" s="189"/>
      <c r="J165" s="189"/>
      <c r="K165" s="189"/>
      <c r="L165" s="189"/>
      <c r="M165" s="189"/>
      <c r="N165" s="189"/>
      <c r="O165" s="189"/>
      <c r="P165" s="189"/>
      <c r="Q165" s="189"/>
      <c r="R165" s="189"/>
      <c r="S165" s="194" t="s">
        <v>54</v>
      </c>
      <c r="T165" s="189"/>
      <c r="U165" s="189"/>
      <c r="V165" s="189"/>
      <c r="W165" s="189"/>
      <c r="X165" s="189"/>
      <c r="Y165" s="189"/>
      <c r="Z165" s="189"/>
      <c r="AA165" s="189"/>
      <c r="AB165" s="189"/>
      <c r="AC165" s="189"/>
      <c r="AD165" s="189"/>
    </row>
    <row r="166" spans="1:30" ht="30" x14ac:dyDescent="0.2">
      <c r="A166" s="249"/>
      <c r="B166" s="252"/>
      <c r="C166" s="255"/>
      <c r="D166" s="249"/>
      <c r="E166" s="96" t="s">
        <v>816</v>
      </c>
      <c r="F166" s="180" t="s">
        <v>817</v>
      </c>
      <c r="G166" s="189" t="s">
        <v>4290</v>
      </c>
      <c r="H166" s="189"/>
      <c r="J166" s="189"/>
      <c r="K166" s="189"/>
      <c r="L166" s="189"/>
      <c r="M166" s="189"/>
      <c r="N166" s="189"/>
      <c r="O166" s="189"/>
      <c r="P166" s="189"/>
      <c r="Q166" s="189"/>
      <c r="R166" s="189"/>
      <c r="S166" s="194" t="s">
        <v>54</v>
      </c>
      <c r="T166" s="189"/>
      <c r="U166" s="189"/>
      <c r="V166" s="189"/>
      <c r="W166" s="189"/>
      <c r="X166" s="189"/>
      <c r="Y166" s="189"/>
      <c r="Z166" s="189"/>
      <c r="AA166" s="189"/>
      <c r="AB166" s="189"/>
      <c r="AC166" s="189"/>
      <c r="AD166" s="189"/>
    </row>
    <row r="167" spans="1:30" x14ac:dyDescent="0.2">
      <c r="A167" s="249"/>
      <c r="B167" s="252"/>
      <c r="C167" s="255"/>
      <c r="D167" s="249"/>
      <c r="E167" s="96" t="s">
        <v>818</v>
      </c>
      <c r="F167" s="144" t="s">
        <v>3031</v>
      </c>
      <c r="G167" s="189" t="s">
        <v>4290</v>
      </c>
      <c r="H167" s="189"/>
      <c r="J167" s="189"/>
      <c r="K167" s="189"/>
      <c r="L167" s="189"/>
      <c r="M167" s="189"/>
      <c r="N167" s="189"/>
      <c r="O167" s="189"/>
      <c r="P167" s="189"/>
      <c r="Q167" s="189"/>
      <c r="R167" s="189"/>
      <c r="S167" s="194" t="s">
        <v>54</v>
      </c>
      <c r="T167" s="189"/>
      <c r="U167" s="189"/>
      <c r="V167" s="189"/>
      <c r="W167" s="189"/>
      <c r="X167" s="189"/>
      <c r="Y167" s="189"/>
      <c r="Z167" s="189"/>
      <c r="AA167" s="189"/>
      <c r="AB167" s="189"/>
      <c r="AC167" s="189"/>
      <c r="AD167" s="189"/>
    </row>
    <row r="168" spans="1:30" x14ac:dyDescent="0.2">
      <c r="A168" s="249"/>
      <c r="B168" s="252"/>
      <c r="C168" s="255"/>
      <c r="D168" s="249"/>
      <c r="E168" s="96" t="s">
        <v>819</v>
      </c>
      <c r="F168" s="177"/>
      <c r="G168" s="189"/>
      <c r="H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row>
    <row r="169" spans="1:30" x14ac:dyDescent="0.2">
      <c r="A169" s="141"/>
      <c r="B169" s="141"/>
      <c r="C169" s="142"/>
      <c r="D169" s="141"/>
      <c r="E169" s="141"/>
      <c r="F169" s="141"/>
      <c r="G169" s="189"/>
      <c r="H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row>
    <row r="170" spans="1:30" ht="15" x14ac:dyDescent="0.2">
      <c r="A170" s="264" t="s">
        <v>432</v>
      </c>
      <c r="B170" s="265" t="s">
        <v>822</v>
      </c>
      <c r="C170" s="237">
        <f>SUM(H170:H182)/COUNTIF(F170:F182,"&gt;""")/4</f>
        <v>0</v>
      </c>
      <c r="D170" s="240" t="s">
        <v>823</v>
      </c>
      <c r="E170" s="96" t="s">
        <v>433</v>
      </c>
      <c r="F170" s="185" t="s">
        <v>1542</v>
      </c>
      <c r="G170" s="189" t="s">
        <v>4290</v>
      </c>
      <c r="H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row>
    <row r="171" spans="1:30" ht="15" x14ac:dyDescent="0.2">
      <c r="A171" s="264"/>
      <c r="B171" s="265"/>
      <c r="C171" s="237"/>
      <c r="D171" s="239"/>
      <c r="E171" s="96" t="s">
        <v>434</v>
      </c>
      <c r="F171" s="185" t="s">
        <v>4219</v>
      </c>
      <c r="G171" s="189" t="s">
        <v>4290</v>
      </c>
      <c r="H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row>
    <row r="172" spans="1:30" ht="15" x14ac:dyDescent="0.2">
      <c r="A172" s="264"/>
      <c r="B172" s="265"/>
      <c r="C172" s="237"/>
      <c r="D172" s="239"/>
      <c r="E172" s="96" t="s">
        <v>435</v>
      </c>
      <c r="F172" s="185" t="s">
        <v>1391</v>
      </c>
      <c r="G172" s="189" t="s">
        <v>4290</v>
      </c>
      <c r="H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row>
    <row r="173" spans="1:30" ht="15" x14ac:dyDescent="0.2">
      <c r="A173" s="264"/>
      <c r="B173" s="265"/>
      <c r="C173" s="237"/>
      <c r="D173" s="239"/>
      <c r="E173" s="96" t="s">
        <v>436</v>
      </c>
      <c r="F173" s="185" t="s">
        <v>4706</v>
      </c>
      <c r="G173" s="189" t="s">
        <v>4290</v>
      </c>
      <c r="H173" s="189"/>
      <c r="J173" s="189"/>
      <c r="K173" s="189"/>
      <c r="L173" s="189"/>
      <c r="M173" s="189"/>
      <c r="N173" s="189"/>
      <c r="O173" s="189"/>
      <c r="P173" s="189"/>
      <c r="Q173" s="189"/>
      <c r="R173" s="189"/>
      <c r="S173" s="189"/>
      <c r="T173" s="189"/>
      <c r="U173" s="189"/>
      <c r="V173" s="189"/>
      <c r="W173" s="189"/>
      <c r="X173" s="189"/>
      <c r="Y173" s="189"/>
      <c r="Z173" s="189"/>
      <c r="AA173" s="189"/>
      <c r="AB173" s="189"/>
      <c r="AC173" s="189"/>
      <c r="AD173" s="189"/>
    </row>
    <row r="174" spans="1:30" ht="15" x14ac:dyDescent="0.2">
      <c r="A174" s="264"/>
      <c r="B174" s="265"/>
      <c r="C174" s="237"/>
      <c r="D174" s="239"/>
      <c r="E174" s="96" t="s">
        <v>437</v>
      </c>
      <c r="F174" s="173" t="s">
        <v>4707</v>
      </c>
      <c r="G174" s="189" t="s">
        <v>4290</v>
      </c>
      <c r="H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row>
    <row r="175" spans="1:30" ht="15" x14ac:dyDescent="0.2">
      <c r="A175" s="264"/>
      <c r="B175" s="265"/>
      <c r="C175" s="237"/>
      <c r="D175" s="239"/>
      <c r="E175" s="96" t="s">
        <v>438</v>
      </c>
      <c r="F175" s="185" t="s">
        <v>1545</v>
      </c>
      <c r="G175" s="189" t="s">
        <v>4290</v>
      </c>
      <c r="H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row>
    <row r="176" spans="1:30" ht="15" x14ac:dyDescent="0.2">
      <c r="A176" s="264"/>
      <c r="B176" s="265"/>
      <c r="C176" s="237"/>
      <c r="D176" s="239"/>
      <c r="E176" s="96" t="s">
        <v>439</v>
      </c>
      <c r="F176" s="185"/>
      <c r="G176" s="189" t="s">
        <v>4290</v>
      </c>
      <c r="H176" s="185" t="s">
        <v>4709</v>
      </c>
      <c r="J176" s="189"/>
      <c r="K176" s="189"/>
      <c r="L176" s="189"/>
      <c r="M176" s="189"/>
      <c r="N176" s="189"/>
      <c r="O176" s="189"/>
      <c r="P176" s="189"/>
      <c r="Q176" s="189"/>
      <c r="R176" s="189"/>
      <c r="S176" s="189"/>
      <c r="T176" s="189"/>
      <c r="U176" s="189"/>
      <c r="V176" s="189"/>
      <c r="W176" s="189"/>
      <c r="X176" s="189"/>
      <c r="Y176" s="189"/>
      <c r="Z176" s="189"/>
      <c r="AA176" s="189"/>
      <c r="AB176" s="189"/>
      <c r="AC176" s="189"/>
      <c r="AD176" s="189"/>
    </row>
    <row r="177" spans="1:30" ht="15" x14ac:dyDescent="0.2">
      <c r="A177" s="264"/>
      <c r="B177" s="265"/>
      <c r="C177" s="237"/>
      <c r="D177" s="239"/>
      <c r="E177" s="96" t="s">
        <v>440</v>
      </c>
      <c r="F177" s="185" t="s">
        <v>1547</v>
      </c>
      <c r="G177" s="189" t="s">
        <v>4290</v>
      </c>
      <c r="H177" s="189"/>
      <c r="J177" s="189"/>
      <c r="K177" s="189"/>
      <c r="L177" s="189"/>
      <c r="M177" s="189"/>
      <c r="N177" s="189"/>
      <c r="O177" s="189"/>
      <c r="P177" s="189"/>
      <c r="Q177" s="189"/>
      <c r="R177" s="189"/>
      <c r="S177" s="189"/>
      <c r="T177" s="189"/>
      <c r="U177" s="189"/>
      <c r="V177" s="189"/>
      <c r="W177" s="189"/>
      <c r="X177" s="189"/>
      <c r="Y177" s="189"/>
      <c r="Z177" s="189"/>
      <c r="AA177" s="189"/>
      <c r="AB177" s="189"/>
      <c r="AC177" s="189"/>
      <c r="AD177" s="189"/>
    </row>
    <row r="178" spans="1:30" ht="15" x14ac:dyDescent="0.2">
      <c r="A178" s="264"/>
      <c r="B178" s="265"/>
      <c r="C178" s="237"/>
      <c r="D178" s="239"/>
      <c r="E178" s="96" t="s">
        <v>824</v>
      </c>
      <c r="F178" s="185" t="s">
        <v>4708</v>
      </c>
      <c r="G178" s="189" t="s">
        <v>4290</v>
      </c>
      <c r="H178" s="189"/>
      <c r="J178" s="189"/>
      <c r="K178" s="189"/>
      <c r="L178" s="189"/>
      <c r="M178" s="189"/>
      <c r="N178" s="189"/>
      <c r="O178" s="189"/>
      <c r="P178" s="189"/>
      <c r="Q178" s="189"/>
      <c r="R178" s="189"/>
      <c r="S178" s="189"/>
      <c r="T178" s="189"/>
      <c r="U178" s="189"/>
      <c r="V178" s="189"/>
      <c r="W178" s="189"/>
      <c r="X178" s="189"/>
      <c r="Y178" s="189"/>
      <c r="Z178" s="189"/>
      <c r="AA178" s="189"/>
      <c r="AB178" s="189"/>
      <c r="AC178" s="189"/>
      <c r="AD178" s="189"/>
    </row>
    <row r="179" spans="1:30" ht="15" x14ac:dyDescent="0.2">
      <c r="A179" s="264"/>
      <c r="B179" s="265"/>
      <c r="C179" s="237"/>
      <c r="D179" s="239"/>
      <c r="E179" s="96" t="s">
        <v>825</v>
      </c>
      <c r="F179" s="185"/>
      <c r="G179" s="189" t="s">
        <v>4290</v>
      </c>
      <c r="H179" s="194" t="s">
        <v>4709</v>
      </c>
      <c r="J179" s="189"/>
      <c r="K179" s="189"/>
      <c r="L179" s="189"/>
      <c r="M179" s="189"/>
      <c r="N179" s="189"/>
      <c r="O179" s="189"/>
      <c r="P179" s="189"/>
      <c r="Q179" s="189"/>
      <c r="R179" s="189"/>
      <c r="S179" s="189"/>
      <c r="T179" s="189"/>
      <c r="U179" s="189"/>
      <c r="V179" s="189"/>
      <c r="W179" s="189"/>
      <c r="X179" s="189"/>
      <c r="Y179" s="189"/>
      <c r="Z179" s="189"/>
      <c r="AA179" s="189"/>
      <c r="AB179" s="189"/>
      <c r="AC179" s="189"/>
      <c r="AD179" s="189"/>
    </row>
    <row r="180" spans="1:30" ht="25.5" x14ac:dyDescent="0.2">
      <c r="A180" s="264"/>
      <c r="B180" s="265"/>
      <c r="C180" s="237"/>
      <c r="D180" s="239"/>
      <c r="E180" s="96" t="s">
        <v>826</v>
      </c>
      <c r="F180" s="181" t="s">
        <v>1488</v>
      </c>
      <c r="G180" s="189" t="s">
        <v>4291</v>
      </c>
      <c r="H180" s="194" t="s">
        <v>4710</v>
      </c>
      <c r="J180" s="189"/>
      <c r="K180" s="189"/>
      <c r="L180" s="189"/>
      <c r="M180" s="189"/>
      <c r="N180" s="189"/>
      <c r="O180" s="189"/>
      <c r="P180" s="189"/>
      <c r="Q180" s="189"/>
      <c r="R180" s="189"/>
      <c r="S180" s="189"/>
      <c r="T180" s="189"/>
      <c r="U180" s="189"/>
      <c r="V180" s="189"/>
      <c r="W180" s="189"/>
      <c r="X180" s="189"/>
      <c r="Y180" s="189"/>
      <c r="Z180" s="189"/>
      <c r="AA180" s="189"/>
      <c r="AB180" s="189"/>
      <c r="AC180" s="189"/>
      <c r="AD180" s="189"/>
    </row>
    <row r="181" spans="1:30" x14ac:dyDescent="0.2">
      <c r="A181" s="264"/>
      <c r="B181" s="265"/>
      <c r="C181" s="237"/>
      <c r="D181" s="239"/>
      <c r="E181" s="96" t="s">
        <v>1386</v>
      </c>
      <c r="F181" s="181" t="s">
        <v>4688</v>
      </c>
      <c r="G181" s="189" t="s">
        <v>4290</v>
      </c>
      <c r="H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row>
    <row r="182" spans="1:30" ht="30" x14ac:dyDescent="0.2">
      <c r="A182" s="264"/>
      <c r="B182" s="265"/>
      <c r="C182" s="237"/>
      <c r="D182" s="239"/>
      <c r="E182" s="96" t="s">
        <v>1387</v>
      </c>
      <c r="F182" s="173" t="s">
        <v>4694</v>
      </c>
      <c r="G182" s="189" t="s">
        <v>4290</v>
      </c>
      <c r="H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row>
    <row r="183" spans="1:30" ht="15" x14ac:dyDescent="0.2">
      <c r="A183" s="264" t="s">
        <v>441</v>
      </c>
      <c r="B183" s="265" t="s">
        <v>827</v>
      </c>
      <c r="C183" s="237">
        <f>SUM(H183:H200)/COUNTIF(F183:F200,"&gt;""")/4</f>
        <v>0</v>
      </c>
      <c r="D183" s="238" t="s">
        <v>1486</v>
      </c>
      <c r="E183" s="96" t="s">
        <v>442</v>
      </c>
      <c r="F183" s="185" t="s">
        <v>1380</v>
      </c>
      <c r="G183" s="189" t="s">
        <v>4289</v>
      </c>
      <c r="H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row>
    <row r="184" spans="1:30" ht="45" x14ac:dyDescent="0.2">
      <c r="A184" s="264"/>
      <c r="B184" s="265"/>
      <c r="C184" s="237"/>
      <c r="D184" s="239"/>
      <c r="E184" s="96" t="s">
        <v>443</v>
      </c>
      <c r="F184" s="185" t="s">
        <v>1503</v>
      </c>
      <c r="G184" s="189" t="s">
        <v>4289</v>
      </c>
      <c r="H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row>
    <row r="185" spans="1:30" ht="15" x14ac:dyDescent="0.2">
      <c r="A185" s="264"/>
      <c r="B185" s="265"/>
      <c r="C185" s="237"/>
      <c r="D185" s="239"/>
      <c r="E185" s="96" t="s">
        <v>444</v>
      </c>
      <c r="F185" s="185" t="s">
        <v>1502</v>
      </c>
      <c r="G185" s="189" t="s">
        <v>4289</v>
      </c>
      <c r="H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row>
    <row r="186" spans="1:30" ht="15" x14ac:dyDescent="0.2">
      <c r="A186" s="264"/>
      <c r="B186" s="265"/>
      <c r="C186" s="237"/>
      <c r="D186" s="239"/>
      <c r="E186" s="96" t="s">
        <v>828</v>
      </c>
      <c r="F186" s="185" t="s">
        <v>1481</v>
      </c>
      <c r="G186" s="189" t="s">
        <v>4289</v>
      </c>
      <c r="H186" s="189"/>
      <c r="J186" s="189"/>
      <c r="K186" s="189"/>
      <c r="L186" s="189"/>
      <c r="M186" s="189"/>
      <c r="N186" s="189"/>
      <c r="O186" s="189"/>
      <c r="P186" s="189"/>
      <c r="Q186" s="189"/>
      <c r="R186" s="189"/>
      <c r="S186" s="189"/>
      <c r="T186" s="189"/>
      <c r="U186" s="189"/>
      <c r="V186" s="189"/>
      <c r="W186" s="189"/>
      <c r="X186" s="189"/>
      <c r="Y186" s="189"/>
      <c r="Z186" s="189"/>
      <c r="AA186" s="189"/>
      <c r="AB186" s="189"/>
      <c r="AC186" s="189"/>
      <c r="AD186" s="189"/>
    </row>
    <row r="187" spans="1:30" ht="30" x14ac:dyDescent="0.2">
      <c r="A187" s="264"/>
      <c r="B187" s="265"/>
      <c r="C187" s="237"/>
      <c r="D187" s="239"/>
      <c r="E187" s="96" t="s">
        <v>829</v>
      </c>
      <c r="F187" s="185" t="s">
        <v>1500</v>
      </c>
      <c r="G187" s="189" t="s">
        <v>4289</v>
      </c>
      <c r="H187" s="189"/>
      <c r="J187" s="189"/>
      <c r="K187" s="189"/>
      <c r="L187" s="189"/>
      <c r="M187" s="189"/>
      <c r="N187" s="189"/>
      <c r="O187" s="189"/>
      <c r="P187" s="189"/>
      <c r="Q187" s="189"/>
      <c r="R187" s="189"/>
      <c r="S187" s="189"/>
      <c r="T187" s="189"/>
      <c r="U187" s="189"/>
      <c r="V187" s="189"/>
      <c r="W187" s="189"/>
      <c r="X187" s="189"/>
      <c r="Y187" s="189"/>
      <c r="Z187" s="189"/>
      <c r="AA187" s="189"/>
      <c r="AB187" s="189"/>
      <c r="AC187" s="189"/>
      <c r="AD187" s="189"/>
    </row>
    <row r="188" spans="1:30" ht="15" x14ac:dyDescent="0.2">
      <c r="A188" s="264"/>
      <c r="B188" s="265"/>
      <c r="C188" s="237"/>
      <c r="D188" s="239"/>
      <c r="E188" s="96" t="s">
        <v>830</v>
      </c>
      <c r="F188" s="185" t="s">
        <v>1483</v>
      </c>
      <c r="G188" s="189" t="s">
        <v>4289</v>
      </c>
      <c r="H188" s="189"/>
      <c r="J188" s="189"/>
      <c r="K188" s="189"/>
      <c r="L188" s="189"/>
      <c r="M188" s="189"/>
      <c r="N188" s="189"/>
      <c r="O188" s="189"/>
      <c r="P188" s="189"/>
      <c r="Q188" s="189"/>
      <c r="R188" s="189"/>
      <c r="S188" s="189"/>
      <c r="T188" s="189"/>
      <c r="U188" s="189"/>
      <c r="V188" s="189"/>
      <c r="W188" s="189"/>
      <c r="X188" s="189"/>
      <c r="Y188" s="189"/>
      <c r="Z188" s="189"/>
      <c r="AA188" s="189"/>
      <c r="AB188" s="189"/>
      <c r="AC188" s="189"/>
      <c r="AD188" s="189"/>
    </row>
    <row r="189" spans="1:30" ht="30" x14ac:dyDescent="0.2">
      <c r="A189" s="264"/>
      <c r="B189" s="265"/>
      <c r="C189" s="237"/>
      <c r="D189" s="239"/>
      <c r="E189" s="96" t="s">
        <v>831</v>
      </c>
      <c r="F189" s="185" t="s">
        <v>1497</v>
      </c>
      <c r="G189" s="189" t="s">
        <v>4289</v>
      </c>
      <c r="H189" s="189"/>
      <c r="J189" s="189"/>
      <c r="K189" s="189"/>
      <c r="L189" s="189"/>
      <c r="M189" s="189"/>
      <c r="N189" s="189"/>
      <c r="O189" s="189"/>
      <c r="P189" s="189"/>
      <c r="Q189" s="189"/>
      <c r="R189" s="189"/>
      <c r="S189" s="189"/>
      <c r="T189" s="189"/>
      <c r="U189" s="189"/>
      <c r="V189" s="189"/>
      <c r="W189" s="189"/>
      <c r="X189" s="189"/>
      <c r="Y189" s="189"/>
      <c r="Z189" s="189"/>
      <c r="AA189" s="189"/>
      <c r="AB189" s="189"/>
      <c r="AC189" s="189"/>
      <c r="AD189" s="189"/>
    </row>
    <row r="190" spans="1:30" ht="15" x14ac:dyDescent="0.2">
      <c r="A190" s="264"/>
      <c r="B190" s="265"/>
      <c r="C190" s="237"/>
      <c r="D190" s="239"/>
      <c r="E190" s="96" t="s">
        <v>833</v>
      </c>
      <c r="F190" s="185" t="s">
        <v>1484</v>
      </c>
      <c r="G190" s="189" t="s">
        <v>4289</v>
      </c>
      <c r="H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row>
    <row r="191" spans="1:30" ht="15" x14ac:dyDescent="0.2">
      <c r="A191" s="264"/>
      <c r="B191" s="265"/>
      <c r="C191" s="237"/>
      <c r="D191" s="239"/>
      <c r="E191" s="96" t="s">
        <v>834</v>
      </c>
      <c r="F191" s="185" t="s">
        <v>1485</v>
      </c>
      <c r="G191" s="189" t="s">
        <v>4289</v>
      </c>
      <c r="H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row>
    <row r="192" spans="1:30" ht="15" x14ac:dyDescent="0.2">
      <c r="A192" s="264"/>
      <c r="B192" s="265"/>
      <c r="C192" s="237"/>
      <c r="D192" s="239"/>
      <c r="E192" s="96" t="s">
        <v>835</v>
      </c>
      <c r="F192" s="185" t="s">
        <v>1381</v>
      </c>
      <c r="G192" s="189" t="s">
        <v>4289</v>
      </c>
      <c r="H192" s="189"/>
      <c r="J192" s="189"/>
      <c r="K192" s="189"/>
      <c r="L192" s="189"/>
      <c r="M192" s="189"/>
      <c r="N192" s="189"/>
      <c r="O192" s="189"/>
      <c r="P192" s="189"/>
      <c r="Q192" s="189"/>
      <c r="R192" s="189"/>
      <c r="S192" s="189"/>
      <c r="T192" s="189"/>
      <c r="U192" s="189"/>
      <c r="V192" s="189"/>
      <c r="W192" s="189"/>
      <c r="X192" s="189"/>
      <c r="Y192" s="189"/>
      <c r="Z192" s="189"/>
      <c r="AA192" s="189"/>
      <c r="AB192" s="189"/>
      <c r="AC192" s="189"/>
      <c r="AD192" s="189"/>
    </row>
    <row r="193" spans="1:30" ht="30" x14ac:dyDescent="0.2">
      <c r="A193" s="264"/>
      <c r="B193" s="265"/>
      <c r="C193" s="237"/>
      <c r="D193" s="239"/>
      <c r="E193" s="127" t="s">
        <v>836</v>
      </c>
      <c r="F193" s="173" t="s">
        <v>1488</v>
      </c>
      <c r="G193" s="189" t="s">
        <v>4289</v>
      </c>
      <c r="H193" s="189"/>
      <c r="J193" s="189"/>
      <c r="K193" s="189"/>
      <c r="L193" s="189"/>
      <c r="M193" s="189"/>
      <c r="N193" s="189"/>
      <c r="O193" s="189"/>
      <c r="P193" s="189"/>
      <c r="Q193" s="189"/>
      <c r="R193" s="189"/>
      <c r="S193" s="189"/>
      <c r="T193" s="189"/>
      <c r="U193" s="189"/>
      <c r="V193" s="189"/>
      <c r="W193" s="189"/>
      <c r="X193" s="189"/>
      <c r="Y193" s="189"/>
      <c r="Z193" s="189"/>
      <c r="AA193" s="189"/>
      <c r="AB193" s="189"/>
      <c r="AC193" s="189"/>
      <c r="AD193" s="189"/>
    </row>
    <row r="194" spans="1:30" ht="30" x14ac:dyDescent="0.2">
      <c r="A194" s="264"/>
      <c r="B194" s="265"/>
      <c r="C194" s="237"/>
      <c r="D194" s="239"/>
      <c r="E194" s="96" t="s">
        <v>837</v>
      </c>
      <c r="F194" s="185" t="s">
        <v>1489</v>
      </c>
      <c r="G194" s="189" t="s">
        <v>4289</v>
      </c>
      <c r="H194" s="189"/>
      <c r="J194" s="189"/>
      <c r="K194" s="189"/>
      <c r="L194" s="189"/>
      <c r="M194" s="189"/>
      <c r="N194" s="189"/>
      <c r="O194" s="189"/>
      <c r="P194" s="189"/>
      <c r="Q194" s="189"/>
      <c r="R194" s="189"/>
      <c r="S194" s="189"/>
      <c r="T194" s="189"/>
      <c r="U194" s="189"/>
      <c r="V194" s="189"/>
      <c r="W194" s="189"/>
      <c r="X194" s="189"/>
      <c r="Y194" s="189"/>
      <c r="Z194" s="189"/>
      <c r="AA194" s="189"/>
      <c r="AB194" s="189"/>
      <c r="AC194" s="189"/>
      <c r="AD194" s="189"/>
    </row>
    <row r="195" spans="1:30" ht="15" x14ac:dyDescent="0.2">
      <c r="A195" s="264"/>
      <c r="B195" s="265"/>
      <c r="C195" s="237"/>
      <c r="D195" s="239"/>
      <c r="E195" s="96" t="s">
        <v>1384</v>
      </c>
      <c r="F195" s="185" t="s">
        <v>1382</v>
      </c>
      <c r="G195" s="189" t="s">
        <v>4289</v>
      </c>
      <c r="H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row>
    <row r="196" spans="1:30" ht="15" x14ac:dyDescent="0.2">
      <c r="A196" s="264"/>
      <c r="B196" s="265"/>
      <c r="C196" s="237"/>
      <c r="D196" s="239"/>
      <c r="E196" s="96" t="s">
        <v>1385</v>
      </c>
      <c r="F196" s="185" t="s">
        <v>57</v>
      </c>
      <c r="G196" s="189" t="s">
        <v>4289</v>
      </c>
      <c r="H196" s="189"/>
      <c r="J196" s="189"/>
      <c r="K196" s="189"/>
      <c r="L196" s="189"/>
      <c r="M196" s="189"/>
      <c r="N196" s="189"/>
      <c r="O196" s="189"/>
      <c r="P196" s="189"/>
      <c r="Q196" s="189"/>
      <c r="R196" s="189"/>
      <c r="S196" s="189"/>
      <c r="T196" s="189"/>
      <c r="U196" s="189"/>
      <c r="V196" s="189"/>
      <c r="W196" s="189"/>
      <c r="X196" s="189"/>
      <c r="Y196" s="189"/>
      <c r="Z196" s="189"/>
      <c r="AA196" s="189"/>
      <c r="AB196" s="189"/>
      <c r="AC196" s="189"/>
      <c r="AD196" s="189"/>
    </row>
    <row r="197" spans="1:30" ht="15" x14ac:dyDescent="0.2">
      <c r="A197" s="264"/>
      <c r="B197" s="265"/>
      <c r="C197" s="237"/>
      <c r="D197" s="239"/>
      <c r="E197" s="96" t="s">
        <v>1482</v>
      </c>
      <c r="F197" s="185" t="s">
        <v>1494</v>
      </c>
      <c r="G197" s="189" t="s">
        <v>4289</v>
      </c>
      <c r="H197" s="189"/>
      <c r="J197" s="189"/>
      <c r="K197" s="189"/>
      <c r="L197" s="189"/>
      <c r="M197" s="189"/>
      <c r="N197" s="189"/>
      <c r="O197" s="189"/>
      <c r="P197" s="189"/>
      <c r="Q197" s="189"/>
      <c r="R197" s="189"/>
      <c r="S197" s="189"/>
      <c r="T197" s="189"/>
      <c r="U197" s="189"/>
      <c r="V197" s="189"/>
      <c r="W197" s="189"/>
      <c r="X197" s="189"/>
      <c r="Y197" s="189"/>
      <c r="Z197" s="189"/>
      <c r="AA197" s="189"/>
      <c r="AB197" s="189"/>
      <c r="AC197" s="189"/>
      <c r="AD197" s="189"/>
    </row>
    <row r="198" spans="1:30" ht="15" x14ac:dyDescent="0.2">
      <c r="A198" s="264"/>
      <c r="B198" s="265"/>
      <c r="C198" s="237"/>
      <c r="D198" s="239"/>
      <c r="E198" s="96" t="s">
        <v>1487</v>
      </c>
      <c r="F198" s="185" t="s">
        <v>56</v>
      </c>
      <c r="G198" s="189" t="s">
        <v>4289</v>
      </c>
      <c r="H198" s="189"/>
      <c r="J198" s="189"/>
      <c r="K198" s="189"/>
      <c r="L198" s="189"/>
      <c r="M198" s="189"/>
      <c r="N198" s="189"/>
      <c r="O198" s="189"/>
      <c r="P198" s="189"/>
      <c r="Q198" s="189"/>
      <c r="R198" s="189"/>
      <c r="S198" s="189"/>
      <c r="T198" s="189"/>
      <c r="U198" s="189"/>
      <c r="V198" s="189"/>
      <c r="W198" s="189"/>
      <c r="X198" s="189"/>
      <c r="Y198" s="189"/>
      <c r="Z198" s="189"/>
      <c r="AA198" s="189"/>
      <c r="AB198" s="189"/>
      <c r="AC198" s="189"/>
      <c r="AD198" s="189"/>
    </row>
    <row r="199" spans="1:30" ht="15" x14ac:dyDescent="0.2">
      <c r="A199" s="264"/>
      <c r="B199" s="265"/>
      <c r="C199" s="237"/>
      <c r="D199" s="239"/>
      <c r="E199" s="96" t="s">
        <v>1490</v>
      </c>
      <c r="F199" s="185" t="s">
        <v>1383</v>
      </c>
      <c r="G199" s="189" t="s">
        <v>4289</v>
      </c>
      <c r="H199" s="189"/>
      <c r="J199" s="189"/>
      <c r="K199" s="189"/>
      <c r="L199" s="189"/>
      <c r="M199" s="189"/>
      <c r="N199" s="189"/>
      <c r="O199" s="189"/>
      <c r="P199" s="189"/>
      <c r="Q199" s="189"/>
      <c r="R199" s="189"/>
      <c r="S199" s="189"/>
      <c r="T199" s="189"/>
      <c r="U199" s="189"/>
      <c r="V199" s="189"/>
      <c r="W199" s="189"/>
      <c r="X199" s="189"/>
      <c r="Y199" s="189"/>
      <c r="Z199" s="189"/>
      <c r="AA199" s="189"/>
      <c r="AB199" s="189"/>
      <c r="AC199" s="189"/>
      <c r="AD199" s="189"/>
    </row>
    <row r="200" spans="1:30" ht="15" x14ac:dyDescent="0.2">
      <c r="A200" s="264"/>
      <c r="B200" s="265"/>
      <c r="C200" s="237"/>
      <c r="D200" s="241"/>
      <c r="E200" s="96" t="s">
        <v>1496</v>
      </c>
      <c r="F200" s="185"/>
      <c r="G200" s="189"/>
      <c r="H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row>
    <row r="201" spans="1:30" ht="25.5" x14ac:dyDescent="0.2">
      <c r="A201" s="264" t="s">
        <v>445</v>
      </c>
      <c r="B201" s="265" t="s">
        <v>838</v>
      </c>
      <c r="C201" s="247">
        <f>SUM(H201:H209)/COUNTIF(F203:F209,"&gt;""")/4</f>
        <v>0</v>
      </c>
      <c r="D201" s="240" t="s">
        <v>839</v>
      </c>
      <c r="E201" s="96" t="s">
        <v>446</v>
      </c>
      <c r="F201" s="179" t="s">
        <v>1400</v>
      </c>
      <c r="G201" s="189" t="s">
        <v>4290</v>
      </c>
      <c r="H201" s="189"/>
      <c r="J201" s="189"/>
      <c r="K201" s="189"/>
      <c r="L201" s="189"/>
      <c r="M201" s="189"/>
      <c r="N201" s="189"/>
      <c r="O201" s="189"/>
      <c r="P201" s="189"/>
      <c r="Q201" s="189"/>
      <c r="R201" s="189"/>
      <c r="S201" s="189"/>
      <c r="T201" s="189"/>
      <c r="U201" s="189"/>
      <c r="V201" s="189"/>
      <c r="W201" s="189"/>
      <c r="X201" s="189"/>
      <c r="Y201" s="189"/>
      <c r="Z201" s="189"/>
      <c r="AA201" s="189"/>
      <c r="AB201" s="189"/>
      <c r="AC201" s="189"/>
      <c r="AD201" s="189"/>
    </row>
    <row r="202" spans="1:30" x14ac:dyDescent="0.2">
      <c r="A202" s="264"/>
      <c r="B202" s="265"/>
      <c r="C202" s="266"/>
      <c r="D202" s="239"/>
      <c r="E202" s="96" t="s">
        <v>447</v>
      </c>
      <c r="F202" s="179" t="s">
        <v>1392</v>
      </c>
      <c r="G202" s="189" t="s">
        <v>4289</v>
      </c>
      <c r="H202" s="189" t="s">
        <v>4848</v>
      </c>
      <c r="J202" s="189"/>
      <c r="K202" s="189"/>
      <c r="L202" s="189"/>
      <c r="M202" s="189"/>
      <c r="N202" s="189"/>
      <c r="O202" s="189"/>
      <c r="P202" s="189"/>
      <c r="Q202" s="189"/>
      <c r="R202" s="189"/>
      <c r="S202" s="189"/>
      <c r="T202" s="189"/>
      <c r="U202" s="189"/>
      <c r="V202" s="189"/>
      <c r="W202" s="189"/>
      <c r="X202" s="189"/>
      <c r="Y202" s="189"/>
      <c r="Z202" s="189"/>
      <c r="AA202" s="189"/>
      <c r="AB202" s="189"/>
      <c r="AC202" s="189"/>
      <c r="AD202" s="189"/>
    </row>
    <row r="203" spans="1:30" x14ac:dyDescent="0.2">
      <c r="A203" s="264"/>
      <c r="B203" s="265"/>
      <c r="C203" s="266"/>
      <c r="D203" s="239"/>
      <c r="E203" s="96" t="s">
        <v>448</v>
      </c>
      <c r="F203" s="186" t="s">
        <v>1393</v>
      </c>
      <c r="G203" s="189" t="s">
        <v>4289</v>
      </c>
      <c r="H203" s="189" t="s">
        <v>4848</v>
      </c>
      <c r="J203" s="189"/>
      <c r="K203" s="189"/>
      <c r="L203" s="189"/>
      <c r="M203" s="189"/>
      <c r="N203" s="189"/>
      <c r="O203" s="189"/>
      <c r="P203" s="189"/>
      <c r="Q203" s="189"/>
      <c r="R203" s="189"/>
      <c r="S203" s="189"/>
      <c r="T203" s="189"/>
      <c r="U203" s="189"/>
      <c r="V203" s="189"/>
      <c r="W203" s="189"/>
      <c r="X203" s="189"/>
      <c r="Y203" s="189"/>
      <c r="Z203" s="189"/>
      <c r="AA203" s="189"/>
      <c r="AB203" s="189"/>
      <c r="AC203" s="189"/>
      <c r="AD203" s="189"/>
    </row>
    <row r="204" spans="1:30" x14ac:dyDescent="0.2">
      <c r="A204" s="264"/>
      <c r="B204" s="265"/>
      <c r="C204" s="266"/>
      <c r="D204" s="239"/>
      <c r="E204" s="96" t="s">
        <v>449</v>
      </c>
      <c r="F204" s="186" t="s">
        <v>1395</v>
      </c>
      <c r="G204" s="189" t="s">
        <v>4290</v>
      </c>
      <c r="H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row>
    <row r="205" spans="1:30" x14ac:dyDescent="0.2">
      <c r="A205" s="264"/>
      <c r="B205" s="265"/>
      <c r="C205" s="266"/>
      <c r="D205" s="239"/>
      <c r="E205" s="96" t="s">
        <v>450</v>
      </c>
      <c r="F205" s="186" t="s">
        <v>1394</v>
      </c>
      <c r="G205" s="189" t="s">
        <v>4290</v>
      </c>
      <c r="H205" s="189"/>
      <c r="J205" s="189"/>
      <c r="K205" s="189"/>
      <c r="L205" s="189"/>
      <c r="M205" s="189"/>
      <c r="N205" s="189"/>
      <c r="O205" s="189"/>
      <c r="P205" s="189"/>
      <c r="Q205" s="189"/>
      <c r="R205" s="189"/>
      <c r="S205" s="189"/>
      <c r="T205" s="189"/>
      <c r="U205" s="189"/>
      <c r="V205" s="189"/>
      <c r="W205" s="189"/>
      <c r="X205" s="189"/>
      <c r="Y205" s="189"/>
      <c r="Z205" s="189"/>
      <c r="AA205" s="189"/>
      <c r="AB205" s="189"/>
      <c r="AC205" s="189"/>
      <c r="AD205" s="189"/>
    </row>
    <row r="206" spans="1:30" x14ac:dyDescent="0.2">
      <c r="A206" s="264"/>
      <c r="B206" s="265"/>
      <c r="C206" s="266"/>
      <c r="D206" s="239"/>
      <c r="E206" s="96" t="s">
        <v>451</v>
      </c>
      <c r="F206" s="181" t="s">
        <v>4811</v>
      </c>
      <c r="G206" s="189" t="s">
        <v>4290</v>
      </c>
      <c r="H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row>
    <row r="207" spans="1:30" ht="25.5" x14ac:dyDescent="0.2">
      <c r="A207" s="264"/>
      <c r="B207" s="265"/>
      <c r="C207" s="266"/>
      <c r="D207" s="239"/>
      <c r="E207" s="96" t="s">
        <v>1396</v>
      </c>
      <c r="F207" s="187" t="s">
        <v>1399</v>
      </c>
      <c r="G207" s="189" t="s">
        <v>4290</v>
      </c>
      <c r="H207" s="189"/>
      <c r="J207" s="189"/>
      <c r="K207" s="189"/>
      <c r="L207" s="189"/>
      <c r="M207" s="189"/>
      <c r="N207" s="189"/>
      <c r="O207" s="189"/>
      <c r="P207" s="189"/>
      <c r="Q207" s="189"/>
      <c r="R207" s="189"/>
      <c r="S207" s="189"/>
      <c r="T207" s="189"/>
      <c r="U207" s="189"/>
      <c r="V207" s="189"/>
      <c r="W207" s="189"/>
      <c r="X207" s="189"/>
      <c r="Y207" s="189"/>
      <c r="Z207" s="189"/>
      <c r="AA207" s="189"/>
      <c r="AB207" s="189"/>
      <c r="AC207" s="189"/>
      <c r="AD207" s="189"/>
    </row>
    <row r="208" spans="1:30" ht="25.5" x14ac:dyDescent="0.2">
      <c r="A208" s="264"/>
      <c r="B208" s="265"/>
      <c r="C208" s="266"/>
      <c r="D208" s="239"/>
      <c r="E208" s="96" t="s">
        <v>1397</v>
      </c>
      <c r="F208" s="187" t="s">
        <v>4809</v>
      </c>
      <c r="G208" s="189" t="s">
        <v>4290</v>
      </c>
      <c r="H208" s="189"/>
      <c r="J208" s="189"/>
      <c r="K208" s="189"/>
      <c r="L208" s="189"/>
      <c r="M208" s="189"/>
      <c r="N208" s="189"/>
      <c r="O208" s="189"/>
      <c r="P208" s="189"/>
      <c r="Q208" s="189"/>
      <c r="R208" s="189"/>
      <c r="S208" s="189"/>
      <c r="T208" s="189"/>
      <c r="U208" s="189"/>
      <c r="V208" s="189"/>
      <c r="W208" s="189"/>
      <c r="X208" s="189"/>
      <c r="Y208" s="189"/>
      <c r="Z208" s="189"/>
      <c r="AA208" s="189"/>
      <c r="AB208" s="189"/>
      <c r="AC208" s="189"/>
      <c r="AD208" s="189"/>
    </row>
    <row r="209" spans="1:30" x14ac:dyDescent="0.2">
      <c r="A209" s="264"/>
      <c r="B209" s="265"/>
      <c r="C209" s="266"/>
      <c r="D209" s="239"/>
      <c r="E209" s="96" t="s">
        <v>1398</v>
      </c>
      <c r="F209" s="188"/>
      <c r="G209" s="189"/>
      <c r="H209" s="189"/>
      <c r="J209" s="189"/>
      <c r="K209" s="189"/>
      <c r="L209" s="189"/>
      <c r="M209" s="189"/>
      <c r="N209" s="189"/>
      <c r="O209" s="189"/>
      <c r="P209" s="189"/>
      <c r="Q209" s="189"/>
      <c r="R209" s="189"/>
      <c r="S209" s="189"/>
      <c r="T209" s="189"/>
      <c r="U209" s="189"/>
      <c r="V209" s="189"/>
      <c r="W209" s="189"/>
      <c r="X209" s="189"/>
      <c r="Y209" s="189"/>
      <c r="Z209" s="189"/>
      <c r="AA209" s="189"/>
      <c r="AB209" s="189"/>
      <c r="AC209" s="189"/>
      <c r="AD209" s="189"/>
    </row>
    <row r="210" spans="1:30" ht="15" x14ac:dyDescent="0.2">
      <c r="A210" s="264" t="s">
        <v>452</v>
      </c>
      <c r="B210" s="265" t="s">
        <v>840</v>
      </c>
      <c r="C210" s="247">
        <f>SUM(H210:H219)/COUNTIF(F210:F219,"&gt;""")/4</f>
        <v>0</v>
      </c>
      <c r="D210" s="240" t="s">
        <v>841</v>
      </c>
      <c r="E210" s="96" t="s">
        <v>453</v>
      </c>
      <c r="F210" s="185" t="s">
        <v>14</v>
      </c>
      <c r="G210" s="189" t="s">
        <v>4291</v>
      </c>
      <c r="H210" s="189" t="s">
        <v>4295</v>
      </c>
      <c r="J210" s="189"/>
      <c r="K210" s="189"/>
      <c r="L210" s="189"/>
      <c r="M210" s="189"/>
      <c r="N210" s="189"/>
      <c r="O210" s="189"/>
      <c r="P210" s="189"/>
      <c r="Q210" s="189"/>
      <c r="R210" s="189"/>
      <c r="S210" s="189"/>
      <c r="T210" s="189"/>
      <c r="U210" s="189"/>
      <c r="V210" s="189"/>
      <c r="W210" s="189"/>
      <c r="X210" s="189"/>
      <c r="Y210" s="189"/>
      <c r="Z210" s="189"/>
      <c r="AA210" s="189"/>
      <c r="AB210" s="189"/>
      <c r="AC210" s="189"/>
      <c r="AD210" s="189"/>
    </row>
    <row r="211" spans="1:30" ht="15" x14ac:dyDescent="0.2">
      <c r="A211" s="264"/>
      <c r="B211" s="265"/>
      <c r="C211" s="266"/>
      <c r="D211" s="239"/>
      <c r="E211" s="96" t="s">
        <v>454</v>
      </c>
      <c r="F211" s="185" t="s">
        <v>1439</v>
      </c>
      <c r="G211" s="189" t="s">
        <v>4290</v>
      </c>
      <c r="H211" s="189"/>
      <c r="J211" s="189"/>
      <c r="K211" s="189"/>
      <c r="L211" s="189"/>
      <c r="M211" s="189"/>
      <c r="N211" s="189"/>
      <c r="O211" s="189"/>
      <c r="P211" s="189"/>
      <c r="Q211" s="189"/>
      <c r="R211" s="189"/>
      <c r="S211" s="189"/>
      <c r="T211" s="189"/>
      <c r="U211" s="189"/>
      <c r="V211" s="189"/>
      <c r="W211" s="189"/>
      <c r="X211" s="189"/>
      <c r="Y211" s="189"/>
      <c r="Z211" s="189"/>
      <c r="AA211" s="189"/>
      <c r="AB211" s="189"/>
      <c r="AC211" s="189"/>
      <c r="AD211" s="189"/>
    </row>
    <row r="212" spans="1:30" ht="15" x14ac:dyDescent="0.2">
      <c r="A212" s="264"/>
      <c r="B212" s="265"/>
      <c r="C212" s="266"/>
      <c r="D212" s="239"/>
      <c r="E212" s="96" t="s">
        <v>455</v>
      </c>
      <c r="F212" s="185" t="s">
        <v>1436</v>
      </c>
      <c r="G212" s="189" t="s">
        <v>4290</v>
      </c>
      <c r="H212" s="189"/>
      <c r="J212" s="189"/>
      <c r="K212" s="189"/>
      <c r="L212" s="189"/>
      <c r="M212" s="189"/>
      <c r="N212" s="189"/>
      <c r="O212" s="189"/>
      <c r="P212" s="189"/>
      <c r="Q212" s="189"/>
      <c r="R212" s="189"/>
      <c r="S212" s="189"/>
      <c r="T212" s="189"/>
      <c r="U212" s="189"/>
      <c r="V212" s="189"/>
      <c r="W212" s="189"/>
      <c r="X212" s="189"/>
      <c r="Y212" s="189"/>
      <c r="Z212" s="189"/>
      <c r="AA212" s="189"/>
      <c r="AB212" s="189"/>
      <c r="AC212" s="189"/>
      <c r="AD212" s="189"/>
    </row>
    <row r="213" spans="1:30" ht="15" x14ac:dyDescent="0.2">
      <c r="A213" s="264"/>
      <c r="B213" s="265"/>
      <c r="C213" s="266"/>
      <c r="D213" s="239"/>
      <c r="E213" s="96" t="s">
        <v>456</v>
      </c>
      <c r="F213" s="185" t="s">
        <v>1413</v>
      </c>
      <c r="G213" s="189" t="s">
        <v>4291</v>
      </c>
      <c r="H213" s="189" t="s">
        <v>4254</v>
      </c>
      <c r="J213" s="189"/>
      <c r="K213" s="189"/>
      <c r="L213" s="189"/>
      <c r="M213" s="189"/>
      <c r="N213" s="189"/>
      <c r="O213" s="189"/>
      <c r="P213" s="189"/>
      <c r="Q213" s="189"/>
      <c r="R213" s="189"/>
      <c r="S213" s="189"/>
      <c r="T213" s="189"/>
      <c r="U213" s="189"/>
      <c r="V213" s="189"/>
      <c r="W213" s="189"/>
      <c r="X213" s="189"/>
      <c r="Y213" s="189"/>
      <c r="Z213" s="189"/>
      <c r="AA213" s="189"/>
      <c r="AB213" s="189"/>
      <c r="AC213" s="189"/>
      <c r="AD213" s="189"/>
    </row>
    <row r="214" spans="1:30" ht="15" x14ac:dyDescent="0.2">
      <c r="A214" s="264"/>
      <c r="B214" s="265"/>
      <c r="C214" s="266"/>
      <c r="D214" s="239"/>
      <c r="E214" s="96" t="s">
        <v>457</v>
      </c>
      <c r="F214" s="185" t="s">
        <v>1437</v>
      </c>
      <c r="G214" s="189" t="s">
        <v>4290</v>
      </c>
      <c r="H214" s="189"/>
      <c r="J214" s="189"/>
      <c r="K214" s="189"/>
      <c r="L214" s="189"/>
      <c r="M214" s="189"/>
      <c r="N214" s="189"/>
      <c r="O214" s="189"/>
      <c r="P214" s="189"/>
      <c r="Q214" s="189"/>
      <c r="R214" s="189"/>
      <c r="S214" s="189"/>
      <c r="T214" s="189"/>
      <c r="U214" s="189"/>
      <c r="V214" s="189"/>
      <c r="W214" s="189"/>
      <c r="X214" s="189"/>
      <c r="Y214" s="189"/>
      <c r="Z214" s="189"/>
      <c r="AA214" s="189"/>
      <c r="AB214" s="189"/>
      <c r="AC214" s="189"/>
      <c r="AD214" s="189"/>
    </row>
    <row r="215" spans="1:30" ht="15" x14ac:dyDescent="0.2">
      <c r="A215" s="264"/>
      <c r="B215" s="265"/>
      <c r="C215" s="266"/>
      <c r="D215" s="239"/>
      <c r="E215" s="96" t="s">
        <v>458</v>
      </c>
      <c r="F215" s="185" t="s">
        <v>1408</v>
      </c>
      <c r="G215" s="189" t="s">
        <v>4290</v>
      </c>
      <c r="H215" s="189"/>
      <c r="J215" s="189"/>
      <c r="K215" s="189"/>
      <c r="L215" s="189"/>
      <c r="M215" s="189"/>
      <c r="N215" s="189"/>
      <c r="O215" s="189"/>
      <c r="P215" s="189"/>
      <c r="Q215" s="189"/>
      <c r="R215" s="189"/>
      <c r="S215" s="189"/>
      <c r="T215" s="189"/>
      <c r="U215" s="189"/>
      <c r="V215" s="189"/>
      <c r="W215" s="189"/>
      <c r="X215" s="189"/>
      <c r="Y215" s="189"/>
      <c r="Z215" s="189"/>
      <c r="AA215" s="189"/>
      <c r="AB215" s="189"/>
      <c r="AC215" s="189"/>
      <c r="AD215" s="189"/>
    </row>
    <row r="216" spans="1:30" ht="15" x14ac:dyDescent="0.2">
      <c r="A216" s="264"/>
      <c r="B216" s="265"/>
      <c r="C216" s="266"/>
      <c r="D216" s="239"/>
      <c r="E216" s="96" t="s">
        <v>459</v>
      </c>
      <c r="F216" s="185" t="s">
        <v>1409</v>
      </c>
      <c r="G216" s="189" t="s">
        <v>4290</v>
      </c>
      <c r="H216" s="189"/>
      <c r="J216" s="189"/>
      <c r="K216" s="189"/>
      <c r="L216" s="189"/>
      <c r="M216" s="189"/>
      <c r="N216" s="189"/>
      <c r="O216" s="189"/>
      <c r="P216" s="189"/>
      <c r="Q216" s="189"/>
      <c r="R216" s="189"/>
      <c r="S216" s="189"/>
      <c r="T216" s="189"/>
      <c r="U216" s="189"/>
      <c r="V216" s="189"/>
      <c r="W216" s="189"/>
      <c r="X216" s="189"/>
      <c r="Y216" s="189"/>
      <c r="Z216" s="189"/>
      <c r="AA216" s="189"/>
      <c r="AB216" s="189"/>
      <c r="AC216" s="189"/>
      <c r="AD216" s="189"/>
    </row>
    <row r="217" spans="1:30" x14ac:dyDescent="0.2">
      <c r="A217" s="264"/>
      <c r="B217" s="265"/>
      <c r="C217" s="266"/>
      <c r="D217" s="239"/>
      <c r="E217" s="96" t="s">
        <v>460</v>
      </c>
      <c r="F217" s="179" t="s">
        <v>1412</v>
      </c>
      <c r="G217" s="189" t="s">
        <v>4290</v>
      </c>
      <c r="H217" s="189"/>
      <c r="J217" s="189"/>
      <c r="K217" s="189"/>
      <c r="L217" s="189"/>
      <c r="M217" s="189"/>
      <c r="N217" s="189"/>
      <c r="O217" s="189"/>
      <c r="P217" s="189"/>
      <c r="Q217" s="189"/>
      <c r="R217" s="189"/>
      <c r="S217" s="189"/>
      <c r="T217" s="189"/>
      <c r="U217" s="189"/>
      <c r="V217" s="189"/>
      <c r="W217" s="189"/>
      <c r="X217" s="189"/>
      <c r="Y217" s="189"/>
      <c r="Z217" s="189"/>
      <c r="AA217" s="189"/>
      <c r="AB217" s="189"/>
      <c r="AC217" s="189"/>
      <c r="AD217" s="189"/>
    </row>
    <row r="218" spans="1:30" x14ac:dyDescent="0.2">
      <c r="A218" s="264"/>
      <c r="B218" s="265"/>
      <c r="C218" s="266"/>
      <c r="D218" s="239"/>
      <c r="E218" s="96" t="s">
        <v>461</v>
      </c>
      <c r="F218" s="179" t="s">
        <v>1415</v>
      </c>
      <c r="G218" s="189" t="s">
        <v>4291</v>
      </c>
      <c r="H218" s="189" t="s">
        <v>4254</v>
      </c>
      <c r="J218" s="189"/>
      <c r="K218" s="189"/>
      <c r="L218" s="189"/>
      <c r="M218" s="189"/>
      <c r="N218" s="189"/>
      <c r="O218" s="189"/>
      <c r="P218" s="189"/>
      <c r="Q218" s="189"/>
      <c r="R218" s="189"/>
      <c r="S218" s="189"/>
      <c r="T218" s="189"/>
      <c r="U218" s="189"/>
      <c r="V218" s="189"/>
      <c r="W218" s="189"/>
      <c r="X218" s="189"/>
      <c r="Y218" s="189"/>
      <c r="Z218" s="189"/>
      <c r="AA218" s="189"/>
      <c r="AB218" s="189"/>
      <c r="AC218" s="189"/>
      <c r="AD218" s="189"/>
    </row>
    <row r="219" spans="1:30" x14ac:dyDescent="0.2">
      <c r="A219" s="264"/>
      <c r="B219" s="265"/>
      <c r="C219" s="266"/>
      <c r="D219" s="239"/>
      <c r="E219" s="96" t="s">
        <v>1410</v>
      </c>
      <c r="G219" s="189"/>
      <c r="H219" s="189"/>
      <c r="J219" s="189"/>
      <c r="K219" s="189"/>
      <c r="L219" s="189"/>
      <c r="M219" s="189"/>
      <c r="N219" s="189"/>
      <c r="O219" s="189"/>
      <c r="P219" s="189"/>
      <c r="Q219" s="189"/>
      <c r="R219" s="189"/>
      <c r="S219" s="189"/>
      <c r="T219" s="189"/>
      <c r="U219" s="189"/>
      <c r="V219" s="189"/>
      <c r="W219" s="189"/>
      <c r="X219" s="189"/>
      <c r="Y219" s="189"/>
      <c r="Z219" s="189"/>
      <c r="AA219" s="189"/>
      <c r="AB219" s="189"/>
      <c r="AC219" s="189"/>
      <c r="AD219" s="189"/>
    </row>
    <row r="220" spans="1:30" x14ac:dyDescent="0.2">
      <c r="A220" s="264" t="s">
        <v>462</v>
      </c>
      <c r="B220" s="265" t="s">
        <v>1491</v>
      </c>
      <c r="C220" s="247">
        <f>SUM(H220:H234)/COUNTIF(F220:F233,"&gt;""")/4</f>
        <v>0</v>
      </c>
      <c r="D220" s="267" t="s">
        <v>4501</v>
      </c>
      <c r="E220" s="96" t="s">
        <v>463</v>
      </c>
      <c r="F220" s="117" t="s">
        <v>4338</v>
      </c>
      <c r="G220" s="189" t="s">
        <v>4291</v>
      </c>
      <c r="H220" s="189"/>
      <c r="J220" s="189"/>
      <c r="K220" s="189"/>
      <c r="L220" s="189"/>
      <c r="M220" s="189"/>
      <c r="N220" s="189"/>
      <c r="O220" s="189"/>
      <c r="P220" s="189"/>
      <c r="Q220" s="189"/>
      <c r="R220" s="189"/>
      <c r="S220" s="189"/>
      <c r="T220" s="189"/>
      <c r="U220" s="189"/>
      <c r="V220" s="189"/>
      <c r="W220" s="189"/>
      <c r="X220" s="189"/>
      <c r="Y220" s="189"/>
      <c r="Z220" s="189"/>
      <c r="AA220" s="189"/>
      <c r="AB220" s="189"/>
      <c r="AC220" s="189"/>
      <c r="AD220" s="189"/>
    </row>
    <row r="221" spans="1:30" x14ac:dyDescent="0.2">
      <c r="A221" s="264"/>
      <c r="B221" s="265"/>
      <c r="C221" s="266"/>
      <c r="D221" s="268"/>
      <c r="E221" s="96" t="s">
        <v>464</v>
      </c>
      <c r="F221" s="127" t="s">
        <v>4329</v>
      </c>
      <c r="G221" s="189" t="s">
        <v>4291</v>
      </c>
      <c r="H221" s="189"/>
      <c r="J221" s="189"/>
      <c r="K221" s="189"/>
      <c r="L221" s="189"/>
      <c r="M221" s="189"/>
      <c r="N221" s="189"/>
      <c r="O221" s="189"/>
      <c r="P221" s="189"/>
      <c r="Q221" s="189"/>
      <c r="R221" s="189"/>
      <c r="S221" s="189"/>
      <c r="T221" s="189"/>
      <c r="U221" s="189"/>
      <c r="V221" s="189"/>
      <c r="W221" s="189"/>
      <c r="X221" s="189"/>
      <c r="Y221" s="189"/>
      <c r="Z221" s="189"/>
      <c r="AA221" s="189"/>
      <c r="AB221" s="189"/>
      <c r="AC221" s="189"/>
      <c r="AD221" s="189"/>
    </row>
    <row r="222" spans="1:30" x14ac:dyDescent="0.2">
      <c r="A222" s="264"/>
      <c r="B222" s="265"/>
      <c r="C222" s="266"/>
      <c r="D222" s="268"/>
      <c r="E222" s="96" t="s">
        <v>465</v>
      </c>
      <c r="F222" s="117" t="s">
        <v>4340</v>
      </c>
      <c r="G222" s="189" t="s">
        <v>4291</v>
      </c>
      <c r="H222" s="189"/>
      <c r="J222" s="189"/>
      <c r="K222" s="189"/>
      <c r="L222" s="189"/>
      <c r="M222" s="189"/>
      <c r="N222" s="189"/>
      <c r="O222" s="189"/>
      <c r="P222" s="189"/>
      <c r="Q222" s="189"/>
      <c r="R222" s="189"/>
      <c r="S222" s="189"/>
      <c r="T222" s="189"/>
      <c r="U222" s="189"/>
      <c r="V222" s="189"/>
      <c r="W222" s="189"/>
      <c r="X222" s="189"/>
      <c r="Y222" s="189"/>
      <c r="Z222" s="189"/>
      <c r="AA222" s="189"/>
      <c r="AB222" s="189"/>
      <c r="AC222" s="189"/>
      <c r="AD222" s="189"/>
    </row>
    <row r="223" spans="1:30" x14ac:dyDescent="0.2">
      <c r="A223" s="264"/>
      <c r="B223" s="265"/>
      <c r="C223" s="266"/>
      <c r="D223" s="268"/>
      <c r="E223" s="96" t="s">
        <v>466</v>
      </c>
      <c r="F223" s="117" t="s">
        <v>4344</v>
      </c>
      <c r="G223" s="189" t="s">
        <v>4291</v>
      </c>
      <c r="H223" s="189"/>
      <c r="J223" s="189"/>
      <c r="K223" s="189"/>
      <c r="L223" s="189"/>
      <c r="M223" s="189"/>
      <c r="N223" s="189"/>
      <c r="O223" s="189"/>
      <c r="P223" s="189"/>
      <c r="Q223" s="189"/>
      <c r="R223" s="189"/>
      <c r="S223" s="189"/>
      <c r="T223" s="189"/>
      <c r="U223" s="189"/>
      <c r="V223" s="189"/>
      <c r="W223" s="189"/>
      <c r="X223" s="189"/>
      <c r="Y223" s="189"/>
      <c r="Z223" s="189"/>
      <c r="AA223" s="189"/>
      <c r="AB223" s="189"/>
      <c r="AC223" s="189"/>
      <c r="AD223" s="189"/>
    </row>
    <row r="224" spans="1:30" ht="25.5" x14ac:dyDescent="0.2">
      <c r="A224" s="264"/>
      <c r="B224" s="265"/>
      <c r="C224" s="266"/>
      <c r="D224" s="268"/>
      <c r="E224" s="96" t="s">
        <v>467</v>
      </c>
      <c r="F224" s="117" t="s">
        <v>4357</v>
      </c>
      <c r="G224" s="189" t="s">
        <v>4291</v>
      </c>
      <c r="H224" s="189"/>
      <c r="J224" s="189"/>
      <c r="K224" s="189"/>
      <c r="L224" s="189"/>
      <c r="M224" s="189"/>
      <c r="N224" s="189"/>
      <c r="O224" s="189"/>
      <c r="P224" s="189"/>
      <c r="Q224" s="189"/>
      <c r="R224" s="189"/>
      <c r="S224" s="189"/>
      <c r="T224" s="189"/>
      <c r="U224" s="189"/>
      <c r="V224" s="189"/>
      <c r="W224" s="189"/>
      <c r="X224" s="189"/>
      <c r="Y224" s="189"/>
      <c r="Z224" s="189"/>
      <c r="AA224" s="189"/>
      <c r="AB224" s="189"/>
      <c r="AC224" s="189"/>
      <c r="AD224" s="189"/>
    </row>
    <row r="225" spans="1:30" x14ac:dyDescent="0.2">
      <c r="A225" s="264"/>
      <c r="B225" s="265"/>
      <c r="C225" s="266"/>
      <c r="D225" s="268"/>
      <c r="E225" s="96" t="s">
        <v>468</v>
      </c>
      <c r="F225" s="117" t="s">
        <v>4345</v>
      </c>
      <c r="G225" s="189" t="s">
        <v>4291</v>
      </c>
      <c r="H225" s="189"/>
      <c r="J225" s="189"/>
      <c r="K225" s="189"/>
      <c r="L225" s="189"/>
      <c r="M225" s="189"/>
      <c r="N225" s="189"/>
      <c r="O225" s="189"/>
      <c r="P225" s="189"/>
      <c r="Q225" s="189"/>
      <c r="R225" s="189"/>
      <c r="S225" s="189"/>
      <c r="T225" s="189"/>
      <c r="U225" s="189"/>
      <c r="V225" s="189"/>
      <c r="W225" s="189"/>
      <c r="X225" s="189"/>
      <c r="Y225" s="189"/>
      <c r="Z225" s="189"/>
      <c r="AA225" s="189"/>
      <c r="AB225" s="189"/>
      <c r="AC225" s="189"/>
      <c r="AD225" s="189"/>
    </row>
    <row r="226" spans="1:30" x14ac:dyDescent="0.2">
      <c r="A226" s="264"/>
      <c r="B226" s="265"/>
      <c r="C226" s="266"/>
      <c r="D226" s="268"/>
      <c r="E226" s="96" t="s">
        <v>469</v>
      </c>
      <c r="F226" s="127" t="s">
        <v>4328</v>
      </c>
      <c r="G226" s="189" t="s">
        <v>4291</v>
      </c>
      <c r="H226" s="189"/>
      <c r="J226" s="189"/>
      <c r="K226" s="189"/>
      <c r="L226" s="189"/>
      <c r="M226" s="189"/>
      <c r="N226" s="189"/>
      <c r="O226" s="189"/>
      <c r="P226" s="189"/>
      <c r="Q226" s="189"/>
      <c r="R226" s="189"/>
      <c r="S226" s="189"/>
      <c r="T226" s="189"/>
      <c r="U226" s="189"/>
      <c r="V226" s="189"/>
      <c r="W226" s="189"/>
      <c r="X226" s="189"/>
      <c r="Y226" s="189"/>
      <c r="Z226" s="189"/>
      <c r="AA226" s="189"/>
      <c r="AB226" s="189"/>
      <c r="AC226" s="189"/>
      <c r="AD226" s="189"/>
    </row>
    <row r="227" spans="1:30" x14ac:dyDescent="0.2">
      <c r="A227" s="264"/>
      <c r="B227" s="265"/>
      <c r="C227" s="266"/>
      <c r="D227" s="268"/>
      <c r="E227" s="96" t="s">
        <v>845</v>
      </c>
      <c r="F227" s="127" t="s">
        <v>4356</v>
      </c>
      <c r="G227" s="189" t="s">
        <v>4291</v>
      </c>
      <c r="H227" s="189"/>
      <c r="J227" s="189"/>
      <c r="K227" s="189"/>
      <c r="L227" s="189"/>
      <c r="M227" s="189"/>
      <c r="N227" s="189"/>
      <c r="O227" s="189"/>
      <c r="P227" s="189"/>
      <c r="Q227" s="189"/>
      <c r="R227" s="189"/>
      <c r="S227" s="189"/>
      <c r="T227" s="189"/>
      <c r="U227" s="189"/>
      <c r="V227" s="189"/>
      <c r="W227" s="189"/>
      <c r="X227" s="189"/>
      <c r="Y227" s="189"/>
      <c r="Z227" s="189"/>
      <c r="AA227" s="189"/>
      <c r="AB227" s="189"/>
      <c r="AC227" s="189"/>
      <c r="AD227" s="189"/>
    </row>
    <row r="228" spans="1:30" x14ac:dyDescent="0.2">
      <c r="A228" s="264"/>
      <c r="B228" s="265"/>
      <c r="C228" s="266"/>
      <c r="D228" s="268"/>
      <c r="E228" s="96" t="s">
        <v>4332</v>
      </c>
      <c r="F228" s="127" t="s">
        <v>4330</v>
      </c>
      <c r="G228" s="189" t="s">
        <v>4291</v>
      </c>
      <c r="H228" s="189"/>
      <c r="J228" s="189"/>
      <c r="K228" s="189"/>
      <c r="L228" s="189"/>
      <c r="M228" s="189"/>
      <c r="N228" s="189"/>
      <c r="O228" s="189"/>
      <c r="P228" s="189"/>
      <c r="Q228" s="189"/>
      <c r="R228" s="189"/>
      <c r="S228" s="189"/>
      <c r="T228" s="189"/>
      <c r="U228" s="189"/>
      <c r="V228" s="189"/>
      <c r="W228" s="189"/>
      <c r="X228" s="189"/>
      <c r="Y228" s="189"/>
      <c r="Z228" s="189"/>
      <c r="AA228" s="189"/>
      <c r="AB228" s="189"/>
      <c r="AC228" s="189"/>
      <c r="AD228" s="189"/>
    </row>
    <row r="229" spans="1:30" ht="38.25" x14ac:dyDescent="0.2">
      <c r="A229" s="264"/>
      <c r="B229" s="265"/>
      <c r="C229" s="266"/>
      <c r="D229" s="268"/>
      <c r="E229" s="96" t="s">
        <v>4333</v>
      </c>
      <c r="F229" s="127" t="s">
        <v>4342</v>
      </c>
      <c r="G229" s="189" t="s">
        <v>4291</v>
      </c>
      <c r="H229" s="189"/>
      <c r="J229" s="189"/>
      <c r="K229" s="189"/>
      <c r="L229" s="189"/>
      <c r="M229" s="189"/>
      <c r="N229" s="189"/>
      <c r="O229" s="189"/>
      <c r="P229" s="189"/>
      <c r="Q229" s="189"/>
      <c r="R229" s="189"/>
      <c r="S229" s="189"/>
      <c r="T229" s="189"/>
      <c r="U229" s="189"/>
      <c r="V229" s="189"/>
      <c r="W229" s="189"/>
      <c r="X229" s="189"/>
      <c r="Y229" s="189"/>
      <c r="Z229" s="189"/>
      <c r="AA229" s="189"/>
      <c r="AB229" s="189"/>
      <c r="AC229" s="189"/>
      <c r="AD229" s="189"/>
    </row>
    <row r="230" spans="1:30" ht="25.5" x14ac:dyDescent="0.2">
      <c r="A230" s="264"/>
      <c r="B230" s="265"/>
      <c r="C230" s="266"/>
      <c r="D230" s="268"/>
      <c r="E230" s="96" t="s">
        <v>4334</v>
      </c>
      <c r="F230" s="127" t="s">
        <v>4331</v>
      </c>
      <c r="G230" s="189" t="s">
        <v>4291</v>
      </c>
      <c r="H230" s="189"/>
      <c r="J230" s="189"/>
      <c r="K230" s="189"/>
      <c r="L230" s="189"/>
      <c r="M230" s="189"/>
      <c r="N230" s="189"/>
      <c r="O230" s="189"/>
      <c r="P230" s="189"/>
      <c r="Q230" s="189"/>
      <c r="R230" s="189"/>
      <c r="S230" s="189"/>
      <c r="T230" s="189"/>
      <c r="U230" s="189"/>
      <c r="V230" s="189"/>
      <c r="W230" s="189"/>
      <c r="X230" s="189"/>
      <c r="Y230" s="189"/>
      <c r="Z230" s="189"/>
      <c r="AA230" s="189"/>
      <c r="AB230" s="189"/>
      <c r="AC230" s="189"/>
      <c r="AD230" s="189"/>
    </row>
    <row r="231" spans="1:30" ht="25.5" x14ac:dyDescent="0.2">
      <c r="A231" s="264"/>
      <c r="B231" s="265"/>
      <c r="C231" s="266"/>
      <c r="D231" s="268"/>
      <c r="E231" s="96" t="s">
        <v>4335</v>
      </c>
      <c r="F231" s="127" t="s">
        <v>4343</v>
      </c>
      <c r="G231" s="189" t="s">
        <v>4291</v>
      </c>
      <c r="H231" s="189"/>
      <c r="J231" s="189"/>
      <c r="K231" s="189"/>
      <c r="L231" s="189"/>
      <c r="M231" s="189"/>
      <c r="N231" s="189"/>
      <c r="O231" s="189"/>
      <c r="P231" s="189"/>
      <c r="Q231" s="189"/>
      <c r="R231" s="189"/>
      <c r="S231" s="189"/>
      <c r="T231" s="189"/>
      <c r="U231" s="189"/>
      <c r="V231" s="189"/>
      <c r="W231" s="189"/>
      <c r="X231" s="189"/>
      <c r="Y231" s="189"/>
      <c r="Z231" s="189"/>
      <c r="AA231" s="189"/>
      <c r="AB231" s="189"/>
      <c r="AC231" s="189"/>
      <c r="AD231" s="189"/>
    </row>
    <row r="232" spans="1:30" x14ac:dyDescent="0.2">
      <c r="A232" s="264"/>
      <c r="B232" s="265"/>
      <c r="C232" s="266"/>
      <c r="D232" s="268"/>
      <c r="E232" s="96" t="s">
        <v>4336</v>
      </c>
      <c r="F232" s="127" t="s">
        <v>4341</v>
      </c>
      <c r="G232" s="189" t="s">
        <v>4291</v>
      </c>
      <c r="H232" s="189"/>
      <c r="J232" s="189"/>
      <c r="K232" s="189"/>
      <c r="L232" s="189"/>
      <c r="M232" s="189"/>
      <c r="N232" s="189"/>
      <c r="O232" s="189"/>
      <c r="P232" s="189"/>
      <c r="Q232" s="189"/>
      <c r="R232" s="189"/>
      <c r="S232" s="189"/>
      <c r="T232" s="189"/>
      <c r="U232" s="189"/>
      <c r="V232" s="189"/>
      <c r="W232" s="189"/>
      <c r="X232" s="189"/>
      <c r="Y232" s="189"/>
      <c r="Z232" s="189"/>
      <c r="AA232" s="189"/>
      <c r="AB232" s="189"/>
      <c r="AC232" s="189"/>
      <c r="AD232" s="189"/>
    </row>
    <row r="233" spans="1:30" ht="25.5" x14ac:dyDescent="0.2">
      <c r="A233" s="264"/>
      <c r="B233" s="265"/>
      <c r="C233" s="266"/>
      <c r="D233" s="268"/>
      <c r="E233" s="96" t="s">
        <v>4339</v>
      </c>
      <c r="F233" s="197" t="s">
        <v>4346</v>
      </c>
      <c r="G233" s="189"/>
      <c r="H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row>
    <row r="234" spans="1:30" x14ac:dyDescent="0.2">
      <c r="A234" s="264"/>
      <c r="B234" s="265"/>
      <c r="C234" s="266"/>
      <c r="D234" s="268"/>
      <c r="E234" s="96" t="s">
        <v>4363</v>
      </c>
      <c r="G234" s="189" t="s">
        <v>4289</v>
      </c>
      <c r="H234" s="189"/>
      <c r="J234" s="189"/>
      <c r="K234" s="189"/>
      <c r="L234" s="189"/>
      <c r="M234" s="189"/>
      <c r="N234" s="189"/>
      <c r="O234" s="189"/>
      <c r="P234" s="189"/>
      <c r="Q234" s="189"/>
      <c r="R234" s="189"/>
      <c r="S234" s="189"/>
      <c r="T234" s="189"/>
      <c r="U234" s="189"/>
      <c r="V234" s="189"/>
      <c r="W234" s="189"/>
      <c r="X234" s="189"/>
      <c r="Y234" s="189"/>
      <c r="Z234" s="189"/>
      <c r="AA234" s="189"/>
      <c r="AB234" s="189"/>
      <c r="AC234" s="189"/>
      <c r="AD234" s="189"/>
    </row>
    <row r="235" spans="1:30" x14ac:dyDescent="0.2">
      <c r="A235" s="264" t="s">
        <v>470</v>
      </c>
      <c r="B235" s="265" t="s">
        <v>846</v>
      </c>
      <c r="C235" s="247">
        <f>SUM(H235:H241)/COUNTIF(F235:F241,"&gt;""")/4</f>
        <v>0</v>
      </c>
      <c r="D235" s="240" t="s">
        <v>847</v>
      </c>
      <c r="E235" s="96" t="s">
        <v>471</v>
      </c>
      <c r="F235" s="179" t="s">
        <v>848</v>
      </c>
      <c r="G235" s="189" t="s">
        <v>4289</v>
      </c>
      <c r="H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row>
    <row r="236" spans="1:30" x14ac:dyDescent="0.2">
      <c r="A236" s="264"/>
      <c r="B236" s="265"/>
      <c r="C236" s="266"/>
      <c r="D236" s="239"/>
      <c r="E236" s="96" t="s">
        <v>472</v>
      </c>
      <c r="F236" s="177" t="s">
        <v>849</v>
      </c>
      <c r="G236" s="189" t="s">
        <v>4289</v>
      </c>
      <c r="H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row>
    <row r="237" spans="1:30" x14ac:dyDescent="0.2">
      <c r="A237" s="264"/>
      <c r="B237" s="265"/>
      <c r="C237" s="266"/>
      <c r="D237" s="239"/>
      <c r="E237" s="96" t="s">
        <v>473</v>
      </c>
      <c r="F237" s="177" t="s">
        <v>850</v>
      </c>
      <c r="G237" s="189" t="s">
        <v>4289</v>
      </c>
      <c r="H237" s="189"/>
      <c r="J237" s="189"/>
      <c r="K237" s="189"/>
      <c r="L237" s="189"/>
      <c r="M237" s="189"/>
      <c r="N237" s="189"/>
      <c r="O237" s="189"/>
      <c r="P237" s="189"/>
      <c r="Q237" s="189"/>
      <c r="R237" s="189"/>
      <c r="S237" s="189"/>
      <c r="T237" s="189"/>
      <c r="U237" s="189"/>
      <c r="V237" s="189"/>
      <c r="W237" s="189"/>
      <c r="X237" s="189"/>
      <c r="Y237" s="189"/>
      <c r="Z237" s="189"/>
      <c r="AA237" s="189"/>
      <c r="AB237" s="189"/>
      <c r="AC237" s="189"/>
      <c r="AD237" s="189"/>
    </row>
    <row r="238" spans="1:30" x14ac:dyDescent="0.2">
      <c r="A238" s="264"/>
      <c r="B238" s="265"/>
      <c r="C238" s="266"/>
      <c r="D238" s="239"/>
      <c r="E238" s="96" t="s">
        <v>851</v>
      </c>
      <c r="F238" s="177" t="s">
        <v>852</v>
      </c>
      <c r="G238" s="189" t="s">
        <v>4289</v>
      </c>
      <c r="H238" s="189"/>
      <c r="J238" s="189"/>
      <c r="K238" s="189"/>
      <c r="L238" s="189"/>
      <c r="M238" s="189"/>
      <c r="N238" s="189"/>
      <c r="O238" s="189"/>
      <c r="P238" s="189"/>
      <c r="Q238" s="189"/>
      <c r="R238" s="189"/>
      <c r="S238" s="189"/>
      <c r="T238" s="189"/>
      <c r="U238" s="189"/>
      <c r="V238" s="189"/>
      <c r="W238" s="189"/>
      <c r="X238" s="189"/>
      <c r="Y238" s="189"/>
      <c r="Z238" s="189"/>
      <c r="AA238" s="189"/>
      <c r="AB238" s="189"/>
      <c r="AC238" s="189"/>
      <c r="AD238" s="189"/>
    </row>
    <row r="239" spans="1:30" x14ac:dyDescent="0.2">
      <c r="A239" s="264"/>
      <c r="B239" s="265"/>
      <c r="C239" s="266"/>
      <c r="D239" s="239"/>
      <c r="E239" s="96" t="s">
        <v>853</v>
      </c>
      <c r="F239" s="177" t="s">
        <v>854</v>
      </c>
      <c r="G239" s="189" t="s">
        <v>4289</v>
      </c>
      <c r="H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row>
    <row r="240" spans="1:30" x14ac:dyDescent="0.2">
      <c r="A240" s="264"/>
      <c r="B240" s="265"/>
      <c r="C240" s="266"/>
      <c r="D240" s="239"/>
      <c r="E240" s="96" t="s">
        <v>855</v>
      </c>
      <c r="F240" s="177" t="s">
        <v>856</v>
      </c>
      <c r="G240" s="189" t="s">
        <v>4289</v>
      </c>
      <c r="H240" s="189"/>
      <c r="J240" s="189"/>
      <c r="K240" s="189"/>
      <c r="L240" s="189"/>
      <c r="M240" s="189"/>
      <c r="N240" s="189"/>
      <c r="O240" s="189"/>
      <c r="P240" s="189"/>
      <c r="Q240" s="189"/>
      <c r="R240" s="189"/>
      <c r="S240" s="189"/>
      <c r="T240" s="189"/>
      <c r="U240" s="189"/>
      <c r="V240" s="189"/>
      <c r="W240" s="189"/>
      <c r="X240" s="189"/>
      <c r="Y240" s="189"/>
      <c r="Z240" s="189"/>
      <c r="AA240" s="189"/>
      <c r="AB240" s="189"/>
      <c r="AC240" s="189"/>
      <c r="AD240" s="189"/>
    </row>
    <row r="241" spans="1:30" x14ac:dyDescent="0.2">
      <c r="A241" s="264"/>
      <c r="B241" s="265"/>
      <c r="C241" s="266"/>
      <c r="D241" s="239"/>
      <c r="E241" s="96" t="s">
        <v>857</v>
      </c>
      <c r="F241" s="177"/>
      <c r="G241" s="189"/>
      <c r="H241" s="189"/>
      <c r="J241" s="189"/>
      <c r="K241" s="189"/>
      <c r="L241" s="189"/>
      <c r="M241" s="189"/>
      <c r="N241" s="189"/>
      <c r="O241" s="189"/>
      <c r="P241" s="189"/>
      <c r="Q241" s="189"/>
      <c r="R241" s="189"/>
      <c r="S241" s="189"/>
      <c r="T241" s="189"/>
      <c r="U241" s="189"/>
      <c r="V241" s="189"/>
      <c r="W241" s="189"/>
      <c r="X241" s="189"/>
      <c r="Y241" s="189"/>
      <c r="Z241" s="189"/>
      <c r="AA241" s="189"/>
      <c r="AB241" s="189"/>
      <c r="AC241" s="189"/>
      <c r="AD241" s="189"/>
    </row>
    <row r="242" spans="1:30" x14ac:dyDescent="0.2">
      <c r="A242" s="264" t="s">
        <v>474</v>
      </c>
      <c r="B242" s="265" t="s">
        <v>859</v>
      </c>
      <c r="C242" s="247">
        <f>SUM(H242:H247)/COUNTIF(F242:F247,"&gt;""")/4</f>
        <v>0</v>
      </c>
      <c r="D242" s="238" t="s">
        <v>3716</v>
      </c>
      <c r="E242" s="96" t="s">
        <v>475</v>
      </c>
      <c r="F242" s="179" t="s">
        <v>3591</v>
      </c>
      <c r="G242" s="189"/>
      <c r="H242" s="189"/>
      <c r="J242" s="189"/>
      <c r="K242" s="189"/>
      <c r="L242" s="189"/>
      <c r="M242" s="189"/>
      <c r="N242" s="189"/>
      <c r="O242" s="189"/>
      <c r="P242" s="189"/>
      <c r="Q242" s="189"/>
      <c r="R242" s="189"/>
      <c r="S242" s="189"/>
      <c r="T242" s="189"/>
      <c r="U242" s="189"/>
      <c r="V242" s="189"/>
      <c r="W242" s="189"/>
      <c r="X242" s="189"/>
      <c r="Y242" s="189"/>
      <c r="Z242" s="189"/>
      <c r="AA242" s="189"/>
      <c r="AB242" s="189"/>
      <c r="AC242" s="189"/>
      <c r="AD242" s="189"/>
    </row>
    <row r="243" spans="1:30" x14ac:dyDescent="0.2">
      <c r="A243" s="264"/>
      <c r="B243" s="265"/>
      <c r="C243" s="266"/>
      <c r="D243" s="239"/>
      <c r="E243" s="96" t="s">
        <v>476</v>
      </c>
      <c r="F243" s="179" t="s">
        <v>3703</v>
      </c>
      <c r="G243" s="189"/>
      <c r="H243" s="189"/>
      <c r="J243" s="189"/>
      <c r="K243" s="189"/>
      <c r="L243" s="189"/>
      <c r="M243" s="189"/>
      <c r="N243" s="189"/>
      <c r="O243" s="189"/>
      <c r="P243" s="189"/>
      <c r="Q243" s="189"/>
      <c r="R243" s="189"/>
      <c r="S243" s="189"/>
      <c r="T243" s="189"/>
      <c r="U243" s="189"/>
      <c r="V243" s="189"/>
      <c r="W243" s="189"/>
      <c r="X243" s="189"/>
      <c r="Y243" s="189"/>
      <c r="Z243" s="189"/>
      <c r="AA243" s="189"/>
      <c r="AB243" s="189"/>
      <c r="AC243" s="189"/>
      <c r="AD243" s="189"/>
    </row>
    <row r="244" spans="1:30" x14ac:dyDescent="0.2">
      <c r="A244" s="264"/>
      <c r="B244" s="265"/>
      <c r="C244" s="266"/>
      <c r="D244" s="239"/>
      <c r="E244" s="96" t="s">
        <v>477</v>
      </c>
      <c r="F244" s="179" t="s">
        <v>3592</v>
      </c>
      <c r="G244" s="189"/>
      <c r="H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row>
    <row r="245" spans="1:30" x14ac:dyDescent="0.2">
      <c r="A245" s="264"/>
      <c r="B245" s="265"/>
      <c r="C245" s="266"/>
      <c r="D245" s="239"/>
      <c r="E245" s="96" t="s">
        <v>478</v>
      </c>
      <c r="F245" s="179" t="s">
        <v>3593</v>
      </c>
      <c r="G245" s="189"/>
      <c r="H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row>
    <row r="246" spans="1:30" x14ac:dyDescent="0.2">
      <c r="A246" s="264"/>
      <c r="B246" s="265"/>
      <c r="C246" s="266"/>
      <c r="D246" s="239"/>
      <c r="E246" s="96" t="s">
        <v>860</v>
      </c>
      <c r="F246" s="179" t="s">
        <v>3715</v>
      </c>
      <c r="G246" s="189"/>
      <c r="H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row>
    <row r="247" spans="1:30" x14ac:dyDescent="0.2">
      <c r="A247" s="264"/>
      <c r="B247" s="265"/>
      <c r="C247" s="244"/>
      <c r="D247" s="241"/>
      <c r="E247" s="96" t="s">
        <v>861</v>
      </c>
      <c r="F247" s="177"/>
      <c r="G247" s="189"/>
      <c r="H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row>
    <row r="248" spans="1:30" x14ac:dyDescent="0.2">
      <c r="A248" s="264" t="s">
        <v>479</v>
      </c>
      <c r="B248" s="264" t="s">
        <v>862</v>
      </c>
      <c r="C248" s="247">
        <f>SUM(H248:H251)/COUNTIF(F248:F251,"&gt;""")/4</f>
        <v>0</v>
      </c>
      <c r="D248" s="240" t="s">
        <v>863</v>
      </c>
      <c r="E248" s="96" t="s">
        <v>480</v>
      </c>
      <c r="F248" s="117" t="s">
        <v>3816</v>
      </c>
      <c r="G248" s="189" t="s">
        <v>4289</v>
      </c>
      <c r="H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row>
    <row r="249" spans="1:30" x14ac:dyDescent="0.2">
      <c r="A249" s="264"/>
      <c r="B249" s="264"/>
      <c r="C249" s="266"/>
      <c r="D249" s="239"/>
      <c r="E249" s="96" t="s">
        <v>481</v>
      </c>
      <c r="F249" s="117" t="s">
        <v>3815</v>
      </c>
      <c r="G249" s="189" t="s">
        <v>4289</v>
      </c>
      <c r="H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row>
    <row r="250" spans="1:30" x14ac:dyDescent="0.2">
      <c r="A250" s="264"/>
      <c r="B250" s="264"/>
      <c r="C250" s="266"/>
      <c r="D250" s="239"/>
      <c r="E250" s="96" t="s">
        <v>482</v>
      </c>
      <c r="F250" s="117" t="s">
        <v>4364</v>
      </c>
      <c r="G250" s="189" t="s">
        <v>4289</v>
      </c>
      <c r="H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row>
    <row r="251" spans="1:30" x14ac:dyDescent="0.2">
      <c r="A251" s="264"/>
      <c r="B251" s="264"/>
      <c r="C251" s="266"/>
      <c r="D251" s="239"/>
      <c r="E251" s="96" t="s">
        <v>864</v>
      </c>
      <c r="F251" s="117" t="s">
        <v>4365</v>
      </c>
      <c r="G251" s="189" t="s">
        <v>4289</v>
      </c>
      <c r="H251" s="189"/>
      <c r="J251" s="189"/>
      <c r="K251" s="189"/>
      <c r="L251" s="189"/>
      <c r="M251" s="189"/>
      <c r="N251" s="189"/>
      <c r="O251" s="189"/>
      <c r="P251" s="189"/>
      <c r="Q251" s="189"/>
      <c r="R251" s="189"/>
      <c r="S251" s="189"/>
      <c r="T251" s="189"/>
      <c r="U251" s="189"/>
      <c r="V251" s="189"/>
      <c r="W251" s="189"/>
      <c r="X251" s="189"/>
      <c r="Y251" s="189"/>
      <c r="Z251" s="189"/>
      <c r="AA251" s="189"/>
      <c r="AB251" s="189"/>
      <c r="AC251" s="189"/>
      <c r="AD251" s="189"/>
    </row>
    <row r="252" spans="1:30" ht="15" x14ac:dyDescent="0.2">
      <c r="A252" s="264" t="s">
        <v>866</v>
      </c>
      <c r="B252" s="265" t="s">
        <v>867</v>
      </c>
      <c r="C252" s="269">
        <f>SUM(H252:H260)/COUNTIF(F252:F260,"&gt;""")/4</f>
        <v>0</v>
      </c>
      <c r="D252" s="270" t="s">
        <v>868</v>
      </c>
      <c r="E252" s="99" t="s">
        <v>869</v>
      </c>
      <c r="F252" s="185" t="s">
        <v>1552</v>
      </c>
      <c r="G252" s="189" t="s">
        <v>4290</v>
      </c>
      <c r="H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row>
    <row r="253" spans="1:30" ht="15" x14ac:dyDescent="0.2">
      <c r="A253" s="264"/>
      <c r="B253" s="265"/>
      <c r="C253" s="269"/>
      <c r="D253" s="270"/>
      <c r="E253" s="99" t="s">
        <v>870</v>
      </c>
      <c r="F253" s="185" t="s">
        <v>1401</v>
      </c>
      <c r="G253" s="189" t="s">
        <v>4290</v>
      </c>
      <c r="H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row>
    <row r="254" spans="1:30" ht="15" x14ac:dyDescent="0.2">
      <c r="A254" s="264"/>
      <c r="B254" s="265"/>
      <c r="C254" s="269"/>
      <c r="D254" s="270"/>
      <c r="E254" s="99" t="s">
        <v>871</v>
      </c>
      <c r="F254" s="185" t="s">
        <v>1402</v>
      </c>
      <c r="G254" s="189" t="s">
        <v>4290</v>
      </c>
      <c r="H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row>
    <row r="255" spans="1:30" ht="15" x14ac:dyDescent="0.2">
      <c r="A255" s="264"/>
      <c r="B255" s="265"/>
      <c r="C255" s="269"/>
      <c r="D255" s="270"/>
      <c r="E255" s="99" t="s">
        <v>872</v>
      </c>
      <c r="F255" s="185" t="s">
        <v>1403</v>
      </c>
      <c r="G255" s="189" t="s">
        <v>4290</v>
      </c>
      <c r="H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row>
    <row r="256" spans="1:30" ht="15" x14ac:dyDescent="0.2">
      <c r="A256" s="264"/>
      <c r="B256" s="265"/>
      <c r="C256" s="269"/>
      <c r="D256" s="270"/>
      <c r="E256" s="99" t="s">
        <v>873</v>
      </c>
      <c r="F256" s="173" t="s">
        <v>3438</v>
      </c>
      <c r="G256" s="189" t="s">
        <v>4289</v>
      </c>
      <c r="H256" s="189"/>
      <c r="J256" s="189"/>
      <c r="K256" s="189"/>
      <c r="L256" s="189"/>
      <c r="M256" s="189"/>
      <c r="N256" s="189"/>
      <c r="O256" s="189"/>
      <c r="P256" s="189"/>
      <c r="Q256" s="189"/>
      <c r="R256" s="189"/>
      <c r="S256" s="189"/>
      <c r="T256" s="189"/>
      <c r="U256" s="189"/>
      <c r="V256" s="189"/>
      <c r="W256" s="189"/>
      <c r="X256" s="189"/>
      <c r="Y256" s="189"/>
      <c r="Z256" s="189"/>
      <c r="AA256" s="189"/>
      <c r="AB256" s="189"/>
      <c r="AC256" s="189"/>
      <c r="AD256" s="189"/>
    </row>
    <row r="257" spans="1:30" ht="15" x14ac:dyDescent="0.2">
      <c r="A257" s="264"/>
      <c r="B257" s="265"/>
      <c r="C257" s="269"/>
      <c r="D257" s="270"/>
      <c r="E257" s="99" t="s">
        <v>874</v>
      </c>
      <c r="F257" s="173" t="s">
        <v>3439</v>
      </c>
      <c r="G257" s="189" t="s">
        <v>4289</v>
      </c>
      <c r="H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row>
    <row r="258" spans="1:30" ht="15" x14ac:dyDescent="0.2">
      <c r="A258" s="264"/>
      <c r="B258" s="265"/>
      <c r="C258" s="269"/>
      <c r="D258" s="270"/>
      <c r="E258" s="99" t="s">
        <v>1406</v>
      </c>
      <c r="F258" s="185" t="s">
        <v>1404</v>
      </c>
      <c r="G258" s="189" t="s">
        <v>4290</v>
      </c>
      <c r="H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row>
    <row r="259" spans="1:30" ht="15" x14ac:dyDescent="0.2">
      <c r="A259" s="264"/>
      <c r="B259" s="265"/>
      <c r="C259" s="269"/>
      <c r="D259" s="270"/>
      <c r="E259" s="99" t="s">
        <v>1407</v>
      </c>
      <c r="F259" s="185" t="s">
        <v>1405</v>
      </c>
      <c r="G259" s="189" t="s">
        <v>4290</v>
      </c>
      <c r="H259" s="189"/>
      <c r="J259" s="189"/>
      <c r="K259" s="189"/>
      <c r="L259" s="189"/>
      <c r="M259" s="189"/>
      <c r="N259" s="189"/>
      <c r="O259" s="189"/>
      <c r="P259" s="189"/>
      <c r="Q259" s="189"/>
      <c r="R259" s="189"/>
      <c r="S259" s="189"/>
      <c r="T259" s="189"/>
      <c r="U259" s="189"/>
      <c r="V259" s="189"/>
      <c r="W259" s="189"/>
      <c r="X259" s="189"/>
      <c r="Y259" s="189"/>
      <c r="Z259" s="189"/>
      <c r="AA259" s="189"/>
      <c r="AB259" s="189"/>
      <c r="AC259" s="189"/>
      <c r="AD259" s="189"/>
    </row>
    <row r="260" spans="1:30" x14ac:dyDescent="0.2">
      <c r="A260" s="264"/>
      <c r="B260" s="265"/>
      <c r="C260" s="269"/>
      <c r="D260" s="270"/>
      <c r="E260" s="99" t="s">
        <v>873</v>
      </c>
      <c r="F260" s="177"/>
      <c r="G260" s="189"/>
      <c r="H260" s="189"/>
      <c r="J260" s="189"/>
      <c r="K260" s="189"/>
      <c r="L260" s="189"/>
      <c r="M260" s="189"/>
      <c r="N260" s="189"/>
      <c r="O260" s="189"/>
      <c r="P260" s="189"/>
      <c r="Q260" s="189"/>
      <c r="R260" s="189"/>
      <c r="S260" s="189"/>
      <c r="T260" s="189"/>
      <c r="U260" s="189"/>
      <c r="V260" s="189"/>
      <c r="W260" s="189"/>
      <c r="X260" s="189"/>
      <c r="Y260" s="189"/>
      <c r="Z260" s="189"/>
      <c r="AA260" s="189"/>
      <c r="AB260" s="189"/>
      <c r="AC260" s="189"/>
      <c r="AD260" s="189"/>
    </row>
    <row r="261" spans="1:30" ht="15" x14ac:dyDescent="0.2">
      <c r="F261" s="147"/>
    </row>
    <row r="262" spans="1:30" ht="15" x14ac:dyDescent="0.2">
      <c r="F262" s="147"/>
    </row>
    <row r="263" spans="1:30" ht="15" x14ac:dyDescent="0.2">
      <c r="F263" s="147"/>
    </row>
    <row r="264" spans="1:30" ht="15" x14ac:dyDescent="0.2">
      <c r="F264" s="147"/>
    </row>
    <row r="265" spans="1:30" ht="15" x14ac:dyDescent="0.2">
      <c r="F265" s="147"/>
      <c r="G265" s="178" t="s">
        <v>4290</v>
      </c>
    </row>
    <row r="266" spans="1:30" ht="15" x14ac:dyDescent="0.2">
      <c r="F266" s="147"/>
      <c r="G266" s="178" t="s">
        <v>4291</v>
      </c>
    </row>
    <row r="267" spans="1:30" ht="15" x14ac:dyDescent="0.2">
      <c r="F267" s="147"/>
      <c r="G267" s="178" t="s">
        <v>4289</v>
      </c>
    </row>
    <row r="268" spans="1:30" ht="15" x14ac:dyDescent="0.2">
      <c r="F268" s="147"/>
    </row>
  </sheetData>
  <mergeCells count="109">
    <mergeCell ref="A252:A260"/>
    <mergeCell ref="B252:B260"/>
    <mergeCell ref="C252:C260"/>
    <mergeCell ref="D252:D260"/>
    <mergeCell ref="A242:A247"/>
    <mergeCell ref="B242:B247"/>
    <mergeCell ref="C242:C247"/>
    <mergeCell ref="D242:D247"/>
    <mergeCell ref="A248:A251"/>
    <mergeCell ref="B248:B251"/>
    <mergeCell ref="C248:C251"/>
    <mergeCell ref="D248:D251"/>
    <mergeCell ref="A220:A234"/>
    <mergeCell ref="B220:B234"/>
    <mergeCell ref="C220:C234"/>
    <mergeCell ref="D220:D234"/>
    <mergeCell ref="A235:A241"/>
    <mergeCell ref="B235:B241"/>
    <mergeCell ref="C235:C241"/>
    <mergeCell ref="D235:D241"/>
    <mergeCell ref="A201:A209"/>
    <mergeCell ref="B201:B209"/>
    <mergeCell ref="C201:C209"/>
    <mergeCell ref="D201:D209"/>
    <mergeCell ref="A210:A219"/>
    <mergeCell ref="B210:B219"/>
    <mergeCell ref="C210:C219"/>
    <mergeCell ref="D210:D219"/>
    <mergeCell ref="A170:A182"/>
    <mergeCell ref="B170:B182"/>
    <mergeCell ref="C170:C182"/>
    <mergeCell ref="D170:D182"/>
    <mergeCell ref="A183:A200"/>
    <mergeCell ref="B183:B200"/>
    <mergeCell ref="C183:C200"/>
    <mergeCell ref="D183:D200"/>
    <mergeCell ref="A152:A160"/>
    <mergeCell ref="B152:B160"/>
    <mergeCell ref="C152:C160"/>
    <mergeCell ref="D152:D160"/>
    <mergeCell ref="A161:A168"/>
    <mergeCell ref="B161:B168"/>
    <mergeCell ref="C161:C168"/>
    <mergeCell ref="D161:D168"/>
    <mergeCell ref="A126:A136"/>
    <mergeCell ref="B126:B136"/>
    <mergeCell ref="C126:C136"/>
    <mergeCell ref="D126:D136"/>
    <mergeCell ref="A137:A151"/>
    <mergeCell ref="B137:B151"/>
    <mergeCell ref="C137:C151"/>
    <mergeCell ref="D137:D151"/>
    <mergeCell ref="A102:A112"/>
    <mergeCell ref="B102:B112"/>
    <mergeCell ref="C102:C112"/>
    <mergeCell ref="D102:D112"/>
    <mergeCell ref="A113:A125"/>
    <mergeCell ref="B113:B125"/>
    <mergeCell ref="C113:C125"/>
    <mergeCell ref="D113:D125"/>
    <mergeCell ref="A86:A93"/>
    <mergeCell ref="B86:B93"/>
    <mergeCell ref="C86:C93"/>
    <mergeCell ref="D86:D93"/>
    <mergeCell ref="A94:A101"/>
    <mergeCell ref="B94:B101"/>
    <mergeCell ref="C94:C101"/>
    <mergeCell ref="D94:D101"/>
    <mergeCell ref="A66:A72"/>
    <mergeCell ref="B66:B72"/>
    <mergeCell ref="C66:C72"/>
    <mergeCell ref="D66:D72"/>
    <mergeCell ref="A73:A85"/>
    <mergeCell ref="B73:B85"/>
    <mergeCell ref="C73:C85"/>
    <mergeCell ref="D73:D85"/>
    <mergeCell ref="A45:A56"/>
    <mergeCell ref="B45:B56"/>
    <mergeCell ref="C45:C56"/>
    <mergeCell ref="D45:D56"/>
    <mergeCell ref="A57:A64"/>
    <mergeCell ref="B57:B64"/>
    <mergeCell ref="C57:C64"/>
    <mergeCell ref="D57:D64"/>
    <mergeCell ref="A34:A39"/>
    <mergeCell ref="B34:B39"/>
    <mergeCell ref="C34:C39"/>
    <mergeCell ref="D34:D39"/>
    <mergeCell ref="A40:A44"/>
    <mergeCell ref="B40:B44"/>
    <mergeCell ref="C40:C44"/>
    <mergeCell ref="D40:D44"/>
    <mergeCell ref="J1:AD1"/>
    <mergeCell ref="A16:A20"/>
    <mergeCell ref="B16:B20"/>
    <mergeCell ref="C16:C20"/>
    <mergeCell ref="D16:D20"/>
    <mergeCell ref="A21:A33"/>
    <mergeCell ref="B21:B33"/>
    <mergeCell ref="C21:C33"/>
    <mergeCell ref="D21:D33"/>
    <mergeCell ref="A3:A10"/>
    <mergeCell ref="B3:B10"/>
    <mergeCell ref="C3:C10"/>
    <mergeCell ref="D3:D10"/>
    <mergeCell ref="A11:A15"/>
    <mergeCell ref="B11:B15"/>
    <mergeCell ref="C11:C15"/>
    <mergeCell ref="D11:D15"/>
  </mergeCells>
  <phoneticPr fontId="14" type="noConversion"/>
  <conditionalFormatting sqref="C3:C64 C66:C168 C170:C260">
    <cfRule type="cellIs" dxfId="5" priority="4" operator="greaterThan">
      <formula>0.79</formula>
    </cfRule>
    <cfRule type="cellIs" dxfId="4" priority="5" stopIfTrue="1" operator="between">
      <formula>0.6</formula>
      <formula>0.79</formula>
    </cfRule>
    <cfRule type="cellIs" dxfId="3" priority="6" operator="lessThan">
      <formula>0.6</formula>
    </cfRule>
  </conditionalFormatting>
  <conditionalFormatting sqref="G3:G260">
    <cfRule type="containsText" dxfId="2" priority="1" stopIfTrue="1" operator="containsText" text="Incomplete">
      <formula>NOT(ISERROR(SEARCH("Incomplete",G3)))</formula>
    </cfRule>
    <cfRule type="containsText" dxfId="1" priority="2" operator="containsText" text="Partly">
      <formula>NOT(ISERROR(SEARCH("Partly",G3)))</formula>
    </cfRule>
    <cfRule type="containsText" dxfId="0" priority="3" operator="containsText" text="Complete">
      <formula>NOT(ISERROR(SEARCH("Complete",G3)))</formula>
    </cfRule>
  </conditionalFormatting>
  <dataValidations count="1">
    <dataValidation type="list" allowBlank="1" showInputMessage="1" showErrorMessage="1" sqref="G3:G260" xr:uid="{F06033CA-263A-A841-A4C7-ED4D433D129E}">
      <formula1>$G$265:$G$267</formula1>
    </dataValidation>
  </dataValidations>
  <hyperlinks>
    <hyperlink ref="B161:B168" location="'C10'!A1" display="C10. Manage Client Relationships and Account Growth" xr:uid="{2ACE00B6-0BA8-4145-A973-56FAED5BD21D}"/>
    <hyperlink ref="B152:B160" location="'C9'!A1" display="C9. Manage Commercial Transactions" xr:uid="{0E9DB6CC-4B6F-214E-A5FD-9F492D85D1FE}"/>
    <hyperlink ref="B137:B151" location="'C8'!A1" display="C8. Deliver Products and Services " xr:uid="{3E295AEE-9CC7-FF4D-8A55-03FF89ABBA72}"/>
    <hyperlink ref="B126:B136" location="'C7'!A1" display="C7. Manage Public Services (Sovereign Data and Public Infrastructure)" xr:uid="{F9CE1E66-3431-2444-BAB0-EA4D74D53D1C}"/>
    <hyperlink ref="B113:B125" location="'C6'!A1" display="'C6'!A1" xr:uid="{AF52A48C-D5B2-FC40-9EA0-9F64E3F54D6C}"/>
    <hyperlink ref="B102:B112" location="'C5'!A1" display="C5. Sell and Contract Digital Solutions and Services (Create demand) and sales channels" xr:uid="{01627BC4-CD0F-DA45-A5D2-0F5CCF88571C}"/>
    <hyperlink ref="B94:B101" location="'C4'!A1" display="C4. Manage Service Life-cycle &amp; delivery channels" xr:uid="{62752E72-2113-584A-9A9B-518249A2C671}"/>
    <hyperlink ref="B86:B93" location="'C3'!A1" display="C3. Market  Products and Services and channels " xr:uid="{1CACE601-C1E2-3644-A692-29A0BEF6E20B}"/>
    <hyperlink ref="B73:B85" location="'C2'!C2" display="C2. Design, Develop &amp; Engineer Products, Services and Delivery Channels" xr:uid="{7E97B436-CC83-4D4E-8937-B9E73A87A3F2}"/>
    <hyperlink ref="B66:B72" location="'C1'!A1" display="C1. Sense and Research Digital Demand (Government and Commercial)" xr:uid="{E19B7622-7641-244B-BC56-C204636E9B52}"/>
    <hyperlink ref="B57:B64" location="'M8'!A1" display="M8. Manage Business Process Optimisation and Quality Assurance (BPMS &amp; EQMS)" xr:uid="{F3CEF400-7D88-E646-A1B7-402C1D094EE9}"/>
    <hyperlink ref="B45:B56" location="'M7'!A1" display="M7. Manage Innovation and  Portfolio Execution (EPMO)" xr:uid="{4C1E6D33-FE94-B840-9BFD-FF28A5E49FB4}"/>
    <hyperlink ref="B40:B44" location="'M6'!A1" display="M6. Manage Partnership Ecosystem Development" xr:uid="{9CA54487-2A0B-474F-B774-E6A3F54609A3}"/>
    <hyperlink ref="B34:B39" location="'M5'!A1" display="M5. Manage Business Performance, Monitoring and Evaluation" xr:uid="{3B012AC6-2C50-AB45-A1B4-700263D713DC}"/>
    <hyperlink ref="B21:B33" location="'M4'!A1" display="M4. Manage Enterprise Governance, Risk,  Compliance / Resiliency (GRC)" xr:uid="{C435B9A0-24B7-D34A-AFB2-593C76090165}"/>
    <hyperlink ref="B16:B20" location="'M3'!A1" display="M3. Manage reputation and Stakeholder Relations " xr:uid="{851BBF24-1EB2-7947-BFBA-E801F92F17EE}"/>
    <hyperlink ref="B11:B15" location="'M2'!A1" display="M2. Manage Enterprise Digital Governance and Architecture" xr:uid="{7EC49D79-9332-214A-82F3-D39DD00B9DD5}"/>
    <hyperlink ref="B3:B10" location="'M1'!A1" display="M1. Manage Corporate Strategy &amp; Planning" xr:uid="{9C44C89C-F1BE-8D41-ABB7-78789342D3C2}"/>
    <hyperlink ref="B170:B182" location="'S1 Fin'!A1" display="S1. Manage Finance" xr:uid="{E92B4433-4659-C44E-A5F3-2F5270E9923E}"/>
    <hyperlink ref="B183:B200" location="S2_HCM!A1" display="S2. Manage Human Capital" xr:uid="{5B7E24D5-E1AD-0F47-97C9-65BECB1962CB}"/>
    <hyperlink ref="B201:B209" location="'S3 SCM'!A1" display="S3. Manage Internal Procurement and Contracting" xr:uid="{941A3EDA-B2FC-B649-92E3-92A5E7A1A6D6}"/>
    <hyperlink ref="B210:B219" location="'S4_IIT&amp;EUC'!A1" display="S4. Manage Internal ICT and BI Services" xr:uid="{60A7EA9C-EE5F-494B-80CE-4E4EA1B010DA}"/>
    <hyperlink ref="B252:B260" location="'S9 Legal'!A1" display="S9 Manage Corporate Legal Support" xr:uid="{3E69DE4C-2853-D748-BD22-526DC87C433F}"/>
    <hyperlink ref="B242:B247" location="'S7 MK'!A1" display="S7. Manage Knowledge, Records and Information Governance" xr:uid="{EBA38816-4688-B242-BB0D-1645EA2D571E}"/>
    <hyperlink ref="B220:B234" location="'S5 Facilities'!A1" display="S5. Manage Facilities, Logistics and Safety" xr:uid="{71A393E2-FDF3-F94F-A1D3-9567B70FB6E2}"/>
    <hyperlink ref="B235:B241" location="'S6 Security'!A1" display="S6. Manage Physical Security (Internal)" xr:uid="{42A1F73B-3889-0D46-96CE-58BD1DB129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2B783-BF5D-6E45-897C-A7C84E88E12A}">
  <sheetPr>
    <tabColor theme="9"/>
  </sheetPr>
  <dimension ref="A1:L94"/>
  <sheetViews>
    <sheetView tabSelected="1" zoomScale="88" zoomScaleNormal="84" workbookViewId="0">
      <pane ySplit="1" topLeftCell="A2" activePane="bottomLeft" state="frozen"/>
      <selection pane="bottomLeft" activeCell="K8" sqref="K8"/>
    </sheetView>
  </sheetViews>
  <sheetFormatPr defaultColWidth="13.28515625" defaultRowHeight="15" x14ac:dyDescent="0.25"/>
  <cols>
    <col min="1" max="1" width="18.85546875" style="3" customWidth="1"/>
    <col min="2" max="2" width="7.140625" style="3" customWidth="1"/>
    <col min="3" max="3" width="19.140625" style="8" customWidth="1"/>
    <col min="4" max="4" width="14.28515625" style="8" customWidth="1"/>
    <col min="5" max="5" width="32.140625" style="8" customWidth="1"/>
    <col min="6" max="7" width="20.85546875" style="118" customWidth="1"/>
    <col min="8" max="8" width="30.85546875" style="118" customWidth="1"/>
    <col min="9" max="9" width="27.85546875" style="3" customWidth="1"/>
    <col min="10" max="11" width="12" style="3" customWidth="1"/>
    <col min="12" max="12" width="44.28515625" style="3" customWidth="1"/>
    <col min="13" max="32" width="12" style="3" customWidth="1"/>
    <col min="33" max="240" width="13.28515625" style="3"/>
    <col min="241" max="241" width="37.28515625" style="3" customWidth="1"/>
    <col min="242" max="242" width="29.85546875" style="3" customWidth="1"/>
    <col min="243" max="243" width="39.28515625" style="3" customWidth="1"/>
    <col min="244" max="244" width="54" style="3" customWidth="1"/>
    <col min="245" max="288" width="12" style="3" customWidth="1"/>
    <col min="289" max="496" width="13.28515625" style="3"/>
    <col min="497" max="497" width="37.28515625" style="3" customWidth="1"/>
    <col min="498" max="498" width="29.85546875" style="3" customWidth="1"/>
    <col min="499" max="499" width="39.28515625" style="3" customWidth="1"/>
    <col min="500" max="500" width="54" style="3" customWidth="1"/>
    <col min="501" max="544" width="12" style="3" customWidth="1"/>
    <col min="545" max="752" width="13.28515625" style="3"/>
    <col min="753" max="753" width="37.28515625" style="3" customWidth="1"/>
    <col min="754" max="754" width="29.85546875" style="3" customWidth="1"/>
    <col min="755" max="755" width="39.28515625" style="3" customWidth="1"/>
    <col min="756" max="756" width="54" style="3" customWidth="1"/>
    <col min="757" max="800" width="12" style="3" customWidth="1"/>
    <col min="801" max="1008" width="13.28515625" style="3"/>
    <col min="1009" max="1009" width="37.28515625" style="3" customWidth="1"/>
    <col min="1010" max="1010" width="29.85546875" style="3" customWidth="1"/>
    <col min="1011" max="1011" width="39.28515625" style="3" customWidth="1"/>
    <col min="1012" max="1012" width="54" style="3" customWidth="1"/>
    <col min="1013" max="1056" width="12" style="3" customWidth="1"/>
    <col min="1057" max="1264" width="13.28515625" style="3"/>
    <col min="1265" max="1265" width="37.28515625" style="3" customWidth="1"/>
    <col min="1266" max="1266" width="29.85546875" style="3" customWidth="1"/>
    <col min="1267" max="1267" width="39.28515625" style="3" customWidth="1"/>
    <col min="1268" max="1268" width="54" style="3" customWidth="1"/>
    <col min="1269" max="1312" width="12" style="3" customWidth="1"/>
    <col min="1313" max="1520" width="13.28515625" style="3"/>
    <col min="1521" max="1521" width="37.28515625" style="3" customWidth="1"/>
    <col min="1522" max="1522" width="29.85546875" style="3" customWidth="1"/>
    <col min="1523" max="1523" width="39.28515625" style="3" customWidth="1"/>
    <col min="1524" max="1524" width="54" style="3" customWidth="1"/>
    <col min="1525" max="1568" width="12" style="3" customWidth="1"/>
    <col min="1569" max="1776" width="13.28515625" style="3"/>
    <col min="1777" max="1777" width="37.28515625" style="3" customWidth="1"/>
    <col min="1778" max="1778" width="29.85546875" style="3" customWidth="1"/>
    <col min="1779" max="1779" width="39.28515625" style="3" customWidth="1"/>
    <col min="1780" max="1780" width="54" style="3" customWidth="1"/>
    <col min="1781" max="1824" width="12" style="3" customWidth="1"/>
    <col min="1825" max="2032" width="13.28515625" style="3"/>
    <col min="2033" max="2033" width="37.28515625" style="3" customWidth="1"/>
    <col min="2034" max="2034" width="29.85546875" style="3" customWidth="1"/>
    <col min="2035" max="2035" width="39.28515625" style="3" customWidth="1"/>
    <col min="2036" max="2036" width="54" style="3" customWidth="1"/>
    <col min="2037" max="2080" width="12" style="3" customWidth="1"/>
    <col min="2081" max="2288" width="13.28515625" style="3"/>
    <col min="2289" max="2289" width="37.28515625" style="3" customWidth="1"/>
    <col min="2290" max="2290" width="29.85546875" style="3" customWidth="1"/>
    <col min="2291" max="2291" width="39.28515625" style="3" customWidth="1"/>
    <col min="2292" max="2292" width="54" style="3" customWidth="1"/>
    <col min="2293" max="2336" width="12" style="3" customWidth="1"/>
    <col min="2337" max="2544" width="13.28515625" style="3"/>
    <col min="2545" max="2545" width="37.28515625" style="3" customWidth="1"/>
    <col min="2546" max="2546" width="29.85546875" style="3" customWidth="1"/>
    <col min="2547" max="2547" width="39.28515625" style="3" customWidth="1"/>
    <col min="2548" max="2548" width="54" style="3" customWidth="1"/>
    <col min="2549" max="2592" width="12" style="3" customWidth="1"/>
    <col min="2593" max="2800" width="13.28515625" style="3"/>
    <col min="2801" max="2801" width="37.28515625" style="3" customWidth="1"/>
    <col min="2802" max="2802" width="29.85546875" style="3" customWidth="1"/>
    <col min="2803" max="2803" width="39.28515625" style="3" customWidth="1"/>
    <col min="2804" max="2804" width="54" style="3" customWidth="1"/>
    <col min="2805" max="2848" width="12" style="3" customWidth="1"/>
    <col min="2849" max="3056" width="13.28515625" style="3"/>
    <col min="3057" max="3057" width="37.28515625" style="3" customWidth="1"/>
    <col min="3058" max="3058" width="29.85546875" style="3" customWidth="1"/>
    <col min="3059" max="3059" width="39.28515625" style="3" customWidth="1"/>
    <col min="3060" max="3060" width="54" style="3" customWidth="1"/>
    <col min="3061" max="3104" width="12" style="3" customWidth="1"/>
    <col min="3105" max="3312" width="13.28515625" style="3"/>
    <col min="3313" max="3313" width="37.28515625" style="3" customWidth="1"/>
    <col min="3314" max="3314" width="29.85546875" style="3" customWidth="1"/>
    <col min="3315" max="3315" width="39.28515625" style="3" customWidth="1"/>
    <col min="3316" max="3316" width="54" style="3" customWidth="1"/>
    <col min="3317" max="3360" width="12" style="3" customWidth="1"/>
    <col min="3361" max="3568" width="13.28515625" style="3"/>
    <col min="3569" max="3569" width="37.28515625" style="3" customWidth="1"/>
    <col min="3570" max="3570" width="29.85546875" style="3" customWidth="1"/>
    <col min="3571" max="3571" width="39.28515625" style="3" customWidth="1"/>
    <col min="3572" max="3572" width="54" style="3" customWidth="1"/>
    <col min="3573" max="3616" width="12" style="3" customWidth="1"/>
    <col min="3617" max="3824" width="13.28515625" style="3"/>
    <col min="3825" max="3825" width="37.28515625" style="3" customWidth="1"/>
    <col min="3826" max="3826" width="29.85546875" style="3" customWidth="1"/>
    <col min="3827" max="3827" width="39.28515625" style="3" customWidth="1"/>
    <col min="3828" max="3828" width="54" style="3" customWidth="1"/>
    <col min="3829" max="3872" width="12" style="3" customWidth="1"/>
    <col min="3873" max="4080" width="13.28515625" style="3"/>
    <col min="4081" max="4081" width="37.28515625" style="3" customWidth="1"/>
    <col min="4082" max="4082" width="29.85546875" style="3" customWidth="1"/>
    <col min="4083" max="4083" width="39.28515625" style="3" customWidth="1"/>
    <col min="4084" max="4084" width="54" style="3" customWidth="1"/>
    <col min="4085" max="4128" width="12" style="3" customWidth="1"/>
    <col min="4129" max="4336" width="13.28515625" style="3"/>
    <col min="4337" max="4337" width="37.28515625" style="3" customWidth="1"/>
    <col min="4338" max="4338" width="29.85546875" style="3" customWidth="1"/>
    <col min="4339" max="4339" width="39.28515625" style="3" customWidth="1"/>
    <col min="4340" max="4340" width="54" style="3" customWidth="1"/>
    <col min="4341" max="4384" width="12" style="3" customWidth="1"/>
    <col min="4385" max="4592" width="13.28515625" style="3"/>
    <col min="4593" max="4593" width="37.28515625" style="3" customWidth="1"/>
    <col min="4594" max="4594" width="29.85546875" style="3" customWidth="1"/>
    <col min="4595" max="4595" width="39.28515625" style="3" customWidth="1"/>
    <col min="4596" max="4596" width="54" style="3" customWidth="1"/>
    <col min="4597" max="4640" width="12" style="3" customWidth="1"/>
    <col min="4641" max="4848" width="13.28515625" style="3"/>
    <col min="4849" max="4849" width="37.28515625" style="3" customWidth="1"/>
    <col min="4850" max="4850" width="29.85546875" style="3" customWidth="1"/>
    <col min="4851" max="4851" width="39.28515625" style="3" customWidth="1"/>
    <col min="4852" max="4852" width="54" style="3" customWidth="1"/>
    <col min="4853" max="4896" width="12" style="3" customWidth="1"/>
    <col min="4897" max="5104" width="13.28515625" style="3"/>
    <col min="5105" max="5105" width="37.28515625" style="3" customWidth="1"/>
    <col min="5106" max="5106" width="29.85546875" style="3" customWidth="1"/>
    <col min="5107" max="5107" width="39.28515625" style="3" customWidth="1"/>
    <col min="5108" max="5108" width="54" style="3" customWidth="1"/>
    <col min="5109" max="5152" width="12" style="3" customWidth="1"/>
    <col min="5153" max="5360" width="13.28515625" style="3"/>
    <col min="5361" max="5361" width="37.28515625" style="3" customWidth="1"/>
    <col min="5362" max="5362" width="29.85546875" style="3" customWidth="1"/>
    <col min="5363" max="5363" width="39.28515625" style="3" customWidth="1"/>
    <col min="5364" max="5364" width="54" style="3" customWidth="1"/>
    <col min="5365" max="5408" width="12" style="3" customWidth="1"/>
    <col min="5409" max="5616" width="13.28515625" style="3"/>
    <col min="5617" max="5617" width="37.28515625" style="3" customWidth="1"/>
    <col min="5618" max="5618" width="29.85546875" style="3" customWidth="1"/>
    <col min="5619" max="5619" width="39.28515625" style="3" customWidth="1"/>
    <col min="5620" max="5620" width="54" style="3" customWidth="1"/>
    <col min="5621" max="5664" width="12" style="3" customWidth="1"/>
    <col min="5665" max="5872" width="13.28515625" style="3"/>
    <col min="5873" max="5873" width="37.28515625" style="3" customWidth="1"/>
    <col min="5874" max="5874" width="29.85546875" style="3" customWidth="1"/>
    <col min="5875" max="5875" width="39.28515625" style="3" customWidth="1"/>
    <col min="5876" max="5876" width="54" style="3" customWidth="1"/>
    <col min="5877" max="5920" width="12" style="3" customWidth="1"/>
    <col min="5921" max="6128" width="13.28515625" style="3"/>
    <col min="6129" max="6129" width="37.28515625" style="3" customWidth="1"/>
    <col min="6130" max="6130" width="29.85546875" style="3" customWidth="1"/>
    <col min="6131" max="6131" width="39.28515625" style="3" customWidth="1"/>
    <col min="6132" max="6132" width="54" style="3" customWidth="1"/>
    <col min="6133" max="6176" width="12" style="3" customWidth="1"/>
    <col min="6177" max="6384" width="13.28515625" style="3"/>
    <col min="6385" max="6385" width="37.28515625" style="3" customWidth="1"/>
    <col min="6386" max="6386" width="29.85546875" style="3" customWidth="1"/>
    <col min="6387" max="6387" width="39.28515625" style="3" customWidth="1"/>
    <col min="6388" max="6388" width="54" style="3" customWidth="1"/>
    <col min="6389" max="6432" width="12" style="3" customWidth="1"/>
    <col min="6433" max="6640" width="13.28515625" style="3"/>
    <col min="6641" max="6641" width="37.28515625" style="3" customWidth="1"/>
    <col min="6642" max="6642" width="29.85546875" style="3" customWidth="1"/>
    <col min="6643" max="6643" width="39.28515625" style="3" customWidth="1"/>
    <col min="6644" max="6644" width="54" style="3" customWidth="1"/>
    <col min="6645" max="6688" width="12" style="3" customWidth="1"/>
    <col min="6689" max="6896" width="13.28515625" style="3"/>
    <col min="6897" max="6897" width="37.28515625" style="3" customWidth="1"/>
    <col min="6898" max="6898" width="29.85546875" style="3" customWidth="1"/>
    <col min="6899" max="6899" width="39.28515625" style="3" customWidth="1"/>
    <col min="6900" max="6900" width="54" style="3" customWidth="1"/>
    <col min="6901" max="6944" width="12" style="3" customWidth="1"/>
    <col min="6945" max="7152" width="13.28515625" style="3"/>
    <col min="7153" max="7153" width="37.28515625" style="3" customWidth="1"/>
    <col min="7154" max="7154" width="29.85546875" style="3" customWidth="1"/>
    <col min="7155" max="7155" width="39.28515625" style="3" customWidth="1"/>
    <col min="7156" max="7156" width="54" style="3" customWidth="1"/>
    <col min="7157" max="7200" width="12" style="3" customWidth="1"/>
    <col min="7201" max="7408" width="13.28515625" style="3"/>
    <col min="7409" max="7409" width="37.28515625" style="3" customWidth="1"/>
    <col min="7410" max="7410" width="29.85546875" style="3" customWidth="1"/>
    <col min="7411" max="7411" width="39.28515625" style="3" customWidth="1"/>
    <col min="7412" max="7412" width="54" style="3" customWidth="1"/>
    <col min="7413" max="7456" width="12" style="3" customWidth="1"/>
    <col min="7457" max="7664" width="13.28515625" style="3"/>
    <col min="7665" max="7665" width="37.28515625" style="3" customWidth="1"/>
    <col min="7666" max="7666" width="29.85546875" style="3" customWidth="1"/>
    <col min="7667" max="7667" width="39.28515625" style="3" customWidth="1"/>
    <col min="7668" max="7668" width="54" style="3" customWidth="1"/>
    <col min="7669" max="7712" width="12" style="3" customWidth="1"/>
    <col min="7713" max="7920" width="13.28515625" style="3"/>
    <col min="7921" max="7921" width="37.28515625" style="3" customWidth="1"/>
    <col min="7922" max="7922" width="29.85546875" style="3" customWidth="1"/>
    <col min="7923" max="7923" width="39.28515625" style="3" customWidth="1"/>
    <col min="7924" max="7924" width="54" style="3" customWidth="1"/>
    <col min="7925" max="7968" width="12" style="3" customWidth="1"/>
    <col min="7969" max="8176" width="13.28515625" style="3"/>
    <col min="8177" max="8177" width="37.28515625" style="3" customWidth="1"/>
    <col min="8178" max="8178" width="29.85546875" style="3" customWidth="1"/>
    <col min="8179" max="8179" width="39.28515625" style="3" customWidth="1"/>
    <col min="8180" max="8180" width="54" style="3" customWidth="1"/>
    <col min="8181" max="8224" width="12" style="3" customWidth="1"/>
    <col min="8225" max="8432" width="13.28515625" style="3"/>
    <col min="8433" max="8433" width="37.28515625" style="3" customWidth="1"/>
    <col min="8434" max="8434" width="29.85546875" style="3" customWidth="1"/>
    <col min="8435" max="8435" width="39.28515625" style="3" customWidth="1"/>
    <col min="8436" max="8436" width="54" style="3" customWidth="1"/>
    <col min="8437" max="8480" width="12" style="3" customWidth="1"/>
    <col min="8481" max="8688" width="13.28515625" style="3"/>
    <col min="8689" max="8689" width="37.28515625" style="3" customWidth="1"/>
    <col min="8690" max="8690" width="29.85546875" style="3" customWidth="1"/>
    <col min="8691" max="8691" width="39.28515625" style="3" customWidth="1"/>
    <col min="8692" max="8692" width="54" style="3" customWidth="1"/>
    <col min="8693" max="8736" width="12" style="3" customWidth="1"/>
    <col min="8737" max="8944" width="13.28515625" style="3"/>
    <col min="8945" max="8945" width="37.28515625" style="3" customWidth="1"/>
    <col min="8946" max="8946" width="29.85546875" style="3" customWidth="1"/>
    <col min="8947" max="8947" width="39.28515625" style="3" customWidth="1"/>
    <col min="8948" max="8948" width="54" style="3" customWidth="1"/>
    <col min="8949" max="8992" width="12" style="3" customWidth="1"/>
    <col min="8993" max="9200" width="13.28515625" style="3"/>
    <col min="9201" max="9201" width="37.28515625" style="3" customWidth="1"/>
    <col min="9202" max="9202" width="29.85546875" style="3" customWidth="1"/>
    <col min="9203" max="9203" width="39.28515625" style="3" customWidth="1"/>
    <col min="9204" max="9204" width="54" style="3" customWidth="1"/>
    <col min="9205" max="9248" width="12" style="3" customWidth="1"/>
    <col min="9249" max="9456" width="13.28515625" style="3"/>
    <col min="9457" max="9457" width="37.28515625" style="3" customWidth="1"/>
    <col min="9458" max="9458" width="29.85546875" style="3" customWidth="1"/>
    <col min="9459" max="9459" width="39.28515625" style="3" customWidth="1"/>
    <col min="9460" max="9460" width="54" style="3" customWidth="1"/>
    <col min="9461" max="9504" width="12" style="3" customWidth="1"/>
    <col min="9505" max="9712" width="13.28515625" style="3"/>
    <col min="9713" max="9713" width="37.28515625" style="3" customWidth="1"/>
    <col min="9714" max="9714" width="29.85546875" style="3" customWidth="1"/>
    <col min="9715" max="9715" width="39.28515625" style="3" customWidth="1"/>
    <col min="9716" max="9716" width="54" style="3" customWidth="1"/>
    <col min="9717" max="9760" width="12" style="3" customWidth="1"/>
    <col min="9761" max="9968" width="13.28515625" style="3"/>
    <col min="9969" max="9969" width="37.28515625" style="3" customWidth="1"/>
    <col min="9970" max="9970" width="29.85546875" style="3" customWidth="1"/>
    <col min="9971" max="9971" width="39.28515625" style="3" customWidth="1"/>
    <col min="9972" max="9972" width="54" style="3" customWidth="1"/>
    <col min="9973" max="10016" width="12" style="3" customWidth="1"/>
    <col min="10017" max="10224" width="13.28515625" style="3"/>
    <col min="10225" max="10225" width="37.28515625" style="3" customWidth="1"/>
    <col min="10226" max="10226" width="29.85546875" style="3" customWidth="1"/>
    <col min="10227" max="10227" width="39.28515625" style="3" customWidth="1"/>
    <col min="10228" max="10228" width="54" style="3" customWidth="1"/>
    <col min="10229" max="10272" width="12" style="3" customWidth="1"/>
    <col min="10273" max="10480" width="13.28515625" style="3"/>
    <col min="10481" max="10481" width="37.28515625" style="3" customWidth="1"/>
    <col min="10482" max="10482" width="29.85546875" style="3" customWidth="1"/>
    <col min="10483" max="10483" width="39.28515625" style="3" customWidth="1"/>
    <col min="10484" max="10484" width="54" style="3" customWidth="1"/>
    <col min="10485" max="10528" width="12" style="3" customWidth="1"/>
    <col min="10529" max="10736" width="13.28515625" style="3"/>
    <col min="10737" max="10737" width="37.28515625" style="3" customWidth="1"/>
    <col min="10738" max="10738" width="29.85546875" style="3" customWidth="1"/>
    <col min="10739" max="10739" width="39.28515625" style="3" customWidth="1"/>
    <col min="10740" max="10740" width="54" style="3" customWidth="1"/>
    <col min="10741" max="10784" width="12" style="3" customWidth="1"/>
    <col min="10785" max="10992" width="13.28515625" style="3"/>
    <col min="10993" max="10993" width="37.28515625" style="3" customWidth="1"/>
    <col min="10994" max="10994" width="29.85546875" style="3" customWidth="1"/>
    <col min="10995" max="10995" width="39.28515625" style="3" customWidth="1"/>
    <col min="10996" max="10996" width="54" style="3" customWidth="1"/>
    <col min="10997" max="11040" width="12" style="3" customWidth="1"/>
    <col min="11041" max="11248" width="13.28515625" style="3"/>
    <col min="11249" max="11249" width="37.28515625" style="3" customWidth="1"/>
    <col min="11250" max="11250" width="29.85546875" style="3" customWidth="1"/>
    <col min="11251" max="11251" width="39.28515625" style="3" customWidth="1"/>
    <col min="11252" max="11252" width="54" style="3" customWidth="1"/>
    <col min="11253" max="11296" width="12" style="3" customWidth="1"/>
    <col min="11297" max="11504" width="13.28515625" style="3"/>
    <col min="11505" max="11505" width="37.28515625" style="3" customWidth="1"/>
    <col min="11506" max="11506" width="29.85546875" style="3" customWidth="1"/>
    <col min="11507" max="11507" width="39.28515625" style="3" customWidth="1"/>
    <col min="11508" max="11508" width="54" style="3" customWidth="1"/>
    <col min="11509" max="11552" width="12" style="3" customWidth="1"/>
    <col min="11553" max="11760" width="13.28515625" style="3"/>
    <col min="11761" max="11761" width="37.28515625" style="3" customWidth="1"/>
    <col min="11762" max="11762" width="29.85546875" style="3" customWidth="1"/>
    <col min="11763" max="11763" width="39.28515625" style="3" customWidth="1"/>
    <col min="11764" max="11764" width="54" style="3" customWidth="1"/>
    <col min="11765" max="11808" width="12" style="3" customWidth="1"/>
    <col min="11809" max="12016" width="13.28515625" style="3"/>
    <col min="12017" max="12017" width="37.28515625" style="3" customWidth="1"/>
    <col min="12018" max="12018" width="29.85546875" style="3" customWidth="1"/>
    <col min="12019" max="12019" width="39.28515625" style="3" customWidth="1"/>
    <col min="12020" max="12020" width="54" style="3" customWidth="1"/>
    <col min="12021" max="12064" width="12" style="3" customWidth="1"/>
    <col min="12065" max="12272" width="13.28515625" style="3"/>
    <col min="12273" max="12273" width="37.28515625" style="3" customWidth="1"/>
    <col min="12274" max="12274" width="29.85546875" style="3" customWidth="1"/>
    <col min="12275" max="12275" width="39.28515625" style="3" customWidth="1"/>
    <col min="12276" max="12276" width="54" style="3" customWidth="1"/>
    <col min="12277" max="12320" width="12" style="3" customWidth="1"/>
    <col min="12321" max="12528" width="13.28515625" style="3"/>
    <col min="12529" max="12529" width="37.28515625" style="3" customWidth="1"/>
    <col min="12530" max="12530" width="29.85546875" style="3" customWidth="1"/>
    <col min="12531" max="12531" width="39.28515625" style="3" customWidth="1"/>
    <col min="12532" max="12532" width="54" style="3" customWidth="1"/>
    <col min="12533" max="12576" width="12" style="3" customWidth="1"/>
    <col min="12577" max="12784" width="13.28515625" style="3"/>
    <col min="12785" max="12785" width="37.28515625" style="3" customWidth="1"/>
    <col min="12786" max="12786" width="29.85546875" style="3" customWidth="1"/>
    <col min="12787" max="12787" width="39.28515625" style="3" customWidth="1"/>
    <col min="12788" max="12788" width="54" style="3" customWidth="1"/>
    <col min="12789" max="12832" width="12" style="3" customWidth="1"/>
    <col min="12833" max="13040" width="13.28515625" style="3"/>
    <col min="13041" max="13041" width="37.28515625" style="3" customWidth="1"/>
    <col min="13042" max="13042" width="29.85546875" style="3" customWidth="1"/>
    <col min="13043" max="13043" width="39.28515625" style="3" customWidth="1"/>
    <col min="13044" max="13044" width="54" style="3" customWidth="1"/>
    <col min="13045" max="13088" width="12" style="3" customWidth="1"/>
    <col min="13089" max="13296" width="13.28515625" style="3"/>
    <col min="13297" max="13297" width="37.28515625" style="3" customWidth="1"/>
    <col min="13298" max="13298" width="29.85546875" style="3" customWidth="1"/>
    <col min="13299" max="13299" width="39.28515625" style="3" customWidth="1"/>
    <col min="13300" max="13300" width="54" style="3" customWidth="1"/>
    <col min="13301" max="13344" width="12" style="3" customWidth="1"/>
    <col min="13345" max="13552" width="13.28515625" style="3"/>
    <col min="13553" max="13553" width="37.28515625" style="3" customWidth="1"/>
    <col min="13554" max="13554" width="29.85546875" style="3" customWidth="1"/>
    <col min="13555" max="13555" width="39.28515625" style="3" customWidth="1"/>
    <col min="13556" max="13556" width="54" style="3" customWidth="1"/>
    <col min="13557" max="13600" width="12" style="3" customWidth="1"/>
    <col min="13601" max="13808" width="13.28515625" style="3"/>
    <col min="13809" max="13809" width="37.28515625" style="3" customWidth="1"/>
    <col min="13810" max="13810" width="29.85546875" style="3" customWidth="1"/>
    <col min="13811" max="13811" width="39.28515625" style="3" customWidth="1"/>
    <col min="13812" max="13812" width="54" style="3" customWidth="1"/>
    <col min="13813" max="13856" width="12" style="3" customWidth="1"/>
    <col min="13857" max="14064" width="13.28515625" style="3"/>
    <col min="14065" max="14065" width="37.28515625" style="3" customWidth="1"/>
    <col min="14066" max="14066" width="29.85546875" style="3" customWidth="1"/>
    <col min="14067" max="14067" width="39.28515625" style="3" customWidth="1"/>
    <col min="14068" max="14068" width="54" style="3" customWidth="1"/>
    <col min="14069" max="14112" width="12" style="3" customWidth="1"/>
    <col min="14113" max="14320" width="13.28515625" style="3"/>
    <col min="14321" max="14321" width="37.28515625" style="3" customWidth="1"/>
    <col min="14322" max="14322" width="29.85546875" style="3" customWidth="1"/>
    <col min="14323" max="14323" width="39.28515625" style="3" customWidth="1"/>
    <col min="14324" max="14324" width="54" style="3" customWidth="1"/>
    <col min="14325" max="14368" width="12" style="3" customWidth="1"/>
    <col min="14369" max="14576" width="13.28515625" style="3"/>
    <col min="14577" max="14577" width="37.28515625" style="3" customWidth="1"/>
    <col min="14578" max="14578" width="29.85546875" style="3" customWidth="1"/>
    <col min="14579" max="14579" width="39.28515625" style="3" customWidth="1"/>
    <col min="14580" max="14580" width="54" style="3" customWidth="1"/>
    <col min="14581" max="14624" width="12" style="3" customWidth="1"/>
    <col min="14625" max="14832" width="13.28515625" style="3"/>
    <col min="14833" max="14833" width="37.28515625" style="3" customWidth="1"/>
    <col min="14834" max="14834" width="29.85546875" style="3" customWidth="1"/>
    <col min="14835" max="14835" width="39.28515625" style="3" customWidth="1"/>
    <col min="14836" max="14836" width="54" style="3" customWidth="1"/>
    <col min="14837" max="14880" width="12" style="3" customWidth="1"/>
    <col min="14881" max="15088" width="13.28515625" style="3"/>
    <col min="15089" max="15089" width="37.28515625" style="3" customWidth="1"/>
    <col min="15090" max="15090" width="29.85546875" style="3" customWidth="1"/>
    <col min="15091" max="15091" width="39.28515625" style="3" customWidth="1"/>
    <col min="15092" max="15092" width="54" style="3" customWidth="1"/>
    <col min="15093" max="15136" width="12" style="3" customWidth="1"/>
    <col min="15137" max="15344" width="13.28515625" style="3"/>
    <col min="15345" max="15345" width="37.28515625" style="3" customWidth="1"/>
    <col min="15346" max="15346" width="29.85546875" style="3" customWidth="1"/>
    <col min="15347" max="15347" width="39.28515625" style="3" customWidth="1"/>
    <col min="15348" max="15348" width="54" style="3" customWidth="1"/>
    <col min="15349" max="15392" width="12" style="3" customWidth="1"/>
    <col min="15393" max="15600" width="13.28515625" style="3"/>
    <col min="15601" max="15601" width="37.28515625" style="3" customWidth="1"/>
    <col min="15602" max="15602" width="29.85546875" style="3" customWidth="1"/>
    <col min="15603" max="15603" width="39.28515625" style="3" customWidth="1"/>
    <col min="15604" max="15604" width="54" style="3" customWidth="1"/>
    <col min="15605" max="15648" width="12" style="3" customWidth="1"/>
    <col min="15649" max="15856" width="13.28515625" style="3"/>
    <col min="15857" max="15857" width="37.28515625" style="3" customWidth="1"/>
    <col min="15858" max="15858" width="29.85546875" style="3" customWidth="1"/>
    <col min="15859" max="15859" width="39.28515625" style="3" customWidth="1"/>
    <col min="15860" max="15860" width="54" style="3" customWidth="1"/>
    <col min="15861" max="15904" width="12" style="3" customWidth="1"/>
    <col min="15905" max="16112" width="13.28515625" style="3"/>
    <col min="16113" max="16113" width="37.28515625" style="3" customWidth="1"/>
    <col min="16114" max="16114" width="29.85546875" style="3" customWidth="1"/>
    <col min="16115" max="16115" width="39.28515625" style="3" customWidth="1"/>
    <col min="16116" max="16116" width="54" style="3" customWidth="1"/>
    <col min="16117" max="16160" width="12" style="3" customWidth="1"/>
    <col min="16161" max="16384" width="13.28515625" style="3"/>
  </cols>
  <sheetData>
    <row r="1" spans="1:9" ht="20.100000000000001" customHeight="1" x14ac:dyDescent="0.25"/>
    <row r="2" spans="1:9" s="5" customFormat="1" ht="30" x14ac:dyDescent="0.2">
      <c r="A2" s="4" t="s">
        <v>4</v>
      </c>
      <c r="B2" s="17"/>
      <c r="C2" s="17" t="s">
        <v>5</v>
      </c>
      <c r="D2" s="17"/>
      <c r="E2" s="4" t="s">
        <v>6</v>
      </c>
      <c r="F2" s="4" t="s">
        <v>4097</v>
      </c>
      <c r="G2" s="4" t="s">
        <v>4114</v>
      </c>
      <c r="H2" s="119" t="s">
        <v>888</v>
      </c>
      <c r="I2" s="4" t="s">
        <v>7</v>
      </c>
    </row>
    <row r="3" spans="1:9" x14ac:dyDescent="0.25">
      <c r="A3" s="301" t="s">
        <v>889</v>
      </c>
      <c r="B3" s="317" t="s">
        <v>343</v>
      </c>
      <c r="C3" s="317" t="s">
        <v>926</v>
      </c>
      <c r="D3" s="301" t="s">
        <v>899</v>
      </c>
      <c r="E3" s="305" t="s">
        <v>4098</v>
      </c>
      <c r="F3" s="305" t="s">
        <v>4112</v>
      </c>
      <c r="G3" s="305" t="s">
        <v>4115</v>
      </c>
      <c r="H3" s="305" t="s">
        <v>4116</v>
      </c>
      <c r="I3" s="32"/>
    </row>
    <row r="4" spans="1:9" x14ac:dyDescent="0.25">
      <c r="A4" s="302"/>
      <c r="B4" s="317"/>
      <c r="C4" s="317"/>
      <c r="D4" s="303"/>
      <c r="E4" s="325"/>
      <c r="F4" s="325"/>
      <c r="G4" s="325"/>
      <c r="H4" s="325"/>
      <c r="I4" s="31"/>
    </row>
    <row r="5" spans="1:9" x14ac:dyDescent="0.25">
      <c r="A5" s="302"/>
      <c r="B5" s="317"/>
      <c r="C5" s="317"/>
      <c r="D5" s="301" t="s">
        <v>900</v>
      </c>
      <c r="E5" s="305" t="s">
        <v>4099</v>
      </c>
      <c r="F5" s="305" t="s">
        <v>4112</v>
      </c>
      <c r="G5" s="305" t="s">
        <v>4115</v>
      </c>
      <c r="H5" s="305" t="s">
        <v>4113</v>
      </c>
      <c r="I5" s="31"/>
    </row>
    <row r="6" spans="1:9" x14ac:dyDescent="0.25">
      <c r="A6" s="302"/>
      <c r="B6" s="317"/>
      <c r="C6" s="317"/>
      <c r="D6" s="303"/>
      <c r="E6" s="325"/>
      <c r="F6" s="325"/>
      <c r="G6" s="325"/>
      <c r="H6" s="325"/>
      <c r="I6" s="31"/>
    </row>
    <row r="7" spans="1:9" x14ac:dyDescent="0.25">
      <c r="A7" s="302"/>
      <c r="B7" s="317"/>
      <c r="C7" s="317"/>
      <c r="D7" s="301" t="s">
        <v>901</v>
      </c>
      <c r="E7" s="325" t="s">
        <v>4100</v>
      </c>
      <c r="F7" s="305"/>
      <c r="G7" s="305"/>
      <c r="H7" s="305"/>
      <c r="I7" s="31"/>
    </row>
    <row r="8" spans="1:9" x14ac:dyDescent="0.25">
      <c r="A8" s="302"/>
      <c r="B8" s="317"/>
      <c r="C8" s="317"/>
      <c r="D8" s="303"/>
      <c r="E8" s="306"/>
      <c r="F8" s="325"/>
      <c r="G8" s="325"/>
      <c r="H8" s="325"/>
      <c r="I8" s="31"/>
    </row>
    <row r="9" spans="1:9" x14ac:dyDescent="0.25">
      <c r="A9" s="302"/>
      <c r="B9" s="317"/>
      <c r="C9" s="317"/>
      <c r="D9" s="301" t="s">
        <v>902</v>
      </c>
      <c r="E9" s="305" t="s">
        <v>4101</v>
      </c>
      <c r="F9" s="305"/>
      <c r="G9" s="305"/>
      <c r="H9" s="305"/>
      <c r="I9" s="31"/>
    </row>
    <row r="10" spans="1:9" x14ac:dyDescent="0.25">
      <c r="A10" s="302"/>
      <c r="B10" s="317"/>
      <c r="C10" s="317"/>
      <c r="D10" s="303"/>
      <c r="E10" s="325"/>
      <c r="F10" s="325"/>
      <c r="G10" s="325"/>
      <c r="H10" s="325"/>
      <c r="I10" s="31"/>
    </row>
    <row r="11" spans="1:9" x14ac:dyDescent="0.25">
      <c r="A11" s="302"/>
      <c r="B11" s="317"/>
      <c r="C11" s="317"/>
      <c r="D11" s="301" t="s">
        <v>903</v>
      </c>
      <c r="E11" s="305" t="s">
        <v>4102</v>
      </c>
      <c r="F11" s="305"/>
      <c r="G11" s="305"/>
      <c r="H11" s="305" t="s">
        <v>895</v>
      </c>
      <c r="I11" s="33"/>
    </row>
    <row r="12" spans="1:9" x14ac:dyDescent="0.25">
      <c r="A12" s="302"/>
      <c r="B12" s="317"/>
      <c r="C12" s="317"/>
      <c r="D12" s="303"/>
      <c r="E12" s="325"/>
      <c r="F12" s="325"/>
      <c r="G12" s="325"/>
      <c r="H12" s="325"/>
      <c r="I12" s="33"/>
    </row>
    <row r="13" spans="1:9" x14ac:dyDescent="0.25">
      <c r="A13" s="302"/>
      <c r="B13" s="317"/>
      <c r="C13" s="317"/>
      <c r="D13" s="301" t="s">
        <v>904</v>
      </c>
      <c r="E13" s="305" t="s">
        <v>4103</v>
      </c>
      <c r="F13" s="305"/>
      <c r="G13" s="305"/>
      <c r="H13" s="305" t="s">
        <v>896</v>
      </c>
      <c r="I13" s="33"/>
    </row>
    <row r="14" spans="1:9" x14ac:dyDescent="0.25">
      <c r="A14" s="302"/>
      <c r="B14" s="317"/>
      <c r="C14" s="317"/>
      <c r="D14" s="303"/>
      <c r="E14" s="325"/>
      <c r="F14" s="325"/>
      <c r="G14" s="325"/>
      <c r="H14" s="325"/>
      <c r="I14" s="33"/>
    </row>
    <row r="15" spans="1:9" ht="15" customHeight="1" x14ac:dyDescent="0.2">
      <c r="A15" s="302"/>
      <c r="B15" s="321" t="s">
        <v>344</v>
      </c>
      <c r="C15" s="321" t="s">
        <v>927</v>
      </c>
      <c r="D15" s="301" t="s">
        <v>905</v>
      </c>
      <c r="E15" s="326" t="s">
        <v>4104</v>
      </c>
      <c r="F15" s="326" t="s">
        <v>4112</v>
      </c>
      <c r="G15" s="326" t="s">
        <v>4118</v>
      </c>
      <c r="H15" s="326" t="s">
        <v>4117</v>
      </c>
      <c r="I15" s="7"/>
    </row>
    <row r="16" spans="1:9" x14ac:dyDescent="0.2">
      <c r="A16" s="302"/>
      <c r="B16" s="321"/>
      <c r="C16" s="321"/>
      <c r="D16" s="303"/>
      <c r="E16" s="326"/>
      <c r="F16" s="326"/>
      <c r="G16" s="326"/>
      <c r="H16" s="326"/>
      <c r="I16" s="7"/>
    </row>
    <row r="17" spans="1:9" ht="15" customHeight="1" x14ac:dyDescent="0.2">
      <c r="A17" s="302"/>
      <c r="B17" s="321"/>
      <c r="C17" s="321"/>
      <c r="D17" s="301" t="s">
        <v>906</v>
      </c>
      <c r="E17" s="326" t="s">
        <v>4105</v>
      </c>
      <c r="F17" s="326" t="s">
        <v>4112</v>
      </c>
      <c r="G17" s="326" t="s">
        <v>4118</v>
      </c>
      <c r="H17" s="327" t="s">
        <v>4120</v>
      </c>
      <c r="I17" s="7"/>
    </row>
    <row r="18" spans="1:9" x14ac:dyDescent="0.2">
      <c r="A18" s="302"/>
      <c r="B18" s="321"/>
      <c r="C18" s="321"/>
      <c r="D18" s="303"/>
      <c r="E18" s="326"/>
      <c r="F18" s="326"/>
      <c r="G18" s="326"/>
      <c r="H18" s="326"/>
      <c r="I18" s="7"/>
    </row>
    <row r="19" spans="1:9" ht="15" customHeight="1" x14ac:dyDescent="0.2">
      <c r="A19" s="302"/>
      <c r="B19" s="321"/>
      <c r="C19" s="321"/>
      <c r="D19" s="301" t="s">
        <v>907</v>
      </c>
      <c r="E19" s="326" t="s">
        <v>890</v>
      </c>
      <c r="F19" s="326" t="s">
        <v>4112</v>
      </c>
      <c r="G19" s="326" t="s">
        <v>4119</v>
      </c>
      <c r="H19" s="326"/>
      <c r="I19" s="7"/>
    </row>
    <row r="20" spans="1:9" x14ac:dyDescent="0.2">
      <c r="A20" s="302"/>
      <c r="B20" s="321"/>
      <c r="C20" s="321"/>
      <c r="D20" s="303"/>
      <c r="E20" s="326"/>
      <c r="F20" s="326"/>
      <c r="G20" s="326"/>
      <c r="H20" s="326"/>
      <c r="I20" s="7"/>
    </row>
    <row r="21" spans="1:9" ht="15" customHeight="1" x14ac:dyDescent="0.2">
      <c r="A21" s="302"/>
      <c r="B21" s="321"/>
      <c r="C21" s="321"/>
      <c r="D21" s="301" t="s">
        <v>908</v>
      </c>
      <c r="E21" s="326" t="s">
        <v>891</v>
      </c>
      <c r="F21" s="326" t="s">
        <v>4112</v>
      </c>
      <c r="G21" s="326" t="s">
        <v>4118</v>
      </c>
      <c r="H21" s="326"/>
      <c r="I21" s="7"/>
    </row>
    <row r="22" spans="1:9" x14ac:dyDescent="0.2">
      <c r="A22" s="302"/>
      <c r="B22" s="321"/>
      <c r="C22" s="321"/>
      <c r="D22" s="303"/>
      <c r="E22" s="326"/>
      <c r="F22" s="326"/>
      <c r="G22" s="326"/>
      <c r="H22" s="326"/>
      <c r="I22" s="7"/>
    </row>
    <row r="23" spans="1:9" ht="15" customHeight="1" x14ac:dyDescent="0.2">
      <c r="A23" s="302"/>
      <c r="B23" s="321"/>
      <c r="C23" s="321"/>
      <c r="D23" s="301" t="s">
        <v>909</v>
      </c>
      <c r="E23" s="326" t="s">
        <v>892</v>
      </c>
      <c r="F23" s="326" t="s">
        <v>4112</v>
      </c>
      <c r="G23" s="326" t="s">
        <v>4118</v>
      </c>
      <c r="H23" s="326"/>
      <c r="I23" s="7"/>
    </row>
    <row r="24" spans="1:9" x14ac:dyDescent="0.2">
      <c r="A24" s="302"/>
      <c r="B24" s="321"/>
      <c r="C24" s="321"/>
      <c r="D24" s="303"/>
      <c r="E24" s="326"/>
      <c r="F24" s="326"/>
      <c r="G24" s="326"/>
      <c r="H24" s="326"/>
      <c r="I24" s="7"/>
    </row>
    <row r="25" spans="1:9" x14ac:dyDescent="0.2">
      <c r="A25" s="302"/>
      <c r="B25" s="322" t="s">
        <v>345</v>
      </c>
      <c r="C25" s="322" t="s">
        <v>929</v>
      </c>
      <c r="D25" s="301" t="s">
        <v>910</v>
      </c>
      <c r="E25" s="319" t="s">
        <v>881</v>
      </c>
      <c r="F25" s="319" t="s">
        <v>4122</v>
      </c>
      <c r="G25" s="329" t="s">
        <v>4126</v>
      </c>
      <c r="H25" s="319" t="s">
        <v>4121</v>
      </c>
      <c r="I25" s="7"/>
    </row>
    <row r="26" spans="1:9" x14ac:dyDescent="0.2">
      <c r="A26" s="302"/>
      <c r="B26" s="323"/>
      <c r="C26" s="323"/>
      <c r="D26" s="303"/>
      <c r="E26" s="320"/>
      <c r="F26" s="320"/>
      <c r="G26" s="320"/>
      <c r="H26" s="320"/>
      <c r="I26" s="7"/>
    </row>
    <row r="27" spans="1:9" ht="15" customHeight="1" x14ac:dyDescent="0.2">
      <c r="A27" s="302"/>
      <c r="B27" s="323"/>
      <c r="C27" s="323"/>
      <c r="D27" s="301" t="s">
        <v>911</v>
      </c>
      <c r="E27" s="319" t="s">
        <v>882</v>
      </c>
      <c r="F27" s="319" t="s">
        <v>4125</v>
      </c>
      <c r="G27" s="319" t="s">
        <v>4124</v>
      </c>
      <c r="H27" s="319" t="s">
        <v>4123</v>
      </c>
      <c r="I27" s="7"/>
    </row>
    <row r="28" spans="1:9" x14ac:dyDescent="0.2">
      <c r="A28" s="302"/>
      <c r="B28" s="323"/>
      <c r="C28" s="323"/>
      <c r="D28" s="303"/>
      <c r="E28" s="320"/>
      <c r="F28" s="320"/>
      <c r="G28" s="320"/>
      <c r="H28" s="320"/>
      <c r="I28" s="28"/>
    </row>
    <row r="29" spans="1:9" ht="15" customHeight="1" x14ac:dyDescent="0.2">
      <c r="A29" s="302"/>
      <c r="B29" s="323"/>
      <c r="C29" s="323"/>
      <c r="D29" s="301" t="s">
        <v>912</v>
      </c>
      <c r="E29" s="319" t="s">
        <v>883</v>
      </c>
      <c r="F29" s="319"/>
      <c r="G29" s="319"/>
      <c r="H29" s="319"/>
      <c r="I29" s="28"/>
    </row>
    <row r="30" spans="1:9" x14ac:dyDescent="0.2">
      <c r="A30" s="302"/>
      <c r="B30" s="323"/>
      <c r="C30" s="323"/>
      <c r="D30" s="303"/>
      <c r="E30" s="320"/>
      <c r="F30" s="320"/>
      <c r="G30" s="320"/>
      <c r="H30" s="320"/>
      <c r="I30" s="28"/>
    </row>
    <row r="31" spans="1:9" ht="15" customHeight="1" x14ac:dyDescent="0.2">
      <c r="A31" s="302"/>
      <c r="B31" s="323"/>
      <c r="C31" s="323"/>
      <c r="D31" s="301" t="s">
        <v>913</v>
      </c>
      <c r="E31" s="319" t="s">
        <v>884</v>
      </c>
      <c r="F31" s="319"/>
      <c r="G31" s="319"/>
      <c r="H31" s="319"/>
      <c r="I31" s="28"/>
    </row>
    <row r="32" spans="1:9" x14ac:dyDescent="0.2">
      <c r="A32" s="302"/>
      <c r="B32" s="323"/>
      <c r="C32" s="323"/>
      <c r="D32" s="303"/>
      <c r="E32" s="320"/>
      <c r="F32" s="320"/>
      <c r="G32" s="320"/>
      <c r="H32" s="320"/>
      <c r="I32" s="28"/>
    </row>
    <row r="33" spans="1:12" ht="15" customHeight="1" x14ac:dyDescent="0.2">
      <c r="A33" s="302"/>
      <c r="B33" s="323"/>
      <c r="C33" s="323"/>
      <c r="D33" s="301" t="s">
        <v>914</v>
      </c>
      <c r="E33" s="319" t="s">
        <v>885</v>
      </c>
      <c r="F33" s="319" t="s">
        <v>4128</v>
      </c>
      <c r="G33" s="319"/>
      <c r="H33" s="319" t="s">
        <v>4127</v>
      </c>
      <c r="I33" s="29"/>
    </row>
    <row r="34" spans="1:12" x14ac:dyDescent="0.2">
      <c r="A34" s="302"/>
      <c r="B34" s="323"/>
      <c r="C34" s="323"/>
      <c r="D34" s="303"/>
      <c r="E34" s="320"/>
      <c r="F34" s="320"/>
      <c r="G34" s="320"/>
      <c r="H34" s="320"/>
      <c r="I34" s="29"/>
    </row>
    <row r="35" spans="1:12" ht="15" customHeight="1" x14ac:dyDescent="0.2">
      <c r="A35" s="302"/>
      <c r="B35" s="323"/>
      <c r="C35" s="323"/>
      <c r="D35" s="301" t="s">
        <v>915</v>
      </c>
      <c r="E35" s="319" t="s">
        <v>886</v>
      </c>
      <c r="F35" s="319"/>
      <c r="G35" s="319"/>
      <c r="H35" s="319"/>
      <c r="I35" s="29"/>
    </row>
    <row r="36" spans="1:12" x14ac:dyDescent="0.25">
      <c r="A36" s="302"/>
      <c r="B36" s="323"/>
      <c r="C36" s="323"/>
      <c r="D36" s="303"/>
      <c r="E36" s="320"/>
      <c r="F36" s="320"/>
      <c r="G36" s="320"/>
      <c r="H36" s="320"/>
      <c r="I36" s="30"/>
    </row>
    <row r="37" spans="1:12" ht="15" customHeight="1" x14ac:dyDescent="0.25">
      <c r="A37" s="302"/>
      <c r="B37" s="323"/>
      <c r="C37" s="323"/>
      <c r="D37" s="301" t="s">
        <v>916</v>
      </c>
      <c r="E37" s="319" t="s">
        <v>887</v>
      </c>
      <c r="F37" s="319"/>
      <c r="G37" s="319"/>
      <c r="H37" s="319"/>
      <c r="I37" s="31"/>
      <c r="K37" s="65" t="s">
        <v>343</v>
      </c>
      <c r="L37" s="95" t="s">
        <v>504</v>
      </c>
    </row>
    <row r="38" spans="1:12" x14ac:dyDescent="0.25">
      <c r="A38" s="302"/>
      <c r="B38" s="324"/>
      <c r="C38" s="324"/>
      <c r="D38" s="303"/>
      <c r="E38" s="320"/>
      <c r="F38" s="320"/>
      <c r="G38" s="320"/>
      <c r="H38" s="320"/>
      <c r="I38" s="31"/>
      <c r="K38" s="65" t="s">
        <v>344</v>
      </c>
      <c r="L38" s="96" t="s">
        <v>506</v>
      </c>
    </row>
    <row r="39" spans="1:12" x14ac:dyDescent="0.2">
      <c r="A39" s="302"/>
      <c r="B39" s="307" t="s">
        <v>346</v>
      </c>
      <c r="C39" s="307" t="s">
        <v>510</v>
      </c>
      <c r="D39" s="309" t="s">
        <v>4111</v>
      </c>
      <c r="E39" s="304" t="s">
        <v>4106</v>
      </c>
      <c r="F39" s="304" t="s">
        <v>4112</v>
      </c>
      <c r="G39" s="304" t="s">
        <v>4129</v>
      </c>
      <c r="H39" s="304" t="s">
        <v>4130</v>
      </c>
      <c r="I39" s="7"/>
      <c r="K39" s="65" t="s">
        <v>345</v>
      </c>
      <c r="L39" s="96" t="s">
        <v>508</v>
      </c>
    </row>
    <row r="40" spans="1:12" ht="25.5" x14ac:dyDescent="0.2">
      <c r="A40" s="302"/>
      <c r="B40" s="307"/>
      <c r="C40" s="307"/>
      <c r="D40" s="309"/>
      <c r="E40" s="304"/>
      <c r="F40" s="304"/>
      <c r="G40" s="304"/>
      <c r="H40" s="304"/>
      <c r="I40" s="7"/>
      <c r="K40" s="65" t="s">
        <v>346</v>
      </c>
      <c r="L40" s="117" t="s">
        <v>510</v>
      </c>
    </row>
    <row r="41" spans="1:12" ht="15" customHeight="1" x14ac:dyDescent="0.2">
      <c r="A41" s="302"/>
      <c r="B41" s="308"/>
      <c r="C41" s="308"/>
      <c r="D41" s="301" t="s">
        <v>4110</v>
      </c>
      <c r="E41" s="304" t="s">
        <v>4107</v>
      </c>
      <c r="F41" s="304" t="s">
        <v>4112</v>
      </c>
      <c r="G41" s="304" t="s">
        <v>4129</v>
      </c>
      <c r="H41" s="304" t="s">
        <v>4130</v>
      </c>
      <c r="I41" s="7"/>
      <c r="K41" s="65" t="s">
        <v>347</v>
      </c>
      <c r="L41" s="96" t="s">
        <v>512</v>
      </c>
    </row>
    <row r="42" spans="1:12" ht="25.5" x14ac:dyDescent="0.2">
      <c r="A42" s="302"/>
      <c r="B42" s="308"/>
      <c r="C42" s="308"/>
      <c r="D42" s="303"/>
      <c r="E42" s="304"/>
      <c r="F42" s="304"/>
      <c r="G42" s="304"/>
      <c r="H42" s="304"/>
      <c r="I42" s="7"/>
      <c r="K42" s="65" t="s">
        <v>513</v>
      </c>
      <c r="L42" s="96" t="s">
        <v>514</v>
      </c>
    </row>
    <row r="43" spans="1:12" ht="15" customHeight="1" x14ac:dyDescent="0.2">
      <c r="A43" s="302"/>
      <c r="B43" s="308"/>
      <c r="C43" s="308"/>
      <c r="D43" s="301" t="s">
        <v>4109</v>
      </c>
      <c r="E43" s="304" t="s">
        <v>4108</v>
      </c>
      <c r="F43" s="304" t="s">
        <v>4112</v>
      </c>
      <c r="G43" s="304" t="s">
        <v>4129</v>
      </c>
      <c r="H43" s="304" t="s">
        <v>4130</v>
      </c>
      <c r="I43" s="7"/>
    </row>
    <row r="44" spans="1:12" x14ac:dyDescent="0.2">
      <c r="A44" s="302"/>
      <c r="B44" s="308"/>
      <c r="C44" s="308"/>
      <c r="D44" s="303"/>
      <c r="E44" s="304"/>
      <c r="F44" s="304"/>
      <c r="G44" s="304"/>
      <c r="H44" s="304"/>
      <c r="I44" s="7"/>
    </row>
    <row r="45" spans="1:12" ht="34.35" customHeight="1" x14ac:dyDescent="0.2">
      <c r="A45" s="302"/>
      <c r="B45" s="308"/>
      <c r="C45" s="308"/>
      <c r="D45" s="301" t="s">
        <v>917</v>
      </c>
      <c r="E45" s="304" t="s">
        <v>893</v>
      </c>
      <c r="F45" s="304" t="s">
        <v>4112</v>
      </c>
      <c r="G45" s="304" t="s">
        <v>4129</v>
      </c>
      <c r="H45" s="304" t="s">
        <v>4130</v>
      </c>
      <c r="I45" s="7"/>
    </row>
    <row r="46" spans="1:12" x14ac:dyDescent="0.2">
      <c r="A46" s="302"/>
      <c r="B46" s="308"/>
      <c r="C46" s="308"/>
      <c r="D46" s="303"/>
      <c r="E46" s="304"/>
      <c r="F46" s="304"/>
      <c r="G46" s="304"/>
      <c r="H46" s="304"/>
      <c r="I46" s="7"/>
    </row>
    <row r="47" spans="1:12" ht="15" customHeight="1" x14ac:dyDescent="0.2">
      <c r="A47" s="302"/>
      <c r="B47" s="308"/>
      <c r="C47" s="308"/>
      <c r="D47" s="301" t="s">
        <v>918</v>
      </c>
      <c r="E47" s="304" t="s">
        <v>894</v>
      </c>
      <c r="F47" s="304" t="s">
        <v>4112</v>
      </c>
      <c r="G47" s="304" t="s">
        <v>4129</v>
      </c>
      <c r="H47" s="304" t="s">
        <v>4130</v>
      </c>
      <c r="I47" s="7"/>
    </row>
    <row r="48" spans="1:12" x14ac:dyDescent="0.2">
      <c r="A48" s="302"/>
      <c r="B48" s="308"/>
      <c r="C48" s="308"/>
      <c r="D48" s="303"/>
      <c r="E48" s="304"/>
      <c r="F48" s="304"/>
      <c r="G48" s="304"/>
      <c r="H48" s="304"/>
      <c r="I48" s="7"/>
    </row>
    <row r="49" spans="1:12" x14ac:dyDescent="0.2">
      <c r="A49" s="302"/>
      <c r="B49" s="315" t="s">
        <v>347</v>
      </c>
      <c r="C49" s="315" t="s">
        <v>928</v>
      </c>
      <c r="D49" s="313" t="s">
        <v>931</v>
      </c>
      <c r="E49" s="328"/>
      <c r="F49" s="328"/>
      <c r="G49" s="328"/>
      <c r="H49" s="328"/>
      <c r="I49" s="7"/>
      <c r="K49" s="65" t="s">
        <v>345</v>
      </c>
      <c r="L49" s="96" t="s">
        <v>508</v>
      </c>
    </row>
    <row r="50" spans="1:12" ht="25.5" x14ac:dyDescent="0.2">
      <c r="A50" s="302"/>
      <c r="B50" s="315"/>
      <c r="C50" s="315"/>
      <c r="D50" s="314"/>
      <c r="E50" s="328"/>
      <c r="F50" s="328"/>
      <c r="G50" s="328"/>
      <c r="H50" s="328"/>
      <c r="I50" s="7"/>
      <c r="K50" s="65" t="s">
        <v>346</v>
      </c>
      <c r="L50" s="96" t="s">
        <v>510</v>
      </c>
    </row>
    <row r="51" spans="1:12" ht="15" customHeight="1" x14ac:dyDescent="0.2">
      <c r="A51" s="302"/>
      <c r="B51" s="316"/>
      <c r="C51" s="316"/>
      <c r="D51" s="313" t="s">
        <v>932</v>
      </c>
      <c r="E51" s="328"/>
      <c r="F51" s="328"/>
      <c r="G51" s="328"/>
      <c r="H51" s="328"/>
      <c r="I51" s="7"/>
      <c r="K51" s="65" t="s">
        <v>347</v>
      </c>
      <c r="L51" s="96" t="s">
        <v>512</v>
      </c>
    </row>
    <row r="52" spans="1:12" ht="25.5" x14ac:dyDescent="0.2">
      <c r="A52" s="302"/>
      <c r="B52" s="316"/>
      <c r="C52" s="316"/>
      <c r="D52" s="314"/>
      <c r="E52" s="328"/>
      <c r="F52" s="328"/>
      <c r="G52" s="328"/>
      <c r="H52" s="328"/>
      <c r="I52" s="7"/>
      <c r="K52" s="65" t="s">
        <v>513</v>
      </c>
      <c r="L52" s="96" t="s">
        <v>514</v>
      </c>
    </row>
    <row r="53" spans="1:12" ht="15" customHeight="1" x14ac:dyDescent="0.2">
      <c r="A53" s="302"/>
      <c r="B53" s="316"/>
      <c r="C53" s="316"/>
      <c r="D53" s="313" t="s">
        <v>933</v>
      </c>
      <c r="E53" s="328"/>
      <c r="F53" s="328"/>
      <c r="G53" s="328"/>
      <c r="H53" s="328"/>
      <c r="I53" s="7"/>
    </row>
    <row r="54" spans="1:12" x14ac:dyDescent="0.2">
      <c r="A54" s="302"/>
      <c r="B54" s="316"/>
      <c r="C54" s="316"/>
      <c r="D54" s="314"/>
      <c r="E54" s="328"/>
      <c r="F54" s="328"/>
      <c r="G54" s="328"/>
      <c r="H54" s="328"/>
      <c r="I54" s="7"/>
    </row>
    <row r="55" spans="1:12" ht="15" customHeight="1" x14ac:dyDescent="0.2">
      <c r="A55" s="302"/>
      <c r="B55" s="316"/>
      <c r="C55" s="316"/>
      <c r="D55" s="313" t="s">
        <v>934</v>
      </c>
      <c r="E55" s="328"/>
      <c r="F55" s="328"/>
      <c r="G55" s="328"/>
      <c r="H55" s="328"/>
      <c r="I55" s="7"/>
    </row>
    <row r="56" spans="1:12" x14ac:dyDescent="0.2">
      <c r="A56" s="302"/>
      <c r="B56" s="316"/>
      <c r="C56" s="316"/>
      <c r="D56" s="314"/>
      <c r="E56" s="328"/>
      <c r="F56" s="328"/>
      <c r="G56" s="328"/>
      <c r="H56" s="328"/>
      <c r="I56" s="7"/>
    </row>
    <row r="57" spans="1:12" ht="15" customHeight="1" x14ac:dyDescent="0.2">
      <c r="A57" s="302"/>
      <c r="B57" s="316"/>
      <c r="C57" s="316"/>
      <c r="D57" s="313" t="s">
        <v>935</v>
      </c>
      <c r="E57" s="328"/>
      <c r="F57" s="328"/>
      <c r="G57" s="328"/>
      <c r="H57" s="328"/>
      <c r="I57" s="7"/>
    </row>
    <row r="58" spans="1:12" x14ac:dyDescent="0.2">
      <c r="A58" s="302"/>
      <c r="B58" s="316"/>
      <c r="C58" s="316"/>
      <c r="D58" s="314"/>
      <c r="E58" s="328"/>
      <c r="F58" s="328"/>
      <c r="G58" s="328"/>
      <c r="H58" s="328"/>
      <c r="I58" s="7"/>
    </row>
    <row r="59" spans="1:12" x14ac:dyDescent="0.25">
      <c r="A59" s="302"/>
      <c r="B59" s="317" t="s">
        <v>513</v>
      </c>
      <c r="C59" s="317" t="s">
        <v>930</v>
      </c>
      <c r="D59" s="301" t="s">
        <v>919</v>
      </c>
      <c r="E59" s="304" t="s">
        <v>947</v>
      </c>
      <c r="F59" s="304" t="s">
        <v>4112</v>
      </c>
      <c r="G59" s="304" t="s">
        <v>4131</v>
      </c>
      <c r="H59" s="304" t="s">
        <v>897</v>
      </c>
      <c r="I59" s="33"/>
    </row>
    <row r="60" spans="1:12" x14ac:dyDescent="0.25">
      <c r="A60" s="302"/>
      <c r="B60" s="317"/>
      <c r="C60" s="317"/>
      <c r="D60" s="303"/>
      <c r="E60" s="304"/>
      <c r="F60" s="304"/>
      <c r="G60" s="304"/>
      <c r="H60" s="304"/>
      <c r="I60" s="33"/>
    </row>
    <row r="61" spans="1:12" ht="15" customHeight="1" x14ac:dyDescent="0.25">
      <c r="A61" s="302"/>
      <c r="B61" s="317"/>
      <c r="C61" s="317"/>
      <c r="D61" s="301" t="s">
        <v>920</v>
      </c>
      <c r="E61" s="304" t="s">
        <v>948</v>
      </c>
      <c r="F61" s="304" t="s">
        <v>4112</v>
      </c>
      <c r="G61" s="304" t="s">
        <v>4131</v>
      </c>
      <c r="H61" s="304"/>
      <c r="I61" s="33"/>
    </row>
    <row r="62" spans="1:12" x14ac:dyDescent="0.25">
      <c r="A62" s="302"/>
      <c r="B62" s="317"/>
      <c r="C62" s="317"/>
      <c r="D62" s="303"/>
      <c r="E62" s="304"/>
      <c r="F62" s="304"/>
      <c r="G62" s="304"/>
      <c r="H62" s="304"/>
      <c r="I62" s="33"/>
    </row>
    <row r="63" spans="1:12" ht="15" customHeight="1" x14ac:dyDescent="0.25">
      <c r="A63" s="302"/>
      <c r="B63" s="317"/>
      <c r="C63" s="317"/>
      <c r="D63" s="301" t="s">
        <v>921</v>
      </c>
      <c r="E63" s="304" t="s">
        <v>949</v>
      </c>
      <c r="F63" s="304" t="s">
        <v>4112</v>
      </c>
      <c r="G63" s="304" t="s">
        <v>4133</v>
      </c>
      <c r="H63" s="304" t="s">
        <v>4132</v>
      </c>
      <c r="I63" s="33"/>
    </row>
    <row r="64" spans="1:12" x14ac:dyDescent="0.25">
      <c r="A64" s="302"/>
      <c r="B64" s="317"/>
      <c r="C64" s="317"/>
      <c r="D64" s="303"/>
      <c r="E64" s="304"/>
      <c r="F64" s="304"/>
      <c r="G64" s="304"/>
      <c r="H64" s="304"/>
      <c r="I64" s="33"/>
    </row>
    <row r="65" spans="1:9" ht="15" customHeight="1" x14ac:dyDescent="0.25">
      <c r="A65" s="302"/>
      <c r="B65" s="317"/>
      <c r="C65" s="317"/>
      <c r="D65" s="301" t="s">
        <v>922</v>
      </c>
      <c r="E65" s="305" t="s">
        <v>951</v>
      </c>
      <c r="F65" s="304"/>
      <c r="G65" s="304"/>
      <c r="H65" s="304"/>
      <c r="I65" s="33"/>
    </row>
    <row r="66" spans="1:9" x14ac:dyDescent="0.25">
      <c r="A66" s="302"/>
      <c r="B66" s="317"/>
      <c r="C66" s="317"/>
      <c r="D66" s="303"/>
      <c r="E66" s="306"/>
      <c r="F66" s="304"/>
      <c r="G66" s="304"/>
      <c r="H66" s="304"/>
      <c r="I66" s="33"/>
    </row>
    <row r="67" spans="1:9" ht="15" customHeight="1" x14ac:dyDescent="0.25">
      <c r="A67" s="302"/>
      <c r="B67" s="317"/>
      <c r="C67" s="317"/>
      <c r="D67" s="301" t="s">
        <v>923</v>
      </c>
      <c r="E67" s="304" t="s">
        <v>950</v>
      </c>
      <c r="F67" s="304"/>
      <c r="G67" s="304"/>
      <c r="H67" s="304"/>
      <c r="I67" s="33"/>
    </row>
    <row r="68" spans="1:9" x14ac:dyDescent="0.25">
      <c r="A68" s="302"/>
      <c r="B68" s="317"/>
      <c r="C68" s="317"/>
      <c r="D68" s="303"/>
      <c r="E68" s="304"/>
      <c r="F68" s="304"/>
      <c r="G68" s="304"/>
      <c r="H68" s="304"/>
      <c r="I68" s="33"/>
    </row>
    <row r="69" spans="1:9" ht="15" customHeight="1" x14ac:dyDescent="0.25">
      <c r="A69" s="302"/>
      <c r="B69" s="317"/>
      <c r="C69" s="317"/>
      <c r="D69" s="301" t="s">
        <v>924</v>
      </c>
      <c r="E69" s="305" t="s">
        <v>957</v>
      </c>
      <c r="F69" s="304"/>
      <c r="G69" s="304"/>
      <c r="H69" s="304"/>
      <c r="I69" s="33"/>
    </row>
    <row r="70" spans="1:9" x14ac:dyDescent="0.25">
      <c r="A70" s="302"/>
      <c r="B70" s="317"/>
      <c r="C70" s="317"/>
      <c r="D70" s="303"/>
      <c r="E70" s="306"/>
      <c r="F70" s="304"/>
      <c r="G70" s="304"/>
      <c r="H70" s="304"/>
      <c r="I70" s="33"/>
    </row>
    <row r="71" spans="1:9" ht="15" customHeight="1" x14ac:dyDescent="0.25">
      <c r="A71" s="302"/>
      <c r="B71" s="317"/>
      <c r="C71" s="317"/>
      <c r="D71" s="301" t="s">
        <v>925</v>
      </c>
      <c r="E71" s="310" t="s">
        <v>4135</v>
      </c>
      <c r="F71" s="310" t="s">
        <v>4134</v>
      </c>
      <c r="G71" s="310" t="s">
        <v>4136</v>
      </c>
      <c r="H71" s="304"/>
      <c r="I71" s="33"/>
    </row>
    <row r="72" spans="1:9" x14ac:dyDescent="0.25">
      <c r="A72" s="302"/>
      <c r="B72" s="317"/>
      <c r="C72" s="317"/>
      <c r="D72" s="303"/>
      <c r="E72" s="310"/>
      <c r="F72" s="310"/>
      <c r="G72" s="310"/>
      <c r="H72" s="304"/>
      <c r="I72" s="33"/>
    </row>
    <row r="73" spans="1:9" ht="15" customHeight="1" x14ac:dyDescent="0.25">
      <c r="A73" s="302"/>
      <c r="B73" s="317"/>
      <c r="C73" s="317"/>
      <c r="D73" s="301" t="s">
        <v>936</v>
      </c>
      <c r="E73" s="304"/>
      <c r="F73" s="304"/>
      <c r="G73" s="304"/>
      <c r="H73" s="304"/>
      <c r="I73" s="33"/>
    </row>
    <row r="74" spans="1:9" x14ac:dyDescent="0.25">
      <c r="A74" s="302"/>
      <c r="B74" s="317"/>
      <c r="C74" s="317"/>
      <c r="D74" s="303"/>
      <c r="E74" s="304"/>
      <c r="F74" s="304"/>
      <c r="G74" s="304"/>
      <c r="H74" s="304"/>
      <c r="I74" s="33"/>
    </row>
    <row r="75" spans="1:9" ht="15" customHeight="1" x14ac:dyDescent="0.25">
      <c r="A75" s="302"/>
      <c r="B75" s="317"/>
      <c r="C75" s="317"/>
      <c r="D75" s="301" t="s">
        <v>937</v>
      </c>
      <c r="E75" s="304"/>
      <c r="F75" s="304"/>
      <c r="G75" s="304"/>
      <c r="H75" s="304"/>
      <c r="I75" s="33"/>
    </row>
    <row r="76" spans="1:9" x14ac:dyDescent="0.25">
      <c r="A76" s="302"/>
      <c r="B76" s="317"/>
      <c r="C76" s="317"/>
      <c r="D76" s="303"/>
      <c r="E76" s="304"/>
      <c r="F76" s="304"/>
      <c r="G76" s="304"/>
      <c r="H76" s="304"/>
      <c r="I76" s="33"/>
    </row>
    <row r="77" spans="1:9" x14ac:dyDescent="0.2">
      <c r="A77" s="302"/>
      <c r="B77" s="318" t="s">
        <v>517</v>
      </c>
      <c r="C77" s="318" t="s">
        <v>958</v>
      </c>
      <c r="D77" s="301" t="s">
        <v>938</v>
      </c>
      <c r="E77" s="304" t="s">
        <v>898</v>
      </c>
      <c r="F77" s="304" t="s">
        <v>4137</v>
      </c>
      <c r="G77" s="304"/>
      <c r="H77" s="304" t="s">
        <v>4138</v>
      </c>
      <c r="I77" s="34"/>
    </row>
    <row r="78" spans="1:9" x14ac:dyDescent="0.2">
      <c r="A78" s="302"/>
      <c r="B78" s="318"/>
      <c r="C78" s="318"/>
      <c r="D78" s="303"/>
      <c r="E78" s="304"/>
      <c r="F78" s="304"/>
      <c r="G78" s="304"/>
      <c r="H78" s="304"/>
      <c r="I78" s="34"/>
    </row>
    <row r="79" spans="1:9" ht="15" customHeight="1" x14ac:dyDescent="0.2">
      <c r="A79" s="302"/>
      <c r="B79" s="318"/>
      <c r="C79" s="318"/>
      <c r="D79" s="301" t="s">
        <v>939</v>
      </c>
      <c r="E79" s="304" t="s">
        <v>952</v>
      </c>
      <c r="F79" s="311" t="s">
        <v>4112</v>
      </c>
      <c r="G79" s="311" t="s">
        <v>4140</v>
      </c>
      <c r="H79" s="311" t="s">
        <v>4139</v>
      </c>
      <c r="I79" s="34"/>
    </row>
    <row r="80" spans="1:9" x14ac:dyDescent="0.2">
      <c r="A80" s="302"/>
      <c r="B80" s="318"/>
      <c r="C80" s="318"/>
      <c r="D80" s="303"/>
      <c r="E80" s="304"/>
      <c r="F80" s="312"/>
      <c r="G80" s="312"/>
      <c r="H80" s="312"/>
      <c r="I80" s="34"/>
    </row>
    <row r="81" spans="1:9" ht="15" customHeight="1" x14ac:dyDescent="0.2">
      <c r="A81" s="302"/>
      <c r="B81" s="318"/>
      <c r="C81" s="318"/>
      <c r="D81" s="301" t="s">
        <v>940</v>
      </c>
      <c r="E81" s="304" t="s">
        <v>953</v>
      </c>
      <c r="F81" s="311" t="s">
        <v>4112</v>
      </c>
      <c r="G81" s="311" t="s">
        <v>4141</v>
      </c>
      <c r="H81" s="311" t="s">
        <v>4142</v>
      </c>
      <c r="I81" s="34"/>
    </row>
    <row r="82" spans="1:9" x14ac:dyDescent="0.2">
      <c r="A82" s="302"/>
      <c r="B82" s="318"/>
      <c r="C82" s="318"/>
      <c r="D82" s="303"/>
      <c r="E82" s="304"/>
      <c r="F82" s="312"/>
      <c r="G82" s="312"/>
      <c r="H82" s="312"/>
      <c r="I82" s="34"/>
    </row>
    <row r="83" spans="1:9" ht="15" customHeight="1" x14ac:dyDescent="0.2">
      <c r="A83" s="302"/>
      <c r="B83" s="318"/>
      <c r="C83" s="318"/>
      <c r="D83" s="301" t="s">
        <v>941</v>
      </c>
      <c r="E83" s="305" t="s">
        <v>954</v>
      </c>
      <c r="F83" s="311" t="s">
        <v>4112</v>
      </c>
      <c r="G83" s="311" t="s">
        <v>4144</v>
      </c>
      <c r="H83" s="311" t="s">
        <v>4143</v>
      </c>
      <c r="I83" s="35"/>
    </row>
    <row r="84" spans="1:9" x14ac:dyDescent="0.2">
      <c r="A84" s="302"/>
      <c r="B84" s="318"/>
      <c r="C84" s="318"/>
      <c r="D84" s="303"/>
      <c r="E84" s="306"/>
      <c r="F84" s="312"/>
      <c r="G84" s="312"/>
      <c r="H84" s="312"/>
      <c r="I84" s="35"/>
    </row>
    <row r="85" spans="1:9" ht="15" customHeight="1" x14ac:dyDescent="0.2">
      <c r="A85" s="302"/>
      <c r="B85" s="318"/>
      <c r="C85" s="318"/>
      <c r="D85" s="301" t="s">
        <v>942</v>
      </c>
      <c r="E85" s="304" t="s">
        <v>955</v>
      </c>
      <c r="F85" s="311" t="s">
        <v>4112</v>
      </c>
      <c r="G85" s="311"/>
      <c r="H85" s="311" t="s">
        <v>4145</v>
      </c>
      <c r="I85" s="36"/>
    </row>
    <row r="86" spans="1:9" x14ac:dyDescent="0.2">
      <c r="A86" s="302"/>
      <c r="B86" s="318"/>
      <c r="C86" s="318"/>
      <c r="D86" s="303"/>
      <c r="E86" s="304"/>
      <c r="F86" s="312"/>
      <c r="G86" s="312"/>
      <c r="H86" s="312"/>
      <c r="I86" s="36"/>
    </row>
    <row r="87" spans="1:9" ht="15" customHeight="1" x14ac:dyDescent="0.2">
      <c r="A87" s="302"/>
      <c r="B87" s="318"/>
      <c r="C87" s="318"/>
      <c r="D87" s="301" t="s">
        <v>943</v>
      </c>
      <c r="E87" s="304" t="s">
        <v>956</v>
      </c>
      <c r="F87" s="311" t="s">
        <v>4112</v>
      </c>
      <c r="G87" s="311"/>
      <c r="H87" s="311" t="s">
        <v>4146</v>
      </c>
      <c r="I87" s="36"/>
    </row>
    <row r="88" spans="1:9" x14ac:dyDescent="0.2">
      <c r="A88" s="302"/>
      <c r="B88" s="318"/>
      <c r="C88" s="318"/>
      <c r="D88" s="303"/>
      <c r="E88" s="304"/>
      <c r="F88" s="312"/>
      <c r="G88" s="312"/>
      <c r="H88" s="312"/>
      <c r="I88" s="36"/>
    </row>
    <row r="89" spans="1:9" ht="15" customHeight="1" x14ac:dyDescent="0.2">
      <c r="A89" s="302"/>
      <c r="B89" s="318"/>
      <c r="C89" s="318"/>
      <c r="D89" s="301" t="s">
        <v>944</v>
      </c>
      <c r="E89" s="311"/>
      <c r="F89" s="311"/>
      <c r="G89" s="311"/>
      <c r="H89" s="311"/>
      <c r="I89" s="36"/>
    </row>
    <row r="90" spans="1:9" x14ac:dyDescent="0.2">
      <c r="A90" s="303"/>
      <c r="B90" s="318"/>
      <c r="C90" s="318"/>
      <c r="D90" s="303"/>
      <c r="E90" s="312"/>
      <c r="F90" s="312"/>
      <c r="G90" s="312"/>
      <c r="H90" s="312"/>
      <c r="I90" s="36"/>
    </row>
    <row r="93" spans="1:9" x14ac:dyDescent="0.25">
      <c r="E93" s="3"/>
    </row>
    <row r="94" spans="1:9" x14ac:dyDescent="0.25">
      <c r="E94" s="3"/>
    </row>
  </sheetData>
  <mergeCells count="235">
    <mergeCell ref="F57:F58"/>
    <mergeCell ref="G57:G58"/>
    <mergeCell ref="E15:E16"/>
    <mergeCell ref="E21:E22"/>
    <mergeCell ref="E19:E20"/>
    <mergeCell ref="E17:E18"/>
    <mergeCell ref="E23:E24"/>
    <mergeCell ref="C15:C24"/>
    <mergeCell ref="C59:C76"/>
    <mergeCell ref="E59:E60"/>
    <mergeCell ref="E67:E68"/>
    <mergeCell ref="E69:E70"/>
    <mergeCell ref="E71:E72"/>
    <mergeCell ref="E73:E74"/>
    <mergeCell ref="E75:E76"/>
    <mergeCell ref="E33:E34"/>
    <mergeCell ref="E37:E38"/>
    <mergeCell ref="F59:F60"/>
    <mergeCell ref="G59:G60"/>
    <mergeCell ref="C25:C38"/>
    <mergeCell ref="E25:E26"/>
    <mergeCell ref="F25:F26"/>
    <mergeCell ref="G25:G26"/>
    <mergeCell ref="F37:F38"/>
    <mergeCell ref="H57:H58"/>
    <mergeCell ref="H53:H54"/>
    <mergeCell ref="E55:E56"/>
    <mergeCell ref="F55:F56"/>
    <mergeCell ref="G55:G56"/>
    <mergeCell ref="H55:H56"/>
    <mergeCell ref="H21:H22"/>
    <mergeCell ref="F23:F24"/>
    <mergeCell ref="G23:G24"/>
    <mergeCell ref="H23:H24"/>
    <mergeCell ref="E49:E50"/>
    <mergeCell ref="F49:F50"/>
    <mergeCell ref="G49:G50"/>
    <mergeCell ref="H49:H50"/>
    <mergeCell ref="E51:E52"/>
    <mergeCell ref="F51:F52"/>
    <mergeCell ref="G51:G52"/>
    <mergeCell ref="H51:H52"/>
    <mergeCell ref="E53:E54"/>
    <mergeCell ref="F53:F54"/>
    <mergeCell ref="G53:G54"/>
    <mergeCell ref="F21:F22"/>
    <mergeCell ref="G21:G22"/>
    <mergeCell ref="E57:E58"/>
    <mergeCell ref="H75:H76"/>
    <mergeCell ref="H59:H60"/>
    <mergeCell ref="E61:E62"/>
    <mergeCell ref="F61:F62"/>
    <mergeCell ref="G61:G62"/>
    <mergeCell ref="H61:H62"/>
    <mergeCell ref="D67:D68"/>
    <mergeCell ref="D69:D70"/>
    <mergeCell ref="D63:D64"/>
    <mergeCell ref="D65:D66"/>
    <mergeCell ref="D59:D60"/>
    <mergeCell ref="D61:D62"/>
    <mergeCell ref="F67:F68"/>
    <mergeCell ref="G67:G68"/>
    <mergeCell ref="H67:H68"/>
    <mergeCell ref="F69:F70"/>
    <mergeCell ref="G69:G70"/>
    <mergeCell ref="H69:H70"/>
    <mergeCell ref="F63:F64"/>
    <mergeCell ref="G63:G64"/>
    <mergeCell ref="H63:H64"/>
    <mergeCell ref="F65:F66"/>
    <mergeCell ref="G65:G66"/>
    <mergeCell ref="H65:H66"/>
    <mergeCell ref="C77:C90"/>
    <mergeCell ref="E81:E82"/>
    <mergeCell ref="F77:F78"/>
    <mergeCell ref="G77:G78"/>
    <mergeCell ref="H77:H78"/>
    <mergeCell ref="E79:E80"/>
    <mergeCell ref="F79:F80"/>
    <mergeCell ref="G79:G80"/>
    <mergeCell ref="H79:H80"/>
    <mergeCell ref="F81:F82"/>
    <mergeCell ref="G81:G82"/>
    <mergeCell ref="H81:H82"/>
    <mergeCell ref="H87:H88"/>
    <mergeCell ref="E89:E90"/>
    <mergeCell ref="F89:F90"/>
    <mergeCell ref="G89:G90"/>
    <mergeCell ref="H89:H90"/>
    <mergeCell ref="F83:F84"/>
    <mergeCell ref="G83:G84"/>
    <mergeCell ref="H83:H84"/>
    <mergeCell ref="E85:E86"/>
    <mergeCell ref="F85:F86"/>
    <mergeCell ref="G85:G86"/>
    <mergeCell ref="H85:H86"/>
    <mergeCell ref="H9:H10"/>
    <mergeCell ref="E11:E12"/>
    <mergeCell ref="F11:F12"/>
    <mergeCell ref="G11:G12"/>
    <mergeCell ref="H11:H12"/>
    <mergeCell ref="C3:C14"/>
    <mergeCell ref="E3:E4"/>
    <mergeCell ref="F3:F4"/>
    <mergeCell ref="G3:G4"/>
    <mergeCell ref="H3:H4"/>
    <mergeCell ref="E5:E6"/>
    <mergeCell ref="F5:F6"/>
    <mergeCell ref="G5:G6"/>
    <mergeCell ref="H5:H6"/>
    <mergeCell ref="E7:E8"/>
    <mergeCell ref="F7:F8"/>
    <mergeCell ref="G7:G8"/>
    <mergeCell ref="H7:H8"/>
    <mergeCell ref="E9:E10"/>
    <mergeCell ref="F9:F10"/>
    <mergeCell ref="G9:G10"/>
    <mergeCell ref="F13:F14"/>
    <mergeCell ref="G13:G14"/>
    <mergeCell ref="H13:H14"/>
    <mergeCell ref="E27:E28"/>
    <mergeCell ref="F27:F28"/>
    <mergeCell ref="G27:G28"/>
    <mergeCell ref="H27:H28"/>
    <mergeCell ref="E29:E30"/>
    <mergeCell ref="F29:F30"/>
    <mergeCell ref="G29:G30"/>
    <mergeCell ref="H15:H16"/>
    <mergeCell ref="F17:F18"/>
    <mergeCell ref="G17:G18"/>
    <mergeCell ref="H17:H18"/>
    <mergeCell ref="F19:F20"/>
    <mergeCell ref="G19:G20"/>
    <mergeCell ref="H19:H20"/>
    <mergeCell ref="F15:F16"/>
    <mergeCell ref="G15:G16"/>
    <mergeCell ref="G37:G38"/>
    <mergeCell ref="H37:H38"/>
    <mergeCell ref="B3:B14"/>
    <mergeCell ref="B15:B24"/>
    <mergeCell ref="B25:B38"/>
    <mergeCell ref="D29:D30"/>
    <mergeCell ref="D31:D32"/>
    <mergeCell ref="D33:D34"/>
    <mergeCell ref="D35:D36"/>
    <mergeCell ref="D37:D38"/>
    <mergeCell ref="F33:F34"/>
    <mergeCell ref="G33:G34"/>
    <mergeCell ref="H33:H34"/>
    <mergeCell ref="E35:E36"/>
    <mergeCell ref="F35:F36"/>
    <mergeCell ref="G35:G36"/>
    <mergeCell ref="H35:H36"/>
    <mergeCell ref="H29:H30"/>
    <mergeCell ref="E31:E32"/>
    <mergeCell ref="F31:F32"/>
    <mergeCell ref="G31:G32"/>
    <mergeCell ref="H31:H32"/>
    <mergeCell ref="E13:E14"/>
    <mergeCell ref="H25:H26"/>
    <mergeCell ref="D49:D50"/>
    <mergeCell ref="D51:D52"/>
    <mergeCell ref="D53:D54"/>
    <mergeCell ref="D55:D56"/>
    <mergeCell ref="D57:D58"/>
    <mergeCell ref="B49:B58"/>
    <mergeCell ref="B59:B76"/>
    <mergeCell ref="B77:B90"/>
    <mergeCell ref="D3:D4"/>
    <mergeCell ref="D5:D6"/>
    <mergeCell ref="D7:D8"/>
    <mergeCell ref="D9:D10"/>
    <mergeCell ref="D11:D12"/>
    <mergeCell ref="D13:D14"/>
    <mergeCell ref="D15:D16"/>
    <mergeCell ref="D17:D18"/>
    <mergeCell ref="D19:D20"/>
    <mergeCell ref="D21:D22"/>
    <mergeCell ref="D23:D24"/>
    <mergeCell ref="D25:D26"/>
    <mergeCell ref="D27:D28"/>
    <mergeCell ref="D71:D72"/>
    <mergeCell ref="C49:C58"/>
    <mergeCell ref="D83:D84"/>
    <mergeCell ref="D85:D86"/>
    <mergeCell ref="D87:D88"/>
    <mergeCell ref="D89:D90"/>
    <mergeCell ref="G71:G72"/>
    <mergeCell ref="D73:D74"/>
    <mergeCell ref="D75:D76"/>
    <mergeCell ref="D77:D78"/>
    <mergeCell ref="D79:D80"/>
    <mergeCell ref="D81:D82"/>
    <mergeCell ref="E87:E88"/>
    <mergeCell ref="F87:F88"/>
    <mergeCell ref="G87:G88"/>
    <mergeCell ref="F75:F76"/>
    <mergeCell ref="G75:G76"/>
    <mergeCell ref="E77:E78"/>
    <mergeCell ref="F71:F72"/>
    <mergeCell ref="C39:C48"/>
    <mergeCell ref="D39:D40"/>
    <mergeCell ref="E39:E40"/>
    <mergeCell ref="F39:F40"/>
    <mergeCell ref="G39:G40"/>
    <mergeCell ref="H39:H40"/>
    <mergeCell ref="D41:D42"/>
    <mergeCell ref="E41:E42"/>
    <mergeCell ref="F41:F42"/>
    <mergeCell ref="G41:G42"/>
    <mergeCell ref="H41:H42"/>
    <mergeCell ref="A3:A90"/>
    <mergeCell ref="E63:E64"/>
    <mergeCell ref="E65:E66"/>
    <mergeCell ref="E83:E84"/>
    <mergeCell ref="D47:D48"/>
    <mergeCell ref="E47:E48"/>
    <mergeCell ref="F47:F48"/>
    <mergeCell ref="G47:G48"/>
    <mergeCell ref="H47:H48"/>
    <mergeCell ref="D45:D46"/>
    <mergeCell ref="E45:E46"/>
    <mergeCell ref="F45:F46"/>
    <mergeCell ref="G45:G46"/>
    <mergeCell ref="H45:H46"/>
    <mergeCell ref="D43:D44"/>
    <mergeCell ref="E43:E44"/>
    <mergeCell ref="F43:F44"/>
    <mergeCell ref="G43:G44"/>
    <mergeCell ref="H43:H44"/>
    <mergeCell ref="H71:H72"/>
    <mergeCell ref="F73:F74"/>
    <mergeCell ref="G73:G74"/>
    <mergeCell ref="H73:H74"/>
    <mergeCell ref="B39:B48"/>
  </mergeCells>
  <phoneticPr fontId="14"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3F88-B444-2D4C-9C76-F6EBE7661E94}">
  <sheetPr>
    <tabColor theme="9"/>
  </sheetPr>
  <dimension ref="A1:M113"/>
  <sheetViews>
    <sheetView showGridLines="0" zoomScale="131" workbookViewId="0">
      <selection activeCell="C75" sqref="C75:C89"/>
    </sheetView>
  </sheetViews>
  <sheetFormatPr defaultColWidth="13.28515625" defaultRowHeight="15" x14ac:dyDescent="0.2"/>
  <cols>
    <col min="1" max="1" width="18.85546875" style="14" customWidth="1"/>
    <col min="2" max="2" width="7" style="14" customWidth="1"/>
    <col min="3" max="3" width="18.28515625" style="15" customWidth="1"/>
    <col min="4" max="4" width="22.85546875" style="15" customWidth="1"/>
    <col min="5" max="5" width="13.85546875" style="15" customWidth="1"/>
    <col min="6" max="6" width="7" style="15" customWidth="1"/>
    <col min="7" max="7" width="46.140625" style="15" customWidth="1"/>
    <col min="8" max="8" width="21.140625" style="15" customWidth="1"/>
    <col min="9" max="9" width="46.140625" style="15" customWidth="1"/>
    <col min="10" max="10" width="11.7109375" style="15" customWidth="1"/>
    <col min="11" max="11" width="27.85546875" style="3" customWidth="1"/>
    <col min="12" max="48" width="12" style="14" customWidth="1"/>
    <col min="49" max="256" width="13.28515625" style="14"/>
    <col min="257" max="257" width="40.28515625" style="14" customWidth="1"/>
    <col min="258" max="258" width="48.85546875" style="14" customWidth="1"/>
    <col min="259" max="259" width="53.28515625" style="14" customWidth="1"/>
    <col min="260" max="260" width="56.28515625" style="14" customWidth="1"/>
    <col min="261" max="304" width="12" style="14" customWidth="1"/>
    <col min="305" max="512" width="13.28515625" style="14"/>
    <col min="513" max="513" width="40.28515625" style="14" customWidth="1"/>
    <col min="514" max="514" width="48.85546875" style="14" customWidth="1"/>
    <col min="515" max="515" width="53.28515625" style="14" customWidth="1"/>
    <col min="516" max="516" width="56.28515625" style="14" customWidth="1"/>
    <col min="517" max="560" width="12" style="14" customWidth="1"/>
    <col min="561" max="768" width="13.28515625" style="14"/>
    <col min="769" max="769" width="40.28515625" style="14" customWidth="1"/>
    <col min="770" max="770" width="48.85546875" style="14" customWidth="1"/>
    <col min="771" max="771" width="53.28515625" style="14" customWidth="1"/>
    <col min="772" max="772" width="56.28515625" style="14" customWidth="1"/>
    <col min="773" max="816" width="12" style="14" customWidth="1"/>
    <col min="817" max="1024" width="13.28515625" style="14"/>
    <col min="1025" max="1025" width="40.28515625" style="14" customWidth="1"/>
    <col min="1026" max="1026" width="48.85546875" style="14" customWidth="1"/>
    <col min="1027" max="1027" width="53.28515625" style="14" customWidth="1"/>
    <col min="1028" max="1028" width="56.28515625" style="14" customWidth="1"/>
    <col min="1029" max="1072" width="12" style="14" customWidth="1"/>
    <col min="1073" max="1280" width="13.28515625" style="14"/>
    <col min="1281" max="1281" width="40.28515625" style="14" customWidth="1"/>
    <col min="1282" max="1282" width="48.85546875" style="14" customWidth="1"/>
    <col min="1283" max="1283" width="53.28515625" style="14" customWidth="1"/>
    <col min="1284" max="1284" width="56.28515625" style="14" customWidth="1"/>
    <col min="1285" max="1328" width="12" style="14" customWidth="1"/>
    <col min="1329" max="1536" width="13.28515625" style="14"/>
    <col min="1537" max="1537" width="40.28515625" style="14" customWidth="1"/>
    <col min="1538" max="1538" width="48.85546875" style="14" customWidth="1"/>
    <col min="1539" max="1539" width="53.28515625" style="14" customWidth="1"/>
    <col min="1540" max="1540" width="56.28515625" style="14" customWidth="1"/>
    <col min="1541" max="1584" width="12" style="14" customWidth="1"/>
    <col min="1585" max="1792" width="13.28515625" style="14"/>
    <col min="1793" max="1793" width="40.28515625" style="14" customWidth="1"/>
    <col min="1794" max="1794" width="48.85546875" style="14" customWidth="1"/>
    <col min="1795" max="1795" width="53.28515625" style="14" customWidth="1"/>
    <col min="1796" max="1796" width="56.28515625" style="14" customWidth="1"/>
    <col min="1797" max="1840" width="12" style="14" customWidth="1"/>
    <col min="1841" max="2048" width="13.28515625" style="14"/>
    <col min="2049" max="2049" width="40.28515625" style="14" customWidth="1"/>
    <col min="2050" max="2050" width="48.85546875" style="14" customWidth="1"/>
    <col min="2051" max="2051" width="53.28515625" style="14" customWidth="1"/>
    <col min="2052" max="2052" width="56.28515625" style="14" customWidth="1"/>
    <col min="2053" max="2096" width="12" style="14" customWidth="1"/>
    <col min="2097" max="2304" width="13.28515625" style="14"/>
    <col min="2305" max="2305" width="40.28515625" style="14" customWidth="1"/>
    <col min="2306" max="2306" width="48.85546875" style="14" customWidth="1"/>
    <col min="2307" max="2307" width="53.28515625" style="14" customWidth="1"/>
    <col min="2308" max="2308" width="56.28515625" style="14" customWidth="1"/>
    <col min="2309" max="2352" width="12" style="14" customWidth="1"/>
    <col min="2353" max="2560" width="13.28515625" style="14"/>
    <col min="2561" max="2561" width="40.28515625" style="14" customWidth="1"/>
    <col min="2562" max="2562" width="48.85546875" style="14" customWidth="1"/>
    <col min="2563" max="2563" width="53.28515625" style="14" customWidth="1"/>
    <col min="2564" max="2564" width="56.28515625" style="14" customWidth="1"/>
    <col min="2565" max="2608" width="12" style="14" customWidth="1"/>
    <col min="2609" max="2816" width="13.28515625" style="14"/>
    <col min="2817" max="2817" width="40.28515625" style="14" customWidth="1"/>
    <col min="2818" max="2818" width="48.85546875" style="14" customWidth="1"/>
    <col min="2819" max="2819" width="53.28515625" style="14" customWidth="1"/>
    <col min="2820" max="2820" width="56.28515625" style="14" customWidth="1"/>
    <col min="2821" max="2864" width="12" style="14" customWidth="1"/>
    <col min="2865" max="3072" width="13.28515625" style="14"/>
    <col min="3073" max="3073" width="40.28515625" style="14" customWidth="1"/>
    <col min="3074" max="3074" width="48.85546875" style="14" customWidth="1"/>
    <col min="3075" max="3075" width="53.28515625" style="14" customWidth="1"/>
    <col min="3076" max="3076" width="56.28515625" style="14" customWidth="1"/>
    <col min="3077" max="3120" width="12" style="14" customWidth="1"/>
    <col min="3121" max="3328" width="13.28515625" style="14"/>
    <col min="3329" max="3329" width="40.28515625" style="14" customWidth="1"/>
    <col min="3330" max="3330" width="48.85546875" style="14" customWidth="1"/>
    <col min="3331" max="3331" width="53.28515625" style="14" customWidth="1"/>
    <col min="3332" max="3332" width="56.28515625" style="14" customWidth="1"/>
    <col min="3333" max="3376" width="12" style="14" customWidth="1"/>
    <col min="3377" max="3584" width="13.28515625" style="14"/>
    <col min="3585" max="3585" width="40.28515625" style="14" customWidth="1"/>
    <col min="3586" max="3586" width="48.85546875" style="14" customWidth="1"/>
    <col min="3587" max="3587" width="53.28515625" style="14" customWidth="1"/>
    <col min="3588" max="3588" width="56.28515625" style="14" customWidth="1"/>
    <col min="3589" max="3632" width="12" style="14" customWidth="1"/>
    <col min="3633" max="3840" width="13.28515625" style="14"/>
    <col min="3841" max="3841" width="40.28515625" style="14" customWidth="1"/>
    <col min="3842" max="3842" width="48.85546875" style="14" customWidth="1"/>
    <col min="3843" max="3843" width="53.28515625" style="14" customWidth="1"/>
    <col min="3844" max="3844" width="56.28515625" style="14" customWidth="1"/>
    <col min="3845" max="3888" width="12" style="14" customWidth="1"/>
    <col min="3889" max="4096" width="13.28515625" style="14"/>
    <col min="4097" max="4097" width="40.28515625" style="14" customWidth="1"/>
    <col min="4098" max="4098" width="48.85546875" style="14" customWidth="1"/>
    <col min="4099" max="4099" width="53.28515625" style="14" customWidth="1"/>
    <col min="4100" max="4100" width="56.28515625" style="14" customWidth="1"/>
    <col min="4101" max="4144" width="12" style="14" customWidth="1"/>
    <col min="4145" max="4352" width="13.28515625" style="14"/>
    <col min="4353" max="4353" width="40.28515625" style="14" customWidth="1"/>
    <col min="4354" max="4354" width="48.85546875" style="14" customWidth="1"/>
    <col min="4355" max="4355" width="53.28515625" style="14" customWidth="1"/>
    <col min="4356" max="4356" width="56.28515625" style="14" customWidth="1"/>
    <col min="4357" max="4400" width="12" style="14" customWidth="1"/>
    <col min="4401" max="4608" width="13.28515625" style="14"/>
    <col min="4609" max="4609" width="40.28515625" style="14" customWidth="1"/>
    <col min="4610" max="4610" width="48.85546875" style="14" customWidth="1"/>
    <col min="4611" max="4611" width="53.28515625" style="14" customWidth="1"/>
    <col min="4612" max="4612" width="56.28515625" style="14" customWidth="1"/>
    <col min="4613" max="4656" width="12" style="14" customWidth="1"/>
    <col min="4657" max="4864" width="13.28515625" style="14"/>
    <col min="4865" max="4865" width="40.28515625" style="14" customWidth="1"/>
    <col min="4866" max="4866" width="48.85546875" style="14" customWidth="1"/>
    <col min="4867" max="4867" width="53.28515625" style="14" customWidth="1"/>
    <col min="4868" max="4868" width="56.28515625" style="14" customWidth="1"/>
    <col min="4869" max="4912" width="12" style="14" customWidth="1"/>
    <col min="4913" max="5120" width="13.28515625" style="14"/>
    <col min="5121" max="5121" width="40.28515625" style="14" customWidth="1"/>
    <col min="5122" max="5122" width="48.85546875" style="14" customWidth="1"/>
    <col min="5123" max="5123" width="53.28515625" style="14" customWidth="1"/>
    <col min="5124" max="5124" width="56.28515625" style="14" customWidth="1"/>
    <col min="5125" max="5168" width="12" style="14" customWidth="1"/>
    <col min="5169" max="5376" width="13.28515625" style="14"/>
    <col min="5377" max="5377" width="40.28515625" style="14" customWidth="1"/>
    <col min="5378" max="5378" width="48.85546875" style="14" customWidth="1"/>
    <col min="5379" max="5379" width="53.28515625" style="14" customWidth="1"/>
    <col min="5380" max="5380" width="56.28515625" style="14" customWidth="1"/>
    <col min="5381" max="5424" width="12" style="14" customWidth="1"/>
    <col min="5425" max="5632" width="13.28515625" style="14"/>
    <col min="5633" max="5633" width="40.28515625" style="14" customWidth="1"/>
    <col min="5634" max="5634" width="48.85546875" style="14" customWidth="1"/>
    <col min="5635" max="5635" width="53.28515625" style="14" customWidth="1"/>
    <col min="5636" max="5636" width="56.28515625" style="14" customWidth="1"/>
    <col min="5637" max="5680" width="12" style="14" customWidth="1"/>
    <col min="5681" max="5888" width="13.28515625" style="14"/>
    <col min="5889" max="5889" width="40.28515625" style="14" customWidth="1"/>
    <col min="5890" max="5890" width="48.85546875" style="14" customWidth="1"/>
    <col min="5891" max="5891" width="53.28515625" style="14" customWidth="1"/>
    <col min="5892" max="5892" width="56.28515625" style="14" customWidth="1"/>
    <col min="5893" max="5936" width="12" style="14" customWidth="1"/>
    <col min="5937" max="6144" width="13.28515625" style="14"/>
    <col min="6145" max="6145" width="40.28515625" style="14" customWidth="1"/>
    <col min="6146" max="6146" width="48.85546875" style="14" customWidth="1"/>
    <col min="6147" max="6147" width="53.28515625" style="14" customWidth="1"/>
    <col min="6148" max="6148" width="56.28515625" style="14" customWidth="1"/>
    <col min="6149" max="6192" width="12" style="14" customWidth="1"/>
    <col min="6193" max="6400" width="13.28515625" style="14"/>
    <col min="6401" max="6401" width="40.28515625" style="14" customWidth="1"/>
    <col min="6402" max="6402" width="48.85546875" style="14" customWidth="1"/>
    <col min="6403" max="6403" width="53.28515625" style="14" customWidth="1"/>
    <col min="6404" max="6404" width="56.28515625" style="14" customWidth="1"/>
    <col min="6405" max="6448" width="12" style="14" customWidth="1"/>
    <col min="6449" max="6656" width="13.28515625" style="14"/>
    <col min="6657" max="6657" width="40.28515625" style="14" customWidth="1"/>
    <col min="6658" max="6658" width="48.85546875" style="14" customWidth="1"/>
    <col min="6659" max="6659" width="53.28515625" style="14" customWidth="1"/>
    <col min="6660" max="6660" width="56.28515625" style="14" customWidth="1"/>
    <col min="6661" max="6704" width="12" style="14" customWidth="1"/>
    <col min="6705" max="6912" width="13.28515625" style="14"/>
    <col min="6913" max="6913" width="40.28515625" style="14" customWidth="1"/>
    <col min="6914" max="6914" width="48.85546875" style="14" customWidth="1"/>
    <col min="6915" max="6915" width="53.28515625" style="14" customWidth="1"/>
    <col min="6916" max="6916" width="56.28515625" style="14" customWidth="1"/>
    <col min="6917" max="6960" width="12" style="14" customWidth="1"/>
    <col min="6961" max="7168" width="13.28515625" style="14"/>
    <col min="7169" max="7169" width="40.28515625" style="14" customWidth="1"/>
    <col min="7170" max="7170" width="48.85546875" style="14" customWidth="1"/>
    <col min="7171" max="7171" width="53.28515625" style="14" customWidth="1"/>
    <col min="7172" max="7172" width="56.28515625" style="14" customWidth="1"/>
    <col min="7173" max="7216" width="12" style="14" customWidth="1"/>
    <col min="7217" max="7424" width="13.28515625" style="14"/>
    <col min="7425" max="7425" width="40.28515625" style="14" customWidth="1"/>
    <col min="7426" max="7426" width="48.85546875" style="14" customWidth="1"/>
    <col min="7427" max="7427" width="53.28515625" style="14" customWidth="1"/>
    <col min="7428" max="7428" width="56.28515625" style="14" customWidth="1"/>
    <col min="7429" max="7472" width="12" style="14" customWidth="1"/>
    <col min="7473" max="7680" width="13.28515625" style="14"/>
    <col min="7681" max="7681" width="40.28515625" style="14" customWidth="1"/>
    <col min="7682" max="7682" width="48.85546875" style="14" customWidth="1"/>
    <col min="7683" max="7683" width="53.28515625" style="14" customWidth="1"/>
    <col min="7684" max="7684" width="56.28515625" style="14" customWidth="1"/>
    <col min="7685" max="7728" width="12" style="14" customWidth="1"/>
    <col min="7729" max="7936" width="13.28515625" style="14"/>
    <col min="7937" max="7937" width="40.28515625" style="14" customWidth="1"/>
    <col min="7938" max="7938" width="48.85546875" style="14" customWidth="1"/>
    <col min="7939" max="7939" width="53.28515625" style="14" customWidth="1"/>
    <col min="7940" max="7940" width="56.28515625" style="14" customWidth="1"/>
    <col min="7941" max="7984" width="12" style="14" customWidth="1"/>
    <col min="7985" max="8192" width="13.28515625" style="14"/>
    <col min="8193" max="8193" width="40.28515625" style="14" customWidth="1"/>
    <col min="8194" max="8194" width="48.85546875" style="14" customWidth="1"/>
    <col min="8195" max="8195" width="53.28515625" style="14" customWidth="1"/>
    <col min="8196" max="8196" width="56.28515625" style="14" customWidth="1"/>
    <col min="8197" max="8240" width="12" style="14" customWidth="1"/>
    <col min="8241" max="8448" width="13.28515625" style="14"/>
    <col min="8449" max="8449" width="40.28515625" style="14" customWidth="1"/>
    <col min="8450" max="8450" width="48.85546875" style="14" customWidth="1"/>
    <col min="8451" max="8451" width="53.28515625" style="14" customWidth="1"/>
    <col min="8452" max="8452" width="56.28515625" style="14" customWidth="1"/>
    <col min="8453" max="8496" width="12" style="14" customWidth="1"/>
    <col min="8497" max="8704" width="13.28515625" style="14"/>
    <col min="8705" max="8705" width="40.28515625" style="14" customWidth="1"/>
    <col min="8706" max="8706" width="48.85546875" style="14" customWidth="1"/>
    <col min="8707" max="8707" width="53.28515625" style="14" customWidth="1"/>
    <col min="8708" max="8708" width="56.28515625" style="14" customWidth="1"/>
    <col min="8709" max="8752" width="12" style="14" customWidth="1"/>
    <col min="8753" max="8960" width="13.28515625" style="14"/>
    <col min="8961" max="8961" width="40.28515625" style="14" customWidth="1"/>
    <col min="8962" max="8962" width="48.85546875" style="14" customWidth="1"/>
    <col min="8963" max="8963" width="53.28515625" style="14" customWidth="1"/>
    <col min="8964" max="8964" width="56.28515625" style="14" customWidth="1"/>
    <col min="8965" max="9008" width="12" style="14" customWidth="1"/>
    <col min="9009" max="9216" width="13.28515625" style="14"/>
    <col min="9217" max="9217" width="40.28515625" style="14" customWidth="1"/>
    <col min="9218" max="9218" width="48.85546875" style="14" customWidth="1"/>
    <col min="9219" max="9219" width="53.28515625" style="14" customWidth="1"/>
    <col min="9220" max="9220" width="56.28515625" style="14" customWidth="1"/>
    <col min="9221" max="9264" width="12" style="14" customWidth="1"/>
    <col min="9265" max="9472" width="13.28515625" style="14"/>
    <col min="9473" max="9473" width="40.28515625" style="14" customWidth="1"/>
    <col min="9474" max="9474" width="48.85546875" style="14" customWidth="1"/>
    <col min="9475" max="9475" width="53.28515625" style="14" customWidth="1"/>
    <col min="9476" max="9476" width="56.28515625" style="14" customWidth="1"/>
    <col min="9477" max="9520" width="12" style="14" customWidth="1"/>
    <col min="9521" max="9728" width="13.28515625" style="14"/>
    <col min="9729" max="9729" width="40.28515625" style="14" customWidth="1"/>
    <col min="9730" max="9730" width="48.85546875" style="14" customWidth="1"/>
    <col min="9731" max="9731" width="53.28515625" style="14" customWidth="1"/>
    <col min="9732" max="9732" width="56.28515625" style="14" customWidth="1"/>
    <col min="9733" max="9776" width="12" style="14" customWidth="1"/>
    <col min="9777" max="9984" width="13.28515625" style="14"/>
    <col min="9985" max="9985" width="40.28515625" style="14" customWidth="1"/>
    <col min="9986" max="9986" width="48.85546875" style="14" customWidth="1"/>
    <col min="9987" max="9987" width="53.28515625" style="14" customWidth="1"/>
    <col min="9988" max="9988" width="56.28515625" style="14" customWidth="1"/>
    <col min="9989" max="10032" width="12" style="14" customWidth="1"/>
    <col min="10033" max="10240" width="13.28515625" style="14"/>
    <col min="10241" max="10241" width="40.28515625" style="14" customWidth="1"/>
    <col min="10242" max="10242" width="48.85546875" style="14" customWidth="1"/>
    <col min="10243" max="10243" width="53.28515625" style="14" customWidth="1"/>
    <col min="10244" max="10244" width="56.28515625" style="14" customWidth="1"/>
    <col min="10245" max="10288" width="12" style="14" customWidth="1"/>
    <col min="10289" max="10496" width="13.28515625" style="14"/>
    <col min="10497" max="10497" width="40.28515625" style="14" customWidth="1"/>
    <col min="10498" max="10498" width="48.85546875" style="14" customWidth="1"/>
    <col min="10499" max="10499" width="53.28515625" style="14" customWidth="1"/>
    <col min="10500" max="10500" width="56.28515625" style="14" customWidth="1"/>
    <col min="10501" max="10544" width="12" style="14" customWidth="1"/>
    <col min="10545" max="10752" width="13.28515625" style="14"/>
    <col min="10753" max="10753" width="40.28515625" style="14" customWidth="1"/>
    <col min="10754" max="10754" width="48.85546875" style="14" customWidth="1"/>
    <col min="10755" max="10755" width="53.28515625" style="14" customWidth="1"/>
    <col min="10756" max="10756" width="56.28515625" style="14" customWidth="1"/>
    <col min="10757" max="10800" width="12" style="14" customWidth="1"/>
    <col min="10801" max="11008" width="13.28515625" style="14"/>
    <col min="11009" max="11009" width="40.28515625" style="14" customWidth="1"/>
    <col min="11010" max="11010" width="48.85546875" style="14" customWidth="1"/>
    <col min="11011" max="11011" width="53.28515625" style="14" customWidth="1"/>
    <col min="11012" max="11012" width="56.28515625" style="14" customWidth="1"/>
    <col min="11013" max="11056" width="12" style="14" customWidth="1"/>
    <col min="11057" max="11264" width="13.28515625" style="14"/>
    <col min="11265" max="11265" width="40.28515625" style="14" customWidth="1"/>
    <col min="11266" max="11266" width="48.85546875" style="14" customWidth="1"/>
    <col min="11267" max="11267" width="53.28515625" style="14" customWidth="1"/>
    <col min="11268" max="11268" width="56.28515625" style="14" customWidth="1"/>
    <col min="11269" max="11312" width="12" style="14" customWidth="1"/>
    <col min="11313" max="11520" width="13.28515625" style="14"/>
    <col min="11521" max="11521" width="40.28515625" style="14" customWidth="1"/>
    <col min="11522" max="11522" width="48.85546875" style="14" customWidth="1"/>
    <col min="11523" max="11523" width="53.28515625" style="14" customWidth="1"/>
    <col min="11524" max="11524" width="56.28515625" style="14" customWidth="1"/>
    <col min="11525" max="11568" width="12" style="14" customWidth="1"/>
    <col min="11569" max="11776" width="13.28515625" style="14"/>
    <col min="11777" max="11777" width="40.28515625" style="14" customWidth="1"/>
    <col min="11778" max="11778" width="48.85546875" style="14" customWidth="1"/>
    <col min="11779" max="11779" width="53.28515625" style="14" customWidth="1"/>
    <col min="11780" max="11780" width="56.28515625" style="14" customWidth="1"/>
    <col min="11781" max="11824" width="12" style="14" customWidth="1"/>
    <col min="11825" max="12032" width="13.28515625" style="14"/>
    <col min="12033" max="12033" width="40.28515625" style="14" customWidth="1"/>
    <col min="12034" max="12034" width="48.85546875" style="14" customWidth="1"/>
    <col min="12035" max="12035" width="53.28515625" style="14" customWidth="1"/>
    <col min="12036" max="12036" width="56.28515625" style="14" customWidth="1"/>
    <col min="12037" max="12080" width="12" style="14" customWidth="1"/>
    <col min="12081" max="12288" width="13.28515625" style="14"/>
    <col min="12289" max="12289" width="40.28515625" style="14" customWidth="1"/>
    <col min="12290" max="12290" width="48.85546875" style="14" customWidth="1"/>
    <col min="12291" max="12291" width="53.28515625" style="14" customWidth="1"/>
    <col min="12292" max="12292" width="56.28515625" style="14" customWidth="1"/>
    <col min="12293" max="12336" width="12" style="14" customWidth="1"/>
    <col min="12337" max="12544" width="13.28515625" style="14"/>
    <col min="12545" max="12545" width="40.28515625" style="14" customWidth="1"/>
    <col min="12546" max="12546" width="48.85546875" style="14" customWidth="1"/>
    <col min="12547" max="12547" width="53.28515625" style="14" customWidth="1"/>
    <col min="12548" max="12548" width="56.28515625" style="14" customWidth="1"/>
    <col min="12549" max="12592" width="12" style="14" customWidth="1"/>
    <col min="12593" max="12800" width="13.28515625" style="14"/>
    <col min="12801" max="12801" width="40.28515625" style="14" customWidth="1"/>
    <col min="12802" max="12802" width="48.85546875" style="14" customWidth="1"/>
    <col min="12803" max="12803" width="53.28515625" style="14" customWidth="1"/>
    <col min="12804" max="12804" width="56.28515625" style="14" customWidth="1"/>
    <col min="12805" max="12848" width="12" style="14" customWidth="1"/>
    <col min="12849" max="13056" width="13.28515625" style="14"/>
    <col min="13057" max="13057" width="40.28515625" style="14" customWidth="1"/>
    <col min="13058" max="13058" width="48.85546875" style="14" customWidth="1"/>
    <col min="13059" max="13059" width="53.28515625" style="14" customWidth="1"/>
    <col min="13060" max="13060" width="56.28515625" style="14" customWidth="1"/>
    <col min="13061" max="13104" width="12" style="14" customWidth="1"/>
    <col min="13105" max="13312" width="13.28515625" style="14"/>
    <col min="13313" max="13313" width="40.28515625" style="14" customWidth="1"/>
    <col min="13314" max="13314" width="48.85546875" style="14" customWidth="1"/>
    <col min="13315" max="13315" width="53.28515625" style="14" customWidth="1"/>
    <col min="13316" max="13316" width="56.28515625" style="14" customWidth="1"/>
    <col min="13317" max="13360" width="12" style="14" customWidth="1"/>
    <col min="13361" max="13568" width="13.28515625" style="14"/>
    <col min="13569" max="13569" width="40.28515625" style="14" customWidth="1"/>
    <col min="13570" max="13570" width="48.85546875" style="14" customWidth="1"/>
    <col min="13571" max="13571" width="53.28515625" style="14" customWidth="1"/>
    <col min="13572" max="13572" width="56.28515625" style="14" customWidth="1"/>
    <col min="13573" max="13616" width="12" style="14" customWidth="1"/>
    <col min="13617" max="13824" width="13.28515625" style="14"/>
    <col min="13825" max="13825" width="40.28515625" style="14" customWidth="1"/>
    <col min="13826" max="13826" width="48.85546875" style="14" customWidth="1"/>
    <col min="13827" max="13827" width="53.28515625" style="14" customWidth="1"/>
    <col min="13828" max="13828" width="56.28515625" style="14" customWidth="1"/>
    <col min="13829" max="13872" width="12" style="14" customWidth="1"/>
    <col min="13873" max="14080" width="13.28515625" style="14"/>
    <col min="14081" max="14081" width="40.28515625" style="14" customWidth="1"/>
    <col min="14082" max="14082" width="48.85546875" style="14" customWidth="1"/>
    <col min="14083" max="14083" width="53.28515625" style="14" customWidth="1"/>
    <col min="14084" max="14084" width="56.28515625" style="14" customWidth="1"/>
    <col min="14085" max="14128" width="12" style="14" customWidth="1"/>
    <col min="14129" max="14336" width="13.28515625" style="14"/>
    <col min="14337" max="14337" width="40.28515625" style="14" customWidth="1"/>
    <col min="14338" max="14338" width="48.85546875" style="14" customWidth="1"/>
    <col min="14339" max="14339" width="53.28515625" style="14" customWidth="1"/>
    <col min="14340" max="14340" width="56.28515625" style="14" customWidth="1"/>
    <col min="14341" max="14384" width="12" style="14" customWidth="1"/>
    <col min="14385" max="14592" width="13.28515625" style="14"/>
    <col min="14593" max="14593" width="40.28515625" style="14" customWidth="1"/>
    <col min="14594" max="14594" width="48.85546875" style="14" customWidth="1"/>
    <col min="14595" max="14595" width="53.28515625" style="14" customWidth="1"/>
    <col min="14596" max="14596" width="56.28515625" style="14" customWidth="1"/>
    <col min="14597" max="14640" width="12" style="14" customWidth="1"/>
    <col min="14641" max="14848" width="13.28515625" style="14"/>
    <col min="14849" max="14849" width="40.28515625" style="14" customWidth="1"/>
    <col min="14850" max="14850" width="48.85546875" style="14" customWidth="1"/>
    <col min="14851" max="14851" width="53.28515625" style="14" customWidth="1"/>
    <col min="14852" max="14852" width="56.28515625" style="14" customWidth="1"/>
    <col min="14853" max="14896" width="12" style="14" customWidth="1"/>
    <col min="14897" max="15104" width="13.28515625" style="14"/>
    <col min="15105" max="15105" width="40.28515625" style="14" customWidth="1"/>
    <col min="15106" max="15106" width="48.85546875" style="14" customWidth="1"/>
    <col min="15107" max="15107" width="53.28515625" style="14" customWidth="1"/>
    <col min="15108" max="15108" width="56.28515625" style="14" customWidth="1"/>
    <col min="15109" max="15152" width="12" style="14" customWidth="1"/>
    <col min="15153" max="15360" width="13.28515625" style="14"/>
    <col min="15361" max="15361" width="40.28515625" style="14" customWidth="1"/>
    <col min="15362" max="15362" width="48.85546875" style="14" customWidth="1"/>
    <col min="15363" max="15363" width="53.28515625" style="14" customWidth="1"/>
    <col min="15364" max="15364" width="56.28515625" style="14" customWidth="1"/>
    <col min="15365" max="15408" width="12" style="14" customWidth="1"/>
    <col min="15409" max="15616" width="13.28515625" style="14"/>
    <col min="15617" max="15617" width="40.28515625" style="14" customWidth="1"/>
    <col min="15618" max="15618" width="48.85546875" style="14" customWidth="1"/>
    <col min="15619" max="15619" width="53.28515625" style="14" customWidth="1"/>
    <col min="15620" max="15620" width="56.28515625" style="14" customWidth="1"/>
    <col min="15621" max="15664" width="12" style="14" customWidth="1"/>
    <col min="15665" max="15872" width="13.28515625" style="14"/>
    <col min="15873" max="15873" width="40.28515625" style="14" customWidth="1"/>
    <col min="15874" max="15874" width="48.85546875" style="14" customWidth="1"/>
    <col min="15875" max="15875" width="53.28515625" style="14" customWidth="1"/>
    <col min="15876" max="15876" width="56.28515625" style="14" customWidth="1"/>
    <col min="15877" max="15920" width="12" style="14" customWidth="1"/>
    <col min="15921" max="16128" width="13.28515625" style="14"/>
    <col min="16129" max="16129" width="40.28515625" style="14" customWidth="1"/>
    <col min="16130" max="16130" width="48.85546875" style="14" customWidth="1"/>
    <col min="16131" max="16131" width="53.28515625" style="14" customWidth="1"/>
    <col min="16132" max="16132" width="56.28515625" style="14" customWidth="1"/>
    <col min="16133" max="16176" width="12" style="14" customWidth="1"/>
    <col min="16177" max="16384" width="13.28515625" style="14"/>
  </cols>
  <sheetData>
    <row r="1" spans="1:13" ht="20.100000000000001" customHeight="1" x14ac:dyDescent="0.2">
      <c r="A1" s="18"/>
      <c r="B1" s="18"/>
      <c r="C1" s="19"/>
      <c r="D1" s="19"/>
      <c r="E1" s="19"/>
      <c r="F1" s="19"/>
      <c r="G1" s="19"/>
      <c r="H1" s="19"/>
      <c r="I1" s="19"/>
      <c r="J1" s="19"/>
    </row>
    <row r="2" spans="1:13" s="13" customFormat="1" ht="30" x14ac:dyDescent="0.2">
      <c r="A2" s="11" t="s">
        <v>4</v>
      </c>
      <c r="B2" s="11" t="s">
        <v>1050</v>
      </c>
      <c r="C2" s="12" t="s">
        <v>5</v>
      </c>
      <c r="D2" s="12" t="s">
        <v>185</v>
      </c>
      <c r="E2" s="12" t="s">
        <v>4097</v>
      </c>
      <c r="F2" s="12" t="s">
        <v>1049</v>
      </c>
      <c r="G2" s="12" t="s">
        <v>6</v>
      </c>
      <c r="H2" s="12" t="s">
        <v>1038</v>
      </c>
      <c r="I2" s="12" t="s">
        <v>1039</v>
      </c>
      <c r="J2" s="12" t="s">
        <v>1051</v>
      </c>
      <c r="K2" s="4" t="s">
        <v>7</v>
      </c>
    </row>
    <row r="3" spans="1:13" ht="30" x14ac:dyDescent="0.2">
      <c r="A3" s="338" t="s">
        <v>4767</v>
      </c>
      <c r="B3" s="288" t="s">
        <v>959</v>
      </c>
      <c r="C3" s="337" t="s">
        <v>3149</v>
      </c>
      <c r="D3" s="337"/>
      <c r="E3" s="337" t="s">
        <v>515</v>
      </c>
      <c r="F3" s="288" t="s">
        <v>964</v>
      </c>
      <c r="G3" s="337" t="s">
        <v>3144</v>
      </c>
      <c r="H3" s="339" t="s">
        <v>511</v>
      </c>
      <c r="I3" s="345" t="s">
        <v>3162</v>
      </c>
      <c r="J3" s="168"/>
      <c r="K3" s="7"/>
      <c r="L3" s="129" t="s">
        <v>3162</v>
      </c>
    </row>
    <row r="4" spans="1:13" x14ac:dyDescent="0.2">
      <c r="A4" s="337"/>
      <c r="B4" s="288"/>
      <c r="C4" s="337"/>
      <c r="D4" s="337"/>
      <c r="E4" s="337"/>
      <c r="F4" s="288"/>
      <c r="G4" s="337"/>
      <c r="H4" s="339"/>
      <c r="I4" s="345"/>
      <c r="J4" s="168"/>
      <c r="K4" s="7"/>
      <c r="L4" s="129"/>
    </row>
    <row r="5" spans="1:13" x14ac:dyDescent="0.2">
      <c r="A5" s="273"/>
      <c r="B5" s="273"/>
      <c r="C5" s="273"/>
      <c r="D5" s="273"/>
      <c r="E5" s="273"/>
      <c r="F5" s="273"/>
      <c r="G5" s="273"/>
      <c r="H5" s="339"/>
      <c r="I5" s="345"/>
      <c r="J5" s="168"/>
      <c r="K5" s="7"/>
    </row>
    <row r="6" spans="1:13" ht="15" customHeight="1" x14ac:dyDescent="0.2">
      <c r="A6" s="273"/>
      <c r="B6" s="273"/>
      <c r="C6" s="273"/>
      <c r="D6" s="273"/>
      <c r="E6" s="273"/>
      <c r="F6" s="288" t="s">
        <v>965</v>
      </c>
      <c r="G6" s="337" t="s">
        <v>3146</v>
      </c>
      <c r="H6" s="339" t="s">
        <v>515</v>
      </c>
      <c r="I6" s="343" t="s">
        <v>4772</v>
      </c>
      <c r="J6" s="168"/>
      <c r="K6" s="7"/>
    </row>
    <row r="7" spans="1:13" ht="15" customHeight="1" x14ac:dyDescent="0.2">
      <c r="A7" s="273"/>
      <c r="B7" s="273"/>
      <c r="C7" s="273"/>
      <c r="D7" s="273"/>
      <c r="E7" s="273"/>
      <c r="F7" s="288"/>
      <c r="G7" s="337"/>
      <c r="H7" s="339"/>
      <c r="I7" s="339"/>
      <c r="J7" s="168"/>
      <c r="K7" s="7"/>
    </row>
    <row r="8" spans="1:13" x14ac:dyDescent="0.2">
      <c r="A8" s="273"/>
      <c r="B8" s="273"/>
      <c r="C8" s="273"/>
      <c r="D8" s="273"/>
      <c r="E8" s="273"/>
      <c r="F8" s="273"/>
      <c r="G8" s="273"/>
      <c r="H8" s="339"/>
      <c r="I8" s="339"/>
      <c r="J8" s="168"/>
      <c r="K8" s="7"/>
      <c r="L8" s="162" t="s">
        <v>3114</v>
      </c>
      <c r="M8" s="160" t="s">
        <v>3114</v>
      </c>
    </row>
    <row r="9" spans="1:13" ht="15" customHeight="1" x14ac:dyDescent="0.2">
      <c r="A9" s="273"/>
      <c r="B9" s="273"/>
      <c r="C9" s="273"/>
      <c r="D9" s="273"/>
      <c r="E9" s="273"/>
      <c r="F9" s="288" t="s">
        <v>966</v>
      </c>
      <c r="G9" s="338" t="s">
        <v>4768</v>
      </c>
      <c r="H9" s="339" t="s">
        <v>511</v>
      </c>
      <c r="I9" s="343" t="s">
        <v>4769</v>
      </c>
      <c r="J9" s="168"/>
      <c r="K9" s="7"/>
      <c r="L9" s="162" t="s">
        <v>3114</v>
      </c>
    </row>
    <row r="10" spans="1:13" ht="15" customHeight="1" x14ac:dyDescent="0.2">
      <c r="A10" s="273"/>
      <c r="B10" s="273"/>
      <c r="C10" s="273"/>
      <c r="D10" s="273"/>
      <c r="E10" s="273"/>
      <c r="F10" s="288"/>
      <c r="G10" s="337"/>
      <c r="H10" s="339"/>
      <c r="I10" s="339"/>
      <c r="J10" s="168"/>
      <c r="K10" s="7"/>
      <c r="L10" s="162"/>
    </row>
    <row r="11" spans="1:13" x14ac:dyDescent="0.2">
      <c r="A11" s="273"/>
      <c r="B11" s="273"/>
      <c r="C11" s="273"/>
      <c r="D11" s="273"/>
      <c r="E11" s="273"/>
      <c r="F11" s="273"/>
      <c r="G11" s="273"/>
      <c r="H11" s="339"/>
      <c r="I11" s="339"/>
      <c r="J11" s="168"/>
      <c r="K11" s="7"/>
    </row>
    <row r="12" spans="1:13" ht="15" customHeight="1" x14ac:dyDescent="0.2">
      <c r="A12" s="273"/>
      <c r="B12" s="273"/>
      <c r="C12" s="273"/>
      <c r="D12" s="273"/>
      <c r="E12" s="273"/>
      <c r="F12" s="288" t="s">
        <v>967</v>
      </c>
      <c r="G12" s="337" t="s">
        <v>3150</v>
      </c>
      <c r="H12" s="339" t="s">
        <v>507</v>
      </c>
      <c r="I12" s="343" t="s">
        <v>4770</v>
      </c>
      <c r="J12" s="168"/>
      <c r="K12" s="7"/>
      <c r="L12" s="162" t="s">
        <v>3114</v>
      </c>
    </row>
    <row r="13" spans="1:13" ht="15" customHeight="1" x14ac:dyDescent="0.2">
      <c r="A13" s="273"/>
      <c r="B13" s="273"/>
      <c r="C13" s="273"/>
      <c r="D13" s="273"/>
      <c r="E13" s="273"/>
      <c r="F13" s="288"/>
      <c r="G13" s="337"/>
      <c r="H13" s="339"/>
      <c r="I13" s="339"/>
      <c r="J13" s="168"/>
      <c r="K13" s="7"/>
      <c r="L13" s="162"/>
    </row>
    <row r="14" spans="1:13" x14ac:dyDescent="0.2">
      <c r="A14" s="273"/>
      <c r="B14" s="273"/>
      <c r="C14" s="273"/>
      <c r="D14" s="273"/>
      <c r="E14" s="273"/>
      <c r="F14" s="273"/>
      <c r="G14" s="272"/>
      <c r="H14" s="339"/>
      <c r="I14" s="339"/>
      <c r="J14" s="168"/>
      <c r="K14" s="7"/>
    </row>
    <row r="15" spans="1:13" ht="15" customHeight="1" x14ac:dyDescent="0.2">
      <c r="A15" s="273"/>
      <c r="B15" s="273"/>
      <c r="C15" s="273"/>
      <c r="D15" s="273"/>
      <c r="E15" s="273"/>
      <c r="F15" s="288" t="s">
        <v>968</v>
      </c>
      <c r="G15" s="337" t="s">
        <v>3147</v>
      </c>
      <c r="H15" s="339" t="s">
        <v>528</v>
      </c>
      <c r="I15" s="343" t="s">
        <v>4771</v>
      </c>
      <c r="J15" s="168"/>
      <c r="K15" s="7"/>
    </row>
    <row r="16" spans="1:13" ht="15" customHeight="1" x14ac:dyDescent="0.2">
      <c r="A16" s="273"/>
      <c r="B16" s="273"/>
      <c r="C16" s="273"/>
      <c r="D16" s="273"/>
      <c r="E16" s="273"/>
      <c r="F16" s="288"/>
      <c r="G16" s="337"/>
      <c r="H16" s="339"/>
      <c r="I16" s="339"/>
      <c r="J16" s="168"/>
      <c r="K16" s="7"/>
    </row>
    <row r="17" spans="1:12" x14ac:dyDescent="0.2">
      <c r="A17" s="273"/>
      <c r="B17" s="273"/>
      <c r="C17" s="273"/>
      <c r="D17" s="273"/>
      <c r="E17" s="273"/>
      <c r="F17" s="273"/>
      <c r="G17" s="337"/>
      <c r="H17" s="339"/>
      <c r="I17" s="339"/>
      <c r="J17" s="168"/>
      <c r="K17" s="7"/>
    </row>
    <row r="18" spans="1:12" ht="15" customHeight="1" x14ac:dyDescent="0.2">
      <c r="A18" s="273"/>
      <c r="B18" s="273"/>
      <c r="C18" s="273"/>
      <c r="D18" s="273"/>
      <c r="E18" s="273"/>
      <c r="F18" s="288" t="s">
        <v>969</v>
      </c>
      <c r="G18" s="337" t="s">
        <v>3148</v>
      </c>
      <c r="H18" s="339" t="s">
        <v>515</v>
      </c>
      <c r="I18" s="343" t="s">
        <v>4773</v>
      </c>
      <c r="J18" s="168"/>
      <c r="K18" s="7"/>
    </row>
    <row r="19" spans="1:12" ht="15" customHeight="1" x14ac:dyDescent="0.2">
      <c r="A19" s="273"/>
      <c r="B19" s="273"/>
      <c r="C19" s="273"/>
      <c r="D19" s="273"/>
      <c r="E19" s="273"/>
      <c r="F19" s="288"/>
      <c r="G19" s="337"/>
      <c r="H19" s="339"/>
      <c r="I19" s="339"/>
      <c r="J19" s="168"/>
      <c r="K19" s="7"/>
    </row>
    <row r="20" spans="1:12" x14ac:dyDescent="0.2">
      <c r="A20" s="273"/>
      <c r="B20" s="273"/>
      <c r="C20" s="273"/>
      <c r="D20" s="273"/>
      <c r="E20" s="273"/>
      <c r="F20" s="273"/>
      <c r="G20" s="273"/>
      <c r="H20" s="339"/>
      <c r="I20" s="339"/>
      <c r="J20" s="168"/>
      <c r="K20" s="7"/>
      <c r="L20" s="335" t="s">
        <v>3114</v>
      </c>
    </row>
    <row r="21" spans="1:12" x14ac:dyDescent="0.2">
      <c r="A21" s="273"/>
      <c r="B21" s="288" t="s">
        <v>960</v>
      </c>
      <c r="C21" s="337" t="s">
        <v>3143</v>
      </c>
      <c r="D21" s="337"/>
      <c r="E21" s="337" t="s">
        <v>515</v>
      </c>
      <c r="F21" s="288" t="s">
        <v>970</v>
      </c>
      <c r="G21" s="341" t="s">
        <v>3158</v>
      </c>
      <c r="H21" s="339" t="s">
        <v>511</v>
      </c>
      <c r="I21" s="339"/>
      <c r="J21" s="168"/>
      <c r="K21" s="7"/>
      <c r="L21" s="336"/>
    </row>
    <row r="22" spans="1:12" x14ac:dyDescent="0.2">
      <c r="A22" s="273"/>
      <c r="B22" s="288"/>
      <c r="C22" s="337"/>
      <c r="D22" s="337"/>
      <c r="E22" s="337"/>
      <c r="F22" s="288"/>
      <c r="G22" s="341"/>
      <c r="H22" s="339"/>
      <c r="I22" s="339"/>
      <c r="J22" s="168"/>
      <c r="K22" s="7"/>
      <c r="L22" s="19"/>
    </row>
    <row r="23" spans="1:12" x14ac:dyDescent="0.2">
      <c r="A23" s="273"/>
      <c r="B23" s="273"/>
      <c r="C23" s="273"/>
      <c r="D23" s="273"/>
      <c r="E23" s="273"/>
      <c r="F23" s="273"/>
      <c r="G23" s="341"/>
      <c r="H23" s="339"/>
      <c r="I23" s="339"/>
      <c r="J23" s="168"/>
      <c r="K23" s="7"/>
    </row>
    <row r="24" spans="1:12" ht="15" customHeight="1" x14ac:dyDescent="0.2">
      <c r="A24" s="273"/>
      <c r="B24" s="273"/>
      <c r="C24" s="273"/>
      <c r="D24" s="273"/>
      <c r="E24" s="273"/>
      <c r="F24" s="288" t="s">
        <v>971</v>
      </c>
      <c r="G24" s="337" t="s">
        <v>3159</v>
      </c>
      <c r="H24" s="339" t="s">
        <v>515</v>
      </c>
      <c r="I24" s="343" t="s">
        <v>4774</v>
      </c>
      <c r="J24" s="168"/>
      <c r="K24" s="7"/>
    </row>
    <row r="25" spans="1:12" ht="15" customHeight="1" x14ac:dyDescent="0.2">
      <c r="A25" s="273"/>
      <c r="B25" s="273"/>
      <c r="C25" s="273"/>
      <c r="D25" s="273"/>
      <c r="E25" s="273"/>
      <c r="F25" s="288"/>
      <c r="G25" s="337"/>
      <c r="H25" s="339"/>
      <c r="I25" s="339"/>
      <c r="J25" s="168"/>
      <c r="K25" s="7"/>
    </row>
    <row r="26" spans="1:12" x14ac:dyDescent="0.2">
      <c r="A26" s="273"/>
      <c r="B26" s="273"/>
      <c r="C26" s="273"/>
      <c r="D26" s="273"/>
      <c r="E26" s="273"/>
      <c r="F26" s="273"/>
      <c r="G26" s="273"/>
      <c r="H26" s="339"/>
      <c r="I26" s="339"/>
      <c r="J26" s="168"/>
      <c r="K26" s="7"/>
      <c r="L26" s="163" t="s">
        <v>3114</v>
      </c>
    </row>
    <row r="27" spans="1:12" x14ac:dyDescent="0.2">
      <c r="A27" s="273"/>
      <c r="B27" s="273"/>
      <c r="C27" s="273"/>
      <c r="D27" s="273"/>
      <c r="E27" s="273"/>
      <c r="F27" s="288" t="s">
        <v>972</v>
      </c>
      <c r="G27" s="337" t="s">
        <v>522</v>
      </c>
      <c r="H27" s="339" t="s">
        <v>507</v>
      </c>
      <c r="I27" s="343" t="s">
        <v>4775</v>
      </c>
      <c r="J27" s="168"/>
      <c r="K27" s="7"/>
      <c r="L27" s="160" t="s">
        <v>3114</v>
      </c>
    </row>
    <row r="28" spans="1:12" x14ac:dyDescent="0.2">
      <c r="A28" s="273"/>
      <c r="B28" s="273"/>
      <c r="C28" s="273"/>
      <c r="D28" s="273"/>
      <c r="E28" s="273"/>
      <c r="F28" s="288"/>
      <c r="G28" s="337"/>
      <c r="H28" s="339"/>
      <c r="I28" s="339"/>
      <c r="J28" s="168"/>
      <c r="K28" s="7"/>
      <c r="L28" s="160"/>
    </row>
    <row r="29" spans="1:12" x14ac:dyDescent="0.2">
      <c r="A29" s="273"/>
      <c r="B29" s="273"/>
      <c r="C29" s="273"/>
      <c r="D29" s="273"/>
      <c r="E29" s="273"/>
      <c r="F29" s="273"/>
      <c r="G29" s="273"/>
      <c r="H29" s="339"/>
      <c r="I29" s="339"/>
      <c r="J29" s="168"/>
      <c r="K29" s="7"/>
    </row>
    <row r="30" spans="1:12" x14ac:dyDescent="0.2">
      <c r="A30" s="273"/>
      <c r="B30" s="273"/>
      <c r="C30" s="273"/>
      <c r="D30" s="273"/>
      <c r="E30" s="273"/>
      <c r="F30" s="288" t="s">
        <v>973</v>
      </c>
      <c r="G30" s="337" t="s">
        <v>3160</v>
      </c>
      <c r="H30" s="339" t="s">
        <v>515</v>
      </c>
      <c r="I30" s="343" t="s">
        <v>4776</v>
      </c>
      <c r="J30" s="168"/>
      <c r="K30" s="7"/>
    </row>
    <row r="31" spans="1:12" x14ac:dyDescent="0.2">
      <c r="A31" s="273"/>
      <c r="B31" s="273"/>
      <c r="C31" s="273"/>
      <c r="D31" s="273"/>
      <c r="E31" s="273"/>
      <c r="F31" s="288"/>
      <c r="G31" s="337"/>
      <c r="H31" s="339"/>
      <c r="I31" s="339"/>
      <c r="J31" s="168"/>
      <c r="K31" s="7"/>
    </row>
    <row r="32" spans="1:12" x14ac:dyDescent="0.2">
      <c r="A32" s="273"/>
      <c r="B32" s="273"/>
      <c r="C32" s="273"/>
      <c r="D32" s="273"/>
      <c r="E32" s="273"/>
      <c r="F32" s="273"/>
      <c r="G32" s="273"/>
      <c r="H32" s="339"/>
      <c r="I32" s="339"/>
      <c r="J32" s="168"/>
      <c r="K32" s="37"/>
    </row>
    <row r="33" spans="1:12" x14ac:dyDescent="0.2">
      <c r="A33" s="273"/>
      <c r="B33" s="273"/>
      <c r="C33" s="273"/>
      <c r="D33" s="273"/>
      <c r="E33" s="273"/>
      <c r="F33" s="288" t="s">
        <v>974</v>
      </c>
      <c r="G33" s="337" t="s">
        <v>3161</v>
      </c>
      <c r="H33" s="339" t="s">
        <v>515</v>
      </c>
      <c r="I33" s="343" t="s">
        <v>4777</v>
      </c>
      <c r="J33" s="168"/>
      <c r="K33" s="37"/>
    </row>
    <row r="34" spans="1:12" x14ac:dyDescent="0.2">
      <c r="A34" s="273"/>
      <c r="B34" s="273"/>
      <c r="C34" s="273"/>
      <c r="D34" s="273"/>
      <c r="E34" s="273"/>
      <c r="F34" s="288"/>
      <c r="G34" s="337"/>
      <c r="H34" s="339"/>
      <c r="I34" s="339"/>
      <c r="J34" s="168"/>
      <c r="K34" s="37"/>
    </row>
    <row r="35" spans="1:12" x14ac:dyDescent="0.2">
      <c r="A35" s="273"/>
      <c r="B35" s="273"/>
      <c r="C35" s="273"/>
      <c r="D35" s="273"/>
      <c r="E35" s="273"/>
      <c r="F35" s="273"/>
      <c r="G35" s="273"/>
      <c r="H35" s="339"/>
      <c r="I35" s="339"/>
      <c r="J35" s="168"/>
      <c r="K35" s="37"/>
    </row>
    <row r="36" spans="1:12" ht="15" customHeight="1" x14ac:dyDescent="0.25">
      <c r="A36" s="273"/>
      <c r="B36" s="273"/>
      <c r="C36" s="273"/>
      <c r="D36" s="273"/>
      <c r="E36" s="273"/>
      <c r="F36" s="288" t="s">
        <v>975</v>
      </c>
      <c r="G36" s="338" t="s">
        <v>4791</v>
      </c>
      <c r="H36" s="339" t="s">
        <v>515</v>
      </c>
      <c r="I36" s="344" t="s">
        <v>4778</v>
      </c>
      <c r="J36" s="168"/>
      <c r="K36" s="104"/>
    </row>
    <row r="37" spans="1:12" ht="15" customHeight="1" x14ac:dyDescent="0.25">
      <c r="A37" s="273"/>
      <c r="B37" s="273"/>
      <c r="C37" s="273"/>
      <c r="D37" s="273"/>
      <c r="E37" s="273"/>
      <c r="F37" s="288"/>
      <c r="G37" s="337"/>
      <c r="H37" s="339"/>
      <c r="I37" s="344"/>
      <c r="J37" s="168"/>
      <c r="K37" s="104"/>
    </row>
    <row r="38" spans="1:12" x14ac:dyDescent="0.25">
      <c r="A38" s="273"/>
      <c r="B38" s="273"/>
      <c r="C38" s="273"/>
      <c r="D38" s="273"/>
      <c r="E38" s="273"/>
      <c r="F38" s="273"/>
      <c r="G38" s="273"/>
      <c r="H38" s="339"/>
      <c r="I38" s="344"/>
      <c r="J38" s="168"/>
      <c r="K38" s="33"/>
    </row>
    <row r="39" spans="1:12" x14ac:dyDescent="0.25">
      <c r="A39" s="273"/>
      <c r="B39" s="288" t="s">
        <v>961</v>
      </c>
      <c r="C39" s="340" t="s">
        <v>3153</v>
      </c>
      <c r="D39" s="337"/>
      <c r="E39" s="337"/>
      <c r="F39" s="288" t="s">
        <v>976</v>
      </c>
      <c r="G39" s="337" t="s">
        <v>3151</v>
      </c>
      <c r="H39" s="339" t="s">
        <v>507</v>
      </c>
      <c r="I39" s="339"/>
      <c r="J39" s="168"/>
      <c r="K39" s="33"/>
    </row>
    <row r="40" spans="1:12" x14ac:dyDescent="0.25">
      <c r="A40" s="273"/>
      <c r="B40" s="288"/>
      <c r="C40" s="340"/>
      <c r="D40" s="337"/>
      <c r="E40" s="337"/>
      <c r="F40" s="288"/>
      <c r="G40" s="337"/>
      <c r="H40" s="339"/>
      <c r="I40" s="339"/>
      <c r="J40" s="168"/>
      <c r="K40" s="33"/>
    </row>
    <row r="41" spans="1:12" x14ac:dyDescent="0.25">
      <c r="A41" s="273"/>
      <c r="B41" s="273"/>
      <c r="C41" s="340"/>
      <c r="D41" s="273"/>
      <c r="E41" s="273"/>
      <c r="F41" s="273"/>
      <c r="G41" s="273"/>
      <c r="H41" s="339"/>
      <c r="I41" s="339"/>
      <c r="J41" s="168"/>
      <c r="K41" s="33"/>
    </row>
    <row r="42" spans="1:12" ht="15" customHeight="1" x14ac:dyDescent="0.25">
      <c r="A42" s="273"/>
      <c r="B42" s="273"/>
      <c r="C42" s="340"/>
      <c r="D42" s="273"/>
      <c r="E42" s="273"/>
      <c r="F42" s="288" t="s">
        <v>977</v>
      </c>
      <c r="G42" s="340" t="s">
        <v>3152</v>
      </c>
      <c r="H42" s="339" t="s">
        <v>515</v>
      </c>
      <c r="I42" s="342" t="s">
        <v>4780</v>
      </c>
      <c r="J42" s="168"/>
      <c r="K42" s="33"/>
    </row>
    <row r="43" spans="1:12" ht="15" customHeight="1" x14ac:dyDescent="0.25">
      <c r="A43" s="273"/>
      <c r="B43" s="273"/>
      <c r="C43" s="340"/>
      <c r="D43" s="273"/>
      <c r="E43" s="273"/>
      <c r="F43" s="288"/>
      <c r="G43" s="340"/>
      <c r="H43" s="339"/>
      <c r="I43" s="342"/>
      <c r="J43" s="168"/>
      <c r="K43" s="33"/>
    </row>
    <row r="44" spans="1:12" x14ac:dyDescent="0.25">
      <c r="A44" s="273"/>
      <c r="B44" s="273"/>
      <c r="C44" s="340"/>
      <c r="D44" s="273"/>
      <c r="E44" s="273"/>
      <c r="F44" s="273"/>
      <c r="G44" s="340"/>
      <c r="H44" s="339"/>
      <c r="I44" s="342"/>
      <c r="J44" s="168"/>
      <c r="K44" s="33"/>
    </row>
    <row r="45" spans="1:12" ht="15" customHeight="1" x14ac:dyDescent="0.25">
      <c r="A45" s="273"/>
      <c r="B45" s="273"/>
      <c r="C45" s="340"/>
      <c r="D45" s="273"/>
      <c r="E45" s="273"/>
      <c r="F45" s="288" t="s">
        <v>978</v>
      </c>
      <c r="G45" s="337" t="s">
        <v>523</v>
      </c>
      <c r="H45" s="339" t="s">
        <v>505</v>
      </c>
      <c r="I45" s="339"/>
      <c r="J45" s="168"/>
      <c r="K45" s="33"/>
      <c r="L45" s="162" t="s">
        <v>3114</v>
      </c>
    </row>
    <row r="46" spans="1:12" ht="15" customHeight="1" x14ac:dyDescent="0.25">
      <c r="A46" s="273"/>
      <c r="B46" s="273"/>
      <c r="C46" s="340"/>
      <c r="D46" s="273"/>
      <c r="E46" s="273"/>
      <c r="F46" s="288"/>
      <c r="G46" s="337"/>
      <c r="H46" s="339"/>
      <c r="I46" s="339"/>
      <c r="J46" s="168"/>
      <c r="K46" s="33"/>
      <c r="L46" s="162"/>
    </row>
    <row r="47" spans="1:12" x14ac:dyDescent="0.25">
      <c r="A47" s="273"/>
      <c r="B47" s="273"/>
      <c r="C47" s="340"/>
      <c r="D47" s="273"/>
      <c r="E47" s="273"/>
      <c r="F47" s="273"/>
      <c r="G47" s="273"/>
      <c r="H47" s="339"/>
      <c r="I47" s="339"/>
      <c r="J47" s="168"/>
      <c r="K47" s="33"/>
    </row>
    <row r="48" spans="1:12" x14ac:dyDescent="0.25">
      <c r="A48" s="273"/>
      <c r="B48" s="273"/>
      <c r="C48" s="340"/>
      <c r="D48" s="273"/>
      <c r="E48" s="273"/>
      <c r="F48" s="288" t="s">
        <v>979</v>
      </c>
      <c r="G48" s="340" t="s">
        <v>3154</v>
      </c>
      <c r="H48" s="339" t="s">
        <v>515</v>
      </c>
      <c r="I48" s="342" t="s">
        <v>4781</v>
      </c>
      <c r="J48" s="168"/>
      <c r="K48" s="33"/>
    </row>
    <row r="49" spans="1:11" x14ac:dyDescent="0.25">
      <c r="A49" s="273"/>
      <c r="B49" s="273"/>
      <c r="C49" s="340"/>
      <c r="D49" s="273"/>
      <c r="E49" s="273"/>
      <c r="F49" s="288"/>
      <c r="G49" s="340"/>
      <c r="H49" s="339"/>
      <c r="I49" s="342"/>
      <c r="J49" s="168"/>
      <c r="K49" s="33"/>
    </row>
    <row r="50" spans="1:11" x14ac:dyDescent="0.25">
      <c r="A50" s="273"/>
      <c r="B50" s="273"/>
      <c r="C50" s="340"/>
      <c r="D50" s="273"/>
      <c r="E50" s="273"/>
      <c r="F50" s="273"/>
      <c r="G50" s="340"/>
      <c r="H50" s="339"/>
      <c r="I50" s="342"/>
      <c r="J50" s="168"/>
      <c r="K50" s="33"/>
    </row>
    <row r="51" spans="1:11" x14ac:dyDescent="0.25">
      <c r="A51" s="273"/>
      <c r="B51" s="273"/>
      <c r="C51" s="340"/>
      <c r="D51" s="273"/>
      <c r="E51" s="273"/>
      <c r="F51" s="288" t="s">
        <v>980</v>
      </c>
      <c r="G51" s="337" t="s">
        <v>3157</v>
      </c>
      <c r="H51" s="339" t="s">
        <v>507</v>
      </c>
      <c r="I51" s="339"/>
      <c r="J51" s="168"/>
      <c r="K51" s="33"/>
    </row>
    <row r="52" spans="1:11" x14ac:dyDescent="0.25">
      <c r="A52" s="273"/>
      <c r="B52" s="273"/>
      <c r="C52" s="340"/>
      <c r="D52" s="273"/>
      <c r="E52" s="273"/>
      <c r="F52" s="288"/>
      <c r="G52" s="337"/>
      <c r="H52" s="339"/>
      <c r="I52" s="339"/>
      <c r="J52" s="168"/>
      <c r="K52" s="33"/>
    </row>
    <row r="53" spans="1:11" x14ac:dyDescent="0.25">
      <c r="A53" s="273"/>
      <c r="B53" s="273"/>
      <c r="C53" s="340"/>
      <c r="D53" s="273"/>
      <c r="E53" s="273"/>
      <c r="F53" s="273"/>
      <c r="G53" s="273"/>
      <c r="H53" s="339"/>
      <c r="I53" s="339"/>
      <c r="J53" s="168"/>
      <c r="K53" s="33"/>
    </row>
    <row r="54" spans="1:11" ht="15" customHeight="1" x14ac:dyDescent="0.25">
      <c r="A54" s="273"/>
      <c r="B54" s="273"/>
      <c r="C54" s="340"/>
      <c r="D54" s="273"/>
      <c r="E54" s="273"/>
      <c r="F54" s="288" t="s">
        <v>981</v>
      </c>
      <c r="G54" s="272"/>
      <c r="H54" s="339"/>
      <c r="I54" s="339"/>
      <c r="J54" s="168"/>
      <c r="K54" s="33"/>
    </row>
    <row r="55" spans="1:11" ht="15" customHeight="1" x14ac:dyDescent="0.25">
      <c r="A55" s="273"/>
      <c r="B55" s="273"/>
      <c r="C55" s="340"/>
      <c r="D55" s="273"/>
      <c r="E55" s="273"/>
      <c r="F55" s="288"/>
      <c r="G55" s="272"/>
      <c r="H55" s="339"/>
      <c r="I55" s="339"/>
      <c r="J55" s="168"/>
      <c r="K55" s="33"/>
    </row>
    <row r="56" spans="1:11" x14ac:dyDescent="0.25">
      <c r="A56" s="273"/>
      <c r="B56" s="273"/>
      <c r="C56" s="340"/>
      <c r="D56" s="273"/>
      <c r="E56" s="273"/>
      <c r="F56" s="273"/>
      <c r="G56" s="273"/>
      <c r="H56" s="339"/>
      <c r="I56" s="339"/>
      <c r="J56" s="168"/>
      <c r="K56" s="33"/>
    </row>
    <row r="57" spans="1:11" x14ac:dyDescent="0.25">
      <c r="A57" s="273"/>
      <c r="B57" s="331" t="s">
        <v>962</v>
      </c>
      <c r="C57" s="334" t="s">
        <v>524</v>
      </c>
      <c r="D57" s="334"/>
      <c r="E57" s="334" t="s">
        <v>515</v>
      </c>
      <c r="F57" s="288" t="s">
        <v>982</v>
      </c>
      <c r="G57" s="337" t="s">
        <v>3156</v>
      </c>
      <c r="H57" s="339" t="s">
        <v>515</v>
      </c>
      <c r="I57" s="343" t="s">
        <v>4782</v>
      </c>
      <c r="J57" s="168"/>
      <c r="K57" s="33"/>
    </row>
    <row r="58" spans="1:11" x14ac:dyDescent="0.25">
      <c r="A58" s="273"/>
      <c r="B58" s="331"/>
      <c r="C58" s="334"/>
      <c r="D58" s="334"/>
      <c r="E58" s="334"/>
      <c r="F58" s="288"/>
      <c r="G58" s="337"/>
      <c r="H58" s="339"/>
      <c r="I58" s="339"/>
      <c r="J58" s="168"/>
      <c r="K58" s="33"/>
    </row>
    <row r="59" spans="1:11" x14ac:dyDescent="0.2">
      <c r="A59" s="273"/>
      <c r="B59" s="332"/>
      <c r="C59" s="332"/>
      <c r="D59" s="332"/>
      <c r="E59" s="332"/>
      <c r="F59" s="273"/>
      <c r="G59" s="273"/>
      <c r="H59" s="339"/>
      <c r="I59" s="339"/>
      <c r="J59" s="168"/>
      <c r="K59" s="34"/>
    </row>
    <row r="60" spans="1:11" x14ac:dyDescent="0.2">
      <c r="A60" s="273"/>
      <c r="B60" s="333"/>
      <c r="C60" s="333"/>
      <c r="D60" s="333"/>
      <c r="E60" s="333"/>
      <c r="F60" s="288" t="s">
        <v>983</v>
      </c>
      <c r="G60" s="337" t="s">
        <v>3155</v>
      </c>
      <c r="H60" s="339" t="s">
        <v>507</v>
      </c>
      <c r="I60" s="343" t="s">
        <v>4783</v>
      </c>
      <c r="J60" s="168"/>
      <c r="K60" s="34"/>
    </row>
    <row r="61" spans="1:11" x14ac:dyDescent="0.2">
      <c r="A61" s="273"/>
      <c r="B61" s="333"/>
      <c r="C61" s="333"/>
      <c r="D61" s="333"/>
      <c r="E61" s="333"/>
      <c r="F61" s="288"/>
      <c r="G61" s="337"/>
      <c r="H61" s="339"/>
      <c r="I61" s="339"/>
      <c r="J61" s="168"/>
      <c r="K61" s="34"/>
    </row>
    <row r="62" spans="1:11" x14ac:dyDescent="0.2">
      <c r="A62" s="273"/>
      <c r="B62" s="333"/>
      <c r="C62" s="333"/>
      <c r="D62" s="333"/>
      <c r="E62" s="333"/>
      <c r="F62" s="273"/>
      <c r="G62" s="273"/>
      <c r="H62" s="339"/>
      <c r="I62" s="339"/>
      <c r="J62" s="168"/>
      <c r="K62" s="34"/>
    </row>
    <row r="63" spans="1:11" ht="16.350000000000001" customHeight="1" x14ac:dyDescent="0.2">
      <c r="A63" s="273"/>
      <c r="B63" s="333"/>
      <c r="C63" s="333"/>
      <c r="D63" s="333"/>
      <c r="E63" s="333"/>
      <c r="F63" s="288" t="s">
        <v>984</v>
      </c>
      <c r="G63" s="337" t="s">
        <v>3145</v>
      </c>
      <c r="H63" s="339" t="s">
        <v>515</v>
      </c>
      <c r="I63" s="343" t="s">
        <v>4783</v>
      </c>
      <c r="J63" s="168"/>
      <c r="K63" s="34"/>
    </row>
    <row r="64" spans="1:11" ht="16.350000000000001" customHeight="1" x14ac:dyDescent="0.2">
      <c r="A64" s="273"/>
      <c r="B64" s="333"/>
      <c r="C64" s="333"/>
      <c r="D64" s="333"/>
      <c r="E64" s="333"/>
      <c r="F64" s="288"/>
      <c r="G64" s="337"/>
      <c r="H64" s="339"/>
      <c r="I64" s="339"/>
      <c r="J64" s="168"/>
      <c r="K64" s="34"/>
    </row>
    <row r="65" spans="1:12" x14ac:dyDescent="0.2">
      <c r="A65" s="273"/>
      <c r="B65" s="333"/>
      <c r="C65" s="333"/>
      <c r="D65" s="333"/>
      <c r="E65" s="333"/>
      <c r="F65" s="273"/>
      <c r="G65" s="273"/>
      <c r="H65" s="339"/>
      <c r="I65" s="339"/>
      <c r="J65" s="168"/>
      <c r="K65" s="34"/>
    </row>
    <row r="66" spans="1:12" ht="16.350000000000001" customHeight="1" x14ac:dyDescent="0.2">
      <c r="A66" s="273"/>
      <c r="B66" s="333"/>
      <c r="C66" s="333"/>
      <c r="D66" s="333"/>
      <c r="E66" s="333"/>
      <c r="F66" s="288" t="s">
        <v>985</v>
      </c>
      <c r="G66" s="272"/>
      <c r="H66" s="339"/>
      <c r="I66" s="339"/>
      <c r="J66" s="168"/>
      <c r="K66" s="34"/>
    </row>
    <row r="67" spans="1:12" ht="16.350000000000001" customHeight="1" x14ac:dyDescent="0.2">
      <c r="A67" s="273"/>
      <c r="B67" s="333"/>
      <c r="C67" s="333"/>
      <c r="D67" s="333"/>
      <c r="E67" s="333"/>
      <c r="F67" s="288"/>
      <c r="G67" s="272"/>
      <c r="H67" s="339"/>
      <c r="I67" s="339"/>
      <c r="J67" s="168"/>
      <c r="K67" s="34"/>
    </row>
    <row r="68" spans="1:12" x14ac:dyDescent="0.2">
      <c r="A68" s="273"/>
      <c r="B68" s="333"/>
      <c r="C68" s="333"/>
      <c r="D68" s="333"/>
      <c r="E68" s="333"/>
      <c r="F68" s="273"/>
      <c r="G68" s="273"/>
      <c r="H68" s="339"/>
      <c r="I68" s="339"/>
      <c r="J68" s="168"/>
      <c r="K68" s="100"/>
    </row>
    <row r="69" spans="1:12" ht="16.350000000000001" customHeight="1" x14ac:dyDescent="0.2">
      <c r="A69" s="273"/>
      <c r="B69" s="333"/>
      <c r="C69" s="333"/>
      <c r="D69" s="333"/>
      <c r="E69" s="333"/>
      <c r="F69" s="288" t="s">
        <v>986</v>
      </c>
      <c r="G69" s="272"/>
      <c r="H69" s="339"/>
      <c r="I69" s="339"/>
      <c r="J69" s="168"/>
      <c r="K69" s="100"/>
    </row>
    <row r="70" spans="1:12" ht="16.350000000000001" customHeight="1" x14ac:dyDescent="0.2">
      <c r="A70" s="273"/>
      <c r="B70" s="333"/>
      <c r="C70" s="333"/>
      <c r="D70" s="333"/>
      <c r="E70" s="333"/>
      <c r="F70" s="288"/>
      <c r="G70" s="272"/>
      <c r="H70" s="339"/>
      <c r="I70" s="339"/>
      <c r="J70" s="168"/>
      <c r="K70" s="100"/>
    </row>
    <row r="71" spans="1:12" x14ac:dyDescent="0.2">
      <c r="A71" s="273"/>
      <c r="B71" s="333"/>
      <c r="C71" s="333"/>
      <c r="D71" s="333"/>
      <c r="E71" s="333"/>
      <c r="F71" s="273"/>
      <c r="G71" s="273"/>
      <c r="H71" s="339"/>
      <c r="I71" s="339"/>
      <c r="J71" s="168"/>
      <c r="K71" s="37"/>
    </row>
    <row r="72" spans="1:12" ht="16.350000000000001" customHeight="1" x14ac:dyDescent="0.2">
      <c r="A72" s="273"/>
      <c r="B72" s="333"/>
      <c r="C72" s="333"/>
      <c r="D72" s="333"/>
      <c r="E72" s="333"/>
      <c r="F72" s="288" t="s">
        <v>991</v>
      </c>
      <c r="G72" s="272"/>
      <c r="H72" s="339"/>
      <c r="I72" s="339"/>
      <c r="J72" s="168"/>
      <c r="K72" s="34"/>
    </row>
    <row r="73" spans="1:12" ht="16.350000000000001" customHeight="1" x14ac:dyDescent="0.2">
      <c r="A73" s="273"/>
      <c r="B73" s="333"/>
      <c r="C73" s="333"/>
      <c r="D73" s="333"/>
      <c r="E73" s="333"/>
      <c r="F73" s="288"/>
      <c r="G73" s="272"/>
      <c r="H73" s="339"/>
      <c r="I73" s="339"/>
      <c r="J73" s="168"/>
      <c r="K73" s="34"/>
    </row>
    <row r="74" spans="1:12" x14ac:dyDescent="0.2">
      <c r="A74" s="273"/>
      <c r="B74" s="333"/>
      <c r="C74" s="333"/>
      <c r="D74" s="333"/>
      <c r="E74" s="333"/>
      <c r="F74" s="273"/>
      <c r="G74" s="273"/>
      <c r="H74" s="339"/>
      <c r="I74" s="339"/>
      <c r="J74" s="168"/>
      <c r="K74" s="100"/>
    </row>
    <row r="75" spans="1:12" x14ac:dyDescent="0.2">
      <c r="A75" s="273"/>
      <c r="B75" s="330" t="s">
        <v>963</v>
      </c>
      <c r="C75" s="330" t="s">
        <v>4784</v>
      </c>
      <c r="D75" s="330"/>
      <c r="E75" s="330" t="s">
        <v>507</v>
      </c>
      <c r="F75" s="330" t="s">
        <v>987</v>
      </c>
      <c r="G75" s="330" t="s">
        <v>4785</v>
      </c>
      <c r="H75" s="346" t="s">
        <v>507</v>
      </c>
      <c r="I75" s="346"/>
      <c r="J75" s="168"/>
      <c r="K75" s="37"/>
      <c r="L75" s="162"/>
    </row>
    <row r="76" spans="1:12" x14ac:dyDescent="0.2">
      <c r="A76" s="273"/>
      <c r="B76" s="330"/>
      <c r="C76" s="330"/>
      <c r="D76" s="330"/>
      <c r="E76" s="330"/>
      <c r="F76" s="330"/>
      <c r="G76" s="330"/>
      <c r="H76" s="346"/>
      <c r="I76" s="346"/>
      <c r="J76" s="168"/>
      <c r="K76" s="37"/>
      <c r="L76" s="162"/>
    </row>
    <row r="77" spans="1:12" x14ac:dyDescent="0.2">
      <c r="A77" s="273"/>
      <c r="B77" s="330"/>
      <c r="C77" s="330"/>
      <c r="D77" s="330"/>
      <c r="E77" s="330"/>
      <c r="F77" s="330"/>
      <c r="G77" s="330"/>
      <c r="H77" s="346"/>
      <c r="I77" s="346"/>
      <c r="J77" s="168"/>
      <c r="K77" s="37"/>
      <c r="L77" s="162"/>
    </row>
    <row r="78" spans="1:12" x14ac:dyDescent="0.2">
      <c r="A78" s="273"/>
      <c r="B78" s="330"/>
      <c r="C78" s="330"/>
      <c r="D78" s="330"/>
      <c r="E78" s="330"/>
      <c r="F78" s="330" t="s">
        <v>988</v>
      </c>
      <c r="G78" s="330" t="s">
        <v>4786</v>
      </c>
      <c r="H78" s="346" t="s">
        <v>507</v>
      </c>
      <c r="I78" s="346"/>
      <c r="J78" s="168"/>
      <c r="K78" s="7"/>
      <c r="L78" s="162"/>
    </row>
    <row r="79" spans="1:12" x14ac:dyDescent="0.2">
      <c r="A79" s="273"/>
      <c r="B79" s="330"/>
      <c r="C79" s="330"/>
      <c r="D79" s="330"/>
      <c r="E79" s="330"/>
      <c r="F79" s="330"/>
      <c r="G79" s="330"/>
      <c r="H79" s="346"/>
      <c r="I79" s="346"/>
      <c r="J79" s="168"/>
      <c r="K79" s="7"/>
    </row>
    <row r="80" spans="1:12" x14ac:dyDescent="0.2">
      <c r="A80" s="273"/>
      <c r="B80" s="330"/>
      <c r="C80" s="330"/>
      <c r="D80" s="330"/>
      <c r="E80" s="330"/>
      <c r="F80" s="330"/>
      <c r="G80" s="330"/>
      <c r="H80" s="346"/>
      <c r="I80" s="346"/>
      <c r="J80" s="168"/>
      <c r="K80" s="7"/>
    </row>
    <row r="81" spans="1:11" ht="16.350000000000001" customHeight="1" x14ac:dyDescent="0.2">
      <c r="A81" s="273"/>
      <c r="B81" s="330"/>
      <c r="C81" s="330"/>
      <c r="D81" s="330"/>
      <c r="E81" s="330"/>
      <c r="F81" s="330" t="s">
        <v>989</v>
      </c>
      <c r="G81" s="330" t="s">
        <v>4789</v>
      </c>
      <c r="H81" s="346" t="s">
        <v>507</v>
      </c>
      <c r="I81" s="346"/>
      <c r="J81" s="168"/>
      <c r="K81" s="7"/>
    </row>
    <row r="82" spans="1:11" x14ac:dyDescent="0.2">
      <c r="A82" s="273"/>
      <c r="B82" s="330"/>
      <c r="C82" s="330"/>
      <c r="D82" s="330"/>
      <c r="E82" s="330"/>
      <c r="F82" s="330"/>
      <c r="G82" s="330"/>
      <c r="H82" s="346"/>
      <c r="I82" s="346"/>
      <c r="J82" s="168"/>
      <c r="K82" s="7"/>
    </row>
    <row r="83" spans="1:11" x14ac:dyDescent="0.2">
      <c r="A83" s="273"/>
      <c r="B83" s="330"/>
      <c r="C83" s="330"/>
      <c r="D83" s="330"/>
      <c r="E83" s="330"/>
      <c r="F83" s="330"/>
      <c r="G83" s="330"/>
      <c r="H83" s="346"/>
      <c r="I83" s="346"/>
      <c r="J83" s="168"/>
      <c r="K83" s="7"/>
    </row>
    <row r="84" spans="1:11" x14ac:dyDescent="0.2">
      <c r="A84" s="273"/>
      <c r="B84" s="330"/>
      <c r="C84" s="330"/>
      <c r="D84" s="330"/>
      <c r="E84" s="330"/>
      <c r="F84" s="330" t="s">
        <v>990</v>
      </c>
      <c r="G84" s="330" t="s">
        <v>4787</v>
      </c>
      <c r="H84" s="221" t="s">
        <v>507</v>
      </c>
      <c r="I84" s="221"/>
      <c r="J84" s="168"/>
      <c r="K84" s="7"/>
    </row>
    <row r="85" spans="1:11" x14ac:dyDescent="0.2">
      <c r="A85" s="273"/>
      <c r="B85" s="330"/>
      <c r="C85" s="330"/>
      <c r="D85" s="330"/>
      <c r="E85" s="330"/>
      <c r="F85" s="330"/>
      <c r="G85" s="330"/>
      <c r="H85" s="221"/>
      <c r="I85" s="221"/>
      <c r="J85" s="168"/>
      <c r="K85" s="7"/>
    </row>
    <row r="86" spans="1:11" x14ac:dyDescent="0.2">
      <c r="A86" s="273"/>
      <c r="B86" s="330"/>
      <c r="C86" s="330"/>
      <c r="D86" s="330"/>
      <c r="E86" s="330"/>
      <c r="F86" s="330"/>
      <c r="G86" s="330"/>
      <c r="H86" s="221"/>
      <c r="I86" s="221"/>
      <c r="J86" s="168"/>
      <c r="K86" s="7"/>
    </row>
    <row r="87" spans="1:11" ht="16.350000000000001" customHeight="1" x14ac:dyDescent="0.2">
      <c r="A87" s="273"/>
      <c r="B87" s="330"/>
      <c r="C87" s="330"/>
      <c r="D87" s="330"/>
      <c r="E87" s="330"/>
      <c r="F87" s="330" t="s">
        <v>4788</v>
      </c>
      <c r="G87" s="330" t="s">
        <v>4790</v>
      </c>
      <c r="H87" s="346" t="s">
        <v>507</v>
      </c>
      <c r="I87" s="346"/>
      <c r="J87" s="168"/>
      <c r="K87" s="6"/>
    </row>
    <row r="88" spans="1:11" x14ac:dyDescent="0.2">
      <c r="A88" s="273"/>
      <c r="B88" s="330"/>
      <c r="C88" s="330"/>
      <c r="D88" s="330"/>
      <c r="E88" s="330"/>
      <c r="F88" s="330"/>
      <c r="G88" s="330"/>
      <c r="H88" s="346"/>
      <c r="I88" s="346"/>
      <c r="J88" s="168"/>
      <c r="K88" s="7"/>
    </row>
    <row r="89" spans="1:11" x14ac:dyDescent="0.2">
      <c r="A89" s="273"/>
      <c r="B89" s="330"/>
      <c r="C89" s="330"/>
      <c r="D89" s="330"/>
      <c r="E89" s="330"/>
      <c r="F89" s="330"/>
      <c r="G89" s="330"/>
      <c r="H89" s="346"/>
      <c r="I89" s="346"/>
      <c r="J89" s="168"/>
      <c r="K89" s="7"/>
    </row>
    <row r="109" spans="5:5" x14ac:dyDescent="0.2">
      <c r="E109" s="92" t="s">
        <v>528</v>
      </c>
    </row>
    <row r="110" spans="5:5" x14ac:dyDescent="0.2">
      <c r="E110" s="92" t="s">
        <v>511</v>
      </c>
    </row>
    <row r="111" spans="5:5" x14ac:dyDescent="0.2">
      <c r="E111" s="92" t="s">
        <v>515</v>
      </c>
    </row>
    <row r="112" spans="5:5" x14ac:dyDescent="0.2">
      <c r="E112" s="92" t="s">
        <v>505</v>
      </c>
    </row>
    <row r="113" spans="5:5" x14ac:dyDescent="0.2">
      <c r="E113" s="92" t="s">
        <v>507</v>
      </c>
    </row>
  </sheetData>
  <mergeCells count="136">
    <mergeCell ref="H75:H77"/>
    <mergeCell ref="H78:H80"/>
    <mergeCell ref="H81:H83"/>
    <mergeCell ref="G81:G83"/>
    <mergeCell ref="I87:I89"/>
    <mergeCell ref="G66:G68"/>
    <mergeCell ref="G69:G71"/>
    <mergeCell ref="H87:H89"/>
    <mergeCell ref="H60:H62"/>
    <mergeCell ref="H63:H65"/>
    <mergeCell ref="H66:H68"/>
    <mergeCell ref="H69:H71"/>
    <mergeCell ref="H72:H74"/>
    <mergeCell ref="I75:I77"/>
    <mergeCell ref="I78:I80"/>
    <mergeCell ref="I81:I83"/>
    <mergeCell ref="I60:I62"/>
    <mergeCell ref="I63:I65"/>
    <mergeCell ref="I66:I68"/>
    <mergeCell ref="I69:I71"/>
    <mergeCell ref="I72:I74"/>
    <mergeCell ref="I3:I5"/>
    <mergeCell ref="I6:I8"/>
    <mergeCell ref="I9:I11"/>
    <mergeCell ref="I12:I14"/>
    <mergeCell ref="I15:I17"/>
    <mergeCell ref="I18:I20"/>
    <mergeCell ref="I21:I23"/>
    <mergeCell ref="I24:I26"/>
    <mergeCell ref="I27:I29"/>
    <mergeCell ref="I48:I50"/>
    <mergeCell ref="I51:I53"/>
    <mergeCell ref="I54:I56"/>
    <mergeCell ref="I57:I59"/>
    <mergeCell ref="H57:H59"/>
    <mergeCell ref="H30:H32"/>
    <mergeCell ref="H33:H35"/>
    <mergeCell ref="H36:H38"/>
    <mergeCell ref="H39:H41"/>
    <mergeCell ref="H42:H44"/>
    <mergeCell ref="I30:I32"/>
    <mergeCell ref="I33:I35"/>
    <mergeCell ref="I36:I38"/>
    <mergeCell ref="I39:I41"/>
    <mergeCell ref="I42:I44"/>
    <mergeCell ref="B3:B20"/>
    <mergeCell ref="D39:D56"/>
    <mergeCell ref="E39:E56"/>
    <mergeCell ref="G21:G23"/>
    <mergeCell ref="H3:H5"/>
    <mergeCell ref="H6:H8"/>
    <mergeCell ref="H9:H11"/>
    <mergeCell ref="H12:H14"/>
    <mergeCell ref="H15:H17"/>
    <mergeCell ref="H18:H20"/>
    <mergeCell ref="H21:H23"/>
    <mergeCell ref="H24:H26"/>
    <mergeCell ref="H27:H29"/>
    <mergeCell ref="H45:H47"/>
    <mergeCell ref="H48:H50"/>
    <mergeCell ref="H51:H53"/>
    <mergeCell ref="H54:H56"/>
    <mergeCell ref="F12:F14"/>
    <mergeCell ref="F15:F17"/>
    <mergeCell ref="A3:A89"/>
    <mergeCell ref="C39:C56"/>
    <mergeCell ref="G39:G41"/>
    <mergeCell ref="G42:G44"/>
    <mergeCell ref="G45:G47"/>
    <mergeCell ref="G54:G56"/>
    <mergeCell ref="G60:G62"/>
    <mergeCell ref="G63:G65"/>
    <mergeCell ref="G72:G74"/>
    <mergeCell ref="G33:G35"/>
    <mergeCell ref="G87:G89"/>
    <mergeCell ref="C75:C89"/>
    <mergeCell ref="G75:G77"/>
    <mergeCell ref="G27:G29"/>
    <mergeCell ref="G48:G50"/>
    <mergeCell ref="G78:G80"/>
    <mergeCell ref="G51:G53"/>
    <mergeCell ref="G57:G59"/>
    <mergeCell ref="C21:C38"/>
    <mergeCell ref="G3:G5"/>
    <mergeCell ref="F18:F20"/>
    <mergeCell ref="D3:D20"/>
    <mergeCell ref="D21:D38"/>
    <mergeCell ref="E21:E38"/>
    <mergeCell ref="L20:L21"/>
    <mergeCell ref="G24:G26"/>
    <mergeCell ref="C57:C74"/>
    <mergeCell ref="G30:G32"/>
    <mergeCell ref="G36:G38"/>
    <mergeCell ref="F27:F29"/>
    <mergeCell ref="F30:F32"/>
    <mergeCell ref="F33:F35"/>
    <mergeCell ref="F36:F38"/>
    <mergeCell ref="F21:F23"/>
    <mergeCell ref="F24:F26"/>
    <mergeCell ref="F54:F56"/>
    <mergeCell ref="F57:F59"/>
    <mergeCell ref="C3:C20"/>
    <mergeCell ref="G6:G8"/>
    <mergeCell ref="G18:G20"/>
    <mergeCell ref="G9:G11"/>
    <mergeCell ref="G12:G14"/>
    <mergeCell ref="G15:G17"/>
    <mergeCell ref="F3:F5"/>
    <mergeCell ref="F6:F8"/>
    <mergeCell ref="F9:F11"/>
    <mergeCell ref="E3:E20"/>
    <mergeCell ref="I45:I47"/>
    <mergeCell ref="F84:F86"/>
    <mergeCell ref="G84:G86"/>
    <mergeCell ref="B21:B38"/>
    <mergeCell ref="B39:B56"/>
    <mergeCell ref="B57:B74"/>
    <mergeCell ref="B75:B89"/>
    <mergeCell ref="F60:F62"/>
    <mergeCell ref="F63:F65"/>
    <mergeCell ref="F39:F41"/>
    <mergeCell ref="F42:F44"/>
    <mergeCell ref="F45:F47"/>
    <mergeCell ref="F48:F50"/>
    <mergeCell ref="F51:F53"/>
    <mergeCell ref="F87:F89"/>
    <mergeCell ref="F66:F68"/>
    <mergeCell ref="F69:F71"/>
    <mergeCell ref="F72:F74"/>
    <mergeCell ref="F75:F77"/>
    <mergeCell ref="F78:F80"/>
    <mergeCell ref="F81:F83"/>
    <mergeCell ref="D75:D89"/>
    <mergeCell ref="E75:E89"/>
    <mergeCell ref="D57:D74"/>
    <mergeCell ref="E57:E74"/>
  </mergeCells>
  <phoneticPr fontId="14" type="noConversion"/>
  <dataValidations count="1">
    <dataValidation type="list" allowBlank="1" showInputMessage="1" showErrorMessage="1" sqref="E3:E89 H3:H89" xr:uid="{5E065E6F-1617-F047-91AA-D5F56BCB37F0}">
      <formula1>$E$109:$E$113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2879-3178-954C-ABFD-F91DB92505B2}">
  <sheetPr>
    <tabColor theme="9"/>
  </sheetPr>
  <dimension ref="A1:M182"/>
  <sheetViews>
    <sheetView zoomScale="91" zoomScaleNormal="100" workbookViewId="0">
      <selection activeCell="C3" sqref="C3:C20"/>
    </sheetView>
  </sheetViews>
  <sheetFormatPr defaultColWidth="13.28515625" defaultRowHeight="15" x14ac:dyDescent="0.2"/>
  <cols>
    <col min="1" max="1" width="18.85546875" style="14" customWidth="1"/>
    <col min="2" max="2" width="7" style="14" customWidth="1"/>
    <col min="3" max="4" width="20.7109375" style="15" customWidth="1"/>
    <col min="5" max="5" width="18.85546875" style="15" customWidth="1"/>
    <col min="6" max="6" width="7" style="15" customWidth="1"/>
    <col min="7" max="7" width="46.140625" style="15" customWidth="1"/>
    <col min="8" max="8" width="18.85546875" style="15" customWidth="1"/>
    <col min="9" max="9" width="32.28515625" style="15" customWidth="1"/>
    <col min="10" max="10" width="9.7109375" style="15" customWidth="1"/>
    <col min="11" max="11" width="45.140625" style="3" customWidth="1"/>
    <col min="12" max="12" width="12" style="14" customWidth="1"/>
    <col min="13" max="13" width="32.140625" style="14" customWidth="1"/>
    <col min="14" max="48" width="12" style="14" customWidth="1"/>
    <col min="49" max="256" width="13.28515625" style="14"/>
    <col min="257" max="257" width="40.28515625" style="14" customWidth="1"/>
    <col min="258" max="258" width="48.85546875" style="14" customWidth="1"/>
    <col min="259" max="259" width="53.28515625" style="14" customWidth="1"/>
    <col min="260" max="260" width="56.28515625" style="14" customWidth="1"/>
    <col min="261" max="304" width="12" style="14" customWidth="1"/>
    <col min="305" max="512" width="13.28515625" style="14"/>
    <col min="513" max="513" width="40.28515625" style="14" customWidth="1"/>
    <col min="514" max="514" width="48.85546875" style="14" customWidth="1"/>
    <col min="515" max="515" width="53.28515625" style="14" customWidth="1"/>
    <col min="516" max="516" width="56.28515625" style="14" customWidth="1"/>
    <col min="517" max="560" width="12" style="14" customWidth="1"/>
    <col min="561" max="768" width="13.28515625" style="14"/>
    <col min="769" max="769" width="40.28515625" style="14" customWidth="1"/>
    <col min="770" max="770" width="48.85546875" style="14" customWidth="1"/>
    <col min="771" max="771" width="53.28515625" style="14" customWidth="1"/>
    <col min="772" max="772" width="56.28515625" style="14" customWidth="1"/>
    <col min="773" max="816" width="12" style="14" customWidth="1"/>
    <col min="817" max="1024" width="13.28515625" style="14"/>
    <col min="1025" max="1025" width="40.28515625" style="14" customWidth="1"/>
    <col min="1026" max="1026" width="48.85546875" style="14" customWidth="1"/>
    <col min="1027" max="1027" width="53.28515625" style="14" customWidth="1"/>
    <col min="1028" max="1028" width="56.28515625" style="14" customWidth="1"/>
    <col min="1029" max="1072" width="12" style="14" customWidth="1"/>
    <col min="1073" max="1280" width="13.28515625" style="14"/>
    <col min="1281" max="1281" width="40.28515625" style="14" customWidth="1"/>
    <col min="1282" max="1282" width="48.85546875" style="14" customWidth="1"/>
    <col min="1283" max="1283" width="53.28515625" style="14" customWidth="1"/>
    <col min="1284" max="1284" width="56.28515625" style="14" customWidth="1"/>
    <col min="1285" max="1328" width="12" style="14" customWidth="1"/>
    <col min="1329" max="1536" width="13.28515625" style="14"/>
    <col min="1537" max="1537" width="40.28515625" style="14" customWidth="1"/>
    <col min="1538" max="1538" width="48.85546875" style="14" customWidth="1"/>
    <col min="1539" max="1539" width="53.28515625" style="14" customWidth="1"/>
    <col min="1540" max="1540" width="56.28515625" style="14" customWidth="1"/>
    <col min="1541" max="1584" width="12" style="14" customWidth="1"/>
    <col min="1585" max="1792" width="13.28515625" style="14"/>
    <col min="1793" max="1793" width="40.28515625" style="14" customWidth="1"/>
    <col min="1794" max="1794" width="48.85546875" style="14" customWidth="1"/>
    <col min="1795" max="1795" width="53.28515625" style="14" customWidth="1"/>
    <col min="1796" max="1796" width="56.28515625" style="14" customWidth="1"/>
    <col min="1797" max="1840" width="12" style="14" customWidth="1"/>
    <col min="1841" max="2048" width="13.28515625" style="14"/>
    <col min="2049" max="2049" width="40.28515625" style="14" customWidth="1"/>
    <col min="2050" max="2050" width="48.85546875" style="14" customWidth="1"/>
    <col min="2051" max="2051" width="53.28515625" style="14" customWidth="1"/>
    <col min="2052" max="2052" width="56.28515625" style="14" customWidth="1"/>
    <col min="2053" max="2096" width="12" style="14" customWidth="1"/>
    <col min="2097" max="2304" width="13.28515625" style="14"/>
    <col min="2305" max="2305" width="40.28515625" style="14" customWidth="1"/>
    <col min="2306" max="2306" width="48.85546875" style="14" customWidth="1"/>
    <col min="2307" max="2307" width="53.28515625" style="14" customWidth="1"/>
    <col min="2308" max="2308" width="56.28515625" style="14" customWidth="1"/>
    <col min="2309" max="2352" width="12" style="14" customWidth="1"/>
    <col min="2353" max="2560" width="13.28515625" style="14"/>
    <col min="2561" max="2561" width="40.28515625" style="14" customWidth="1"/>
    <col min="2562" max="2562" width="48.85546875" style="14" customWidth="1"/>
    <col min="2563" max="2563" width="53.28515625" style="14" customWidth="1"/>
    <col min="2564" max="2564" width="56.28515625" style="14" customWidth="1"/>
    <col min="2565" max="2608" width="12" style="14" customWidth="1"/>
    <col min="2609" max="2816" width="13.28515625" style="14"/>
    <col min="2817" max="2817" width="40.28515625" style="14" customWidth="1"/>
    <col min="2818" max="2818" width="48.85546875" style="14" customWidth="1"/>
    <col min="2819" max="2819" width="53.28515625" style="14" customWidth="1"/>
    <col min="2820" max="2820" width="56.28515625" style="14" customWidth="1"/>
    <col min="2821" max="2864" width="12" style="14" customWidth="1"/>
    <col min="2865" max="3072" width="13.28515625" style="14"/>
    <col min="3073" max="3073" width="40.28515625" style="14" customWidth="1"/>
    <col min="3074" max="3074" width="48.85546875" style="14" customWidth="1"/>
    <col min="3075" max="3075" width="53.28515625" style="14" customWidth="1"/>
    <col min="3076" max="3076" width="56.28515625" style="14" customWidth="1"/>
    <col min="3077" max="3120" width="12" style="14" customWidth="1"/>
    <col min="3121" max="3328" width="13.28515625" style="14"/>
    <col min="3329" max="3329" width="40.28515625" style="14" customWidth="1"/>
    <col min="3330" max="3330" width="48.85546875" style="14" customWidth="1"/>
    <col min="3331" max="3331" width="53.28515625" style="14" customWidth="1"/>
    <col min="3332" max="3332" width="56.28515625" style="14" customWidth="1"/>
    <col min="3333" max="3376" width="12" style="14" customWidth="1"/>
    <col min="3377" max="3584" width="13.28515625" style="14"/>
    <col min="3585" max="3585" width="40.28515625" style="14" customWidth="1"/>
    <col min="3586" max="3586" width="48.85546875" style="14" customWidth="1"/>
    <col min="3587" max="3587" width="53.28515625" style="14" customWidth="1"/>
    <col min="3588" max="3588" width="56.28515625" style="14" customWidth="1"/>
    <col min="3589" max="3632" width="12" style="14" customWidth="1"/>
    <col min="3633" max="3840" width="13.28515625" style="14"/>
    <col min="3841" max="3841" width="40.28515625" style="14" customWidth="1"/>
    <col min="3842" max="3842" width="48.85546875" style="14" customWidth="1"/>
    <col min="3843" max="3843" width="53.28515625" style="14" customWidth="1"/>
    <col min="3844" max="3844" width="56.28515625" style="14" customWidth="1"/>
    <col min="3845" max="3888" width="12" style="14" customWidth="1"/>
    <col min="3889" max="4096" width="13.28515625" style="14"/>
    <col min="4097" max="4097" width="40.28515625" style="14" customWidth="1"/>
    <col min="4098" max="4098" width="48.85546875" style="14" customWidth="1"/>
    <col min="4099" max="4099" width="53.28515625" style="14" customWidth="1"/>
    <col min="4100" max="4100" width="56.28515625" style="14" customWidth="1"/>
    <col min="4101" max="4144" width="12" style="14" customWidth="1"/>
    <col min="4145" max="4352" width="13.28515625" style="14"/>
    <col min="4353" max="4353" width="40.28515625" style="14" customWidth="1"/>
    <col min="4354" max="4354" width="48.85546875" style="14" customWidth="1"/>
    <col min="4355" max="4355" width="53.28515625" style="14" customWidth="1"/>
    <col min="4356" max="4356" width="56.28515625" style="14" customWidth="1"/>
    <col min="4357" max="4400" width="12" style="14" customWidth="1"/>
    <col min="4401" max="4608" width="13.28515625" style="14"/>
    <col min="4609" max="4609" width="40.28515625" style="14" customWidth="1"/>
    <col min="4610" max="4610" width="48.85546875" style="14" customWidth="1"/>
    <col min="4611" max="4611" width="53.28515625" style="14" customWidth="1"/>
    <col min="4612" max="4612" width="56.28515625" style="14" customWidth="1"/>
    <col min="4613" max="4656" width="12" style="14" customWidth="1"/>
    <col min="4657" max="4864" width="13.28515625" style="14"/>
    <col min="4865" max="4865" width="40.28515625" style="14" customWidth="1"/>
    <col min="4866" max="4866" width="48.85546875" style="14" customWidth="1"/>
    <col min="4867" max="4867" width="53.28515625" style="14" customWidth="1"/>
    <col min="4868" max="4868" width="56.28515625" style="14" customWidth="1"/>
    <col min="4869" max="4912" width="12" style="14" customWidth="1"/>
    <col min="4913" max="5120" width="13.28515625" style="14"/>
    <col min="5121" max="5121" width="40.28515625" style="14" customWidth="1"/>
    <col min="5122" max="5122" width="48.85546875" style="14" customWidth="1"/>
    <col min="5123" max="5123" width="53.28515625" style="14" customWidth="1"/>
    <col min="5124" max="5124" width="56.28515625" style="14" customWidth="1"/>
    <col min="5125" max="5168" width="12" style="14" customWidth="1"/>
    <col min="5169" max="5376" width="13.28515625" style="14"/>
    <col min="5377" max="5377" width="40.28515625" style="14" customWidth="1"/>
    <col min="5378" max="5378" width="48.85546875" style="14" customWidth="1"/>
    <col min="5379" max="5379" width="53.28515625" style="14" customWidth="1"/>
    <col min="5380" max="5380" width="56.28515625" style="14" customWidth="1"/>
    <col min="5381" max="5424" width="12" style="14" customWidth="1"/>
    <col min="5425" max="5632" width="13.28515625" style="14"/>
    <col min="5633" max="5633" width="40.28515625" style="14" customWidth="1"/>
    <col min="5634" max="5634" width="48.85546875" style="14" customWidth="1"/>
    <col min="5635" max="5635" width="53.28515625" style="14" customWidth="1"/>
    <col min="5636" max="5636" width="56.28515625" style="14" customWidth="1"/>
    <col min="5637" max="5680" width="12" style="14" customWidth="1"/>
    <col min="5681" max="5888" width="13.28515625" style="14"/>
    <col min="5889" max="5889" width="40.28515625" style="14" customWidth="1"/>
    <col min="5890" max="5890" width="48.85546875" style="14" customWidth="1"/>
    <col min="5891" max="5891" width="53.28515625" style="14" customWidth="1"/>
    <col min="5892" max="5892" width="56.28515625" style="14" customWidth="1"/>
    <col min="5893" max="5936" width="12" style="14" customWidth="1"/>
    <col min="5937" max="6144" width="13.28515625" style="14"/>
    <col min="6145" max="6145" width="40.28515625" style="14" customWidth="1"/>
    <col min="6146" max="6146" width="48.85546875" style="14" customWidth="1"/>
    <col min="6147" max="6147" width="53.28515625" style="14" customWidth="1"/>
    <col min="6148" max="6148" width="56.28515625" style="14" customWidth="1"/>
    <col min="6149" max="6192" width="12" style="14" customWidth="1"/>
    <col min="6193" max="6400" width="13.28515625" style="14"/>
    <col min="6401" max="6401" width="40.28515625" style="14" customWidth="1"/>
    <col min="6402" max="6402" width="48.85546875" style="14" customWidth="1"/>
    <col min="6403" max="6403" width="53.28515625" style="14" customWidth="1"/>
    <col min="6404" max="6404" width="56.28515625" style="14" customWidth="1"/>
    <col min="6405" max="6448" width="12" style="14" customWidth="1"/>
    <col min="6449" max="6656" width="13.28515625" style="14"/>
    <col min="6657" max="6657" width="40.28515625" style="14" customWidth="1"/>
    <col min="6658" max="6658" width="48.85546875" style="14" customWidth="1"/>
    <col min="6659" max="6659" width="53.28515625" style="14" customWidth="1"/>
    <col min="6660" max="6660" width="56.28515625" style="14" customWidth="1"/>
    <col min="6661" max="6704" width="12" style="14" customWidth="1"/>
    <col min="6705" max="6912" width="13.28515625" style="14"/>
    <col min="6913" max="6913" width="40.28515625" style="14" customWidth="1"/>
    <col min="6914" max="6914" width="48.85546875" style="14" customWidth="1"/>
    <col min="6915" max="6915" width="53.28515625" style="14" customWidth="1"/>
    <col min="6916" max="6916" width="56.28515625" style="14" customWidth="1"/>
    <col min="6917" max="6960" width="12" style="14" customWidth="1"/>
    <col min="6961" max="7168" width="13.28515625" style="14"/>
    <col min="7169" max="7169" width="40.28515625" style="14" customWidth="1"/>
    <col min="7170" max="7170" width="48.85546875" style="14" customWidth="1"/>
    <col min="7171" max="7171" width="53.28515625" style="14" customWidth="1"/>
    <col min="7172" max="7172" width="56.28515625" style="14" customWidth="1"/>
    <col min="7173" max="7216" width="12" style="14" customWidth="1"/>
    <col min="7217" max="7424" width="13.28515625" style="14"/>
    <col min="7425" max="7425" width="40.28515625" style="14" customWidth="1"/>
    <col min="7426" max="7426" width="48.85546875" style="14" customWidth="1"/>
    <col min="7427" max="7427" width="53.28515625" style="14" customWidth="1"/>
    <col min="7428" max="7428" width="56.28515625" style="14" customWidth="1"/>
    <col min="7429" max="7472" width="12" style="14" customWidth="1"/>
    <col min="7473" max="7680" width="13.28515625" style="14"/>
    <col min="7681" max="7681" width="40.28515625" style="14" customWidth="1"/>
    <col min="7682" max="7682" width="48.85546875" style="14" customWidth="1"/>
    <col min="7683" max="7683" width="53.28515625" style="14" customWidth="1"/>
    <col min="7684" max="7684" width="56.28515625" style="14" customWidth="1"/>
    <col min="7685" max="7728" width="12" style="14" customWidth="1"/>
    <col min="7729" max="7936" width="13.28515625" style="14"/>
    <col min="7937" max="7937" width="40.28515625" style="14" customWidth="1"/>
    <col min="7938" max="7938" width="48.85546875" style="14" customWidth="1"/>
    <col min="7939" max="7939" width="53.28515625" style="14" customWidth="1"/>
    <col min="7940" max="7940" width="56.28515625" style="14" customWidth="1"/>
    <col min="7941" max="7984" width="12" style="14" customWidth="1"/>
    <col min="7985" max="8192" width="13.28515625" style="14"/>
    <col min="8193" max="8193" width="40.28515625" style="14" customWidth="1"/>
    <col min="8194" max="8194" width="48.85546875" style="14" customWidth="1"/>
    <col min="8195" max="8195" width="53.28515625" style="14" customWidth="1"/>
    <col min="8196" max="8196" width="56.28515625" style="14" customWidth="1"/>
    <col min="8197" max="8240" width="12" style="14" customWidth="1"/>
    <col min="8241" max="8448" width="13.28515625" style="14"/>
    <col min="8449" max="8449" width="40.28515625" style="14" customWidth="1"/>
    <col min="8450" max="8450" width="48.85546875" style="14" customWidth="1"/>
    <col min="8451" max="8451" width="53.28515625" style="14" customWidth="1"/>
    <col min="8452" max="8452" width="56.28515625" style="14" customWidth="1"/>
    <col min="8453" max="8496" width="12" style="14" customWidth="1"/>
    <col min="8497" max="8704" width="13.28515625" style="14"/>
    <col min="8705" max="8705" width="40.28515625" style="14" customWidth="1"/>
    <col min="8706" max="8706" width="48.85546875" style="14" customWidth="1"/>
    <col min="8707" max="8707" width="53.28515625" style="14" customWidth="1"/>
    <col min="8708" max="8708" width="56.28515625" style="14" customWidth="1"/>
    <col min="8709" max="8752" width="12" style="14" customWidth="1"/>
    <col min="8753" max="8960" width="13.28515625" style="14"/>
    <col min="8961" max="8961" width="40.28515625" style="14" customWidth="1"/>
    <col min="8962" max="8962" width="48.85546875" style="14" customWidth="1"/>
    <col min="8963" max="8963" width="53.28515625" style="14" customWidth="1"/>
    <col min="8964" max="8964" width="56.28515625" style="14" customWidth="1"/>
    <col min="8965" max="9008" width="12" style="14" customWidth="1"/>
    <col min="9009" max="9216" width="13.28515625" style="14"/>
    <col min="9217" max="9217" width="40.28515625" style="14" customWidth="1"/>
    <col min="9218" max="9218" width="48.85546875" style="14" customWidth="1"/>
    <col min="9219" max="9219" width="53.28515625" style="14" customWidth="1"/>
    <col min="9220" max="9220" width="56.28515625" style="14" customWidth="1"/>
    <col min="9221" max="9264" width="12" style="14" customWidth="1"/>
    <col min="9265" max="9472" width="13.28515625" style="14"/>
    <col min="9473" max="9473" width="40.28515625" style="14" customWidth="1"/>
    <col min="9474" max="9474" width="48.85546875" style="14" customWidth="1"/>
    <col min="9475" max="9475" width="53.28515625" style="14" customWidth="1"/>
    <col min="9476" max="9476" width="56.28515625" style="14" customWidth="1"/>
    <col min="9477" max="9520" width="12" style="14" customWidth="1"/>
    <col min="9521" max="9728" width="13.28515625" style="14"/>
    <col min="9729" max="9729" width="40.28515625" style="14" customWidth="1"/>
    <col min="9730" max="9730" width="48.85546875" style="14" customWidth="1"/>
    <col min="9731" max="9731" width="53.28515625" style="14" customWidth="1"/>
    <col min="9732" max="9732" width="56.28515625" style="14" customWidth="1"/>
    <col min="9733" max="9776" width="12" style="14" customWidth="1"/>
    <col min="9777" max="9984" width="13.28515625" style="14"/>
    <col min="9985" max="9985" width="40.28515625" style="14" customWidth="1"/>
    <col min="9986" max="9986" width="48.85546875" style="14" customWidth="1"/>
    <col min="9987" max="9987" width="53.28515625" style="14" customWidth="1"/>
    <col min="9988" max="9988" width="56.28515625" style="14" customWidth="1"/>
    <col min="9989" max="10032" width="12" style="14" customWidth="1"/>
    <col min="10033" max="10240" width="13.28515625" style="14"/>
    <col min="10241" max="10241" width="40.28515625" style="14" customWidth="1"/>
    <col min="10242" max="10242" width="48.85546875" style="14" customWidth="1"/>
    <col min="10243" max="10243" width="53.28515625" style="14" customWidth="1"/>
    <col min="10244" max="10244" width="56.28515625" style="14" customWidth="1"/>
    <col min="10245" max="10288" width="12" style="14" customWidth="1"/>
    <col min="10289" max="10496" width="13.28515625" style="14"/>
    <col min="10497" max="10497" width="40.28515625" style="14" customWidth="1"/>
    <col min="10498" max="10498" width="48.85546875" style="14" customWidth="1"/>
    <col min="10499" max="10499" width="53.28515625" style="14" customWidth="1"/>
    <col min="10500" max="10500" width="56.28515625" style="14" customWidth="1"/>
    <col min="10501" max="10544" width="12" style="14" customWidth="1"/>
    <col min="10545" max="10752" width="13.28515625" style="14"/>
    <col min="10753" max="10753" width="40.28515625" style="14" customWidth="1"/>
    <col min="10754" max="10754" width="48.85546875" style="14" customWidth="1"/>
    <col min="10755" max="10755" width="53.28515625" style="14" customWidth="1"/>
    <col min="10756" max="10756" width="56.28515625" style="14" customWidth="1"/>
    <col min="10757" max="10800" width="12" style="14" customWidth="1"/>
    <col min="10801" max="11008" width="13.28515625" style="14"/>
    <col min="11009" max="11009" width="40.28515625" style="14" customWidth="1"/>
    <col min="11010" max="11010" width="48.85546875" style="14" customWidth="1"/>
    <col min="11011" max="11011" width="53.28515625" style="14" customWidth="1"/>
    <col min="11012" max="11012" width="56.28515625" style="14" customWidth="1"/>
    <col min="11013" max="11056" width="12" style="14" customWidth="1"/>
    <col min="11057" max="11264" width="13.28515625" style="14"/>
    <col min="11265" max="11265" width="40.28515625" style="14" customWidth="1"/>
    <col min="11266" max="11266" width="48.85546875" style="14" customWidth="1"/>
    <col min="11267" max="11267" width="53.28515625" style="14" customWidth="1"/>
    <col min="11268" max="11268" width="56.28515625" style="14" customWidth="1"/>
    <col min="11269" max="11312" width="12" style="14" customWidth="1"/>
    <col min="11313" max="11520" width="13.28515625" style="14"/>
    <col min="11521" max="11521" width="40.28515625" style="14" customWidth="1"/>
    <col min="11522" max="11522" width="48.85546875" style="14" customWidth="1"/>
    <col min="11523" max="11523" width="53.28515625" style="14" customWidth="1"/>
    <col min="11524" max="11524" width="56.28515625" style="14" customWidth="1"/>
    <col min="11525" max="11568" width="12" style="14" customWidth="1"/>
    <col min="11569" max="11776" width="13.28515625" style="14"/>
    <col min="11777" max="11777" width="40.28515625" style="14" customWidth="1"/>
    <col min="11778" max="11778" width="48.85546875" style="14" customWidth="1"/>
    <col min="11779" max="11779" width="53.28515625" style="14" customWidth="1"/>
    <col min="11780" max="11780" width="56.28515625" style="14" customWidth="1"/>
    <col min="11781" max="11824" width="12" style="14" customWidth="1"/>
    <col min="11825" max="12032" width="13.28515625" style="14"/>
    <col min="12033" max="12033" width="40.28515625" style="14" customWidth="1"/>
    <col min="12034" max="12034" width="48.85546875" style="14" customWidth="1"/>
    <col min="12035" max="12035" width="53.28515625" style="14" customWidth="1"/>
    <col min="12036" max="12036" width="56.28515625" style="14" customWidth="1"/>
    <col min="12037" max="12080" width="12" style="14" customWidth="1"/>
    <col min="12081" max="12288" width="13.28515625" style="14"/>
    <col min="12289" max="12289" width="40.28515625" style="14" customWidth="1"/>
    <col min="12290" max="12290" width="48.85546875" style="14" customWidth="1"/>
    <col min="12291" max="12291" width="53.28515625" style="14" customWidth="1"/>
    <col min="12292" max="12292" width="56.28515625" style="14" customWidth="1"/>
    <col min="12293" max="12336" width="12" style="14" customWidth="1"/>
    <col min="12337" max="12544" width="13.28515625" style="14"/>
    <col min="12545" max="12545" width="40.28515625" style="14" customWidth="1"/>
    <col min="12546" max="12546" width="48.85546875" style="14" customWidth="1"/>
    <col min="12547" max="12547" width="53.28515625" style="14" customWidth="1"/>
    <col min="12548" max="12548" width="56.28515625" style="14" customWidth="1"/>
    <col min="12549" max="12592" width="12" style="14" customWidth="1"/>
    <col min="12593" max="12800" width="13.28515625" style="14"/>
    <col min="12801" max="12801" width="40.28515625" style="14" customWidth="1"/>
    <col min="12802" max="12802" width="48.85546875" style="14" customWidth="1"/>
    <col min="12803" max="12803" width="53.28515625" style="14" customWidth="1"/>
    <col min="12804" max="12804" width="56.28515625" style="14" customWidth="1"/>
    <col min="12805" max="12848" width="12" style="14" customWidth="1"/>
    <col min="12849" max="13056" width="13.28515625" style="14"/>
    <col min="13057" max="13057" width="40.28515625" style="14" customWidth="1"/>
    <col min="13058" max="13058" width="48.85546875" style="14" customWidth="1"/>
    <col min="13059" max="13059" width="53.28515625" style="14" customWidth="1"/>
    <col min="13060" max="13060" width="56.28515625" style="14" customWidth="1"/>
    <col min="13061" max="13104" width="12" style="14" customWidth="1"/>
    <col min="13105" max="13312" width="13.28515625" style="14"/>
    <col min="13313" max="13313" width="40.28515625" style="14" customWidth="1"/>
    <col min="13314" max="13314" width="48.85546875" style="14" customWidth="1"/>
    <col min="13315" max="13315" width="53.28515625" style="14" customWidth="1"/>
    <col min="13316" max="13316" width="56.28515625" style="14" customWidth="1"/>
    <col min="13317" max="13360" width="12" style="14" customWidth="1"/>
    <col min="13361" max="13568" width="13.28515625" style="14"/>
    <col min="13569" max="13569" width="40.28515625" style="14" customWidth="1"/>
    <col min="13570" max="13570" width="48.85546875" style="14" customWidth="1"/>
    <col min="13571" max="13571" width="53.28515625" style="14" customWidth="1"/>
    <col min="13572" max="13572" width="56.28515625" style="14" customWidth="1"/>
    <col min="13573" max="13616" width="12" style="14" customWidth="1"/>
    <col min="13617" max="13824" width="13.28515625" style="14"/>
    <col min="13825" max="13825" width="40.28515625" style="14" customWidth="1"/>
    <col min="13826" max="13826" width="48.85546875" style="14" customWidth="1"/>
    <col min="13827" max="13827" width="53.28515625" style="14" customWidth="1"/>
    <col min="13828" max="13828" width="56.28515625" style="14" customWidth="1"/>
    <col min="13829" max="13872" width="12" style="14" customWidth="1"/>
    <col min="13873" max="14080" width="13.28515625" style="14"/>
    <col min="14081" max="14081" width="40.28515625" style="14" customWidth="1"/>
    <col min="14082" max="14082" width="48.85546875" style="14" customWidth="1"/>
    <col min="14083" max="14083" width="53.28515625" style="14" customWidth="1"/>
    <col min="14084" max="14084" width="56.28515625" style="14" customWidth="1"/>
    <col min="14085" max="14128" width="12" style="14" customWidth="1"/>
    <col min="14129" max="14336" width="13.28515625" style="14"/>
    <col min="14337" max="14337" width="40.28515625" style="14" customWidth="1"/>
    <col min="14338" max="14338" width="48.85546875" style="14" customWidth="1"/>
    <col min="14339" max="14339" width="53.28515625" style="14" customWidth="1"/>
    <col min="14340" max="14340" width="56.28515625" style="14" customWidth="1"/>
    <col min="14341" max="14384" width="12" style="14" customWidth="1"/>
    <col min="14385" max="14592" width="13.28515625" style="14"/>
    <col min="14593" max="14593" width="40.28515625" style="14" customWidth="1"/>
    <col min="14594" max="14594" width="48.85546875" style="14" customWidth="1"/>
    <col min="14595" max="14595" width="53.28515625" style="14" customWidth="1"/>
    <col min="14596" max="14596" width="56.28515625" style="14" customWidth="1"/>
    <col min="14597" max="14640" width="12" style="14" customWidth="1"/>
    <col min="14641" max="14848" width="13.28515625" style="14"/>
    <col min="14849" max="14849" width="40.28515625" style="14" customWidth="1"/>
    <col min="14850" max="14850" width="48.85546875" style="14" customWidth="1"/>
    <col min="14851" max="14851" width="53.28515625" style="14" customWidth="1"/>
    <col min="14852" max="14852" width="56.28515625" style="14" customWidth="1"/>
    <col min="14853" max="14896" width="12" style="14" customWidth="1"/>
    <col min="14897" max="15104" width="13.28515625" style="14"/>
    <col min="15105" max="15105" width="40.28515625" style="14" customWidth="1"/>
    <col min="15106" max="15106" width="48.85546875" style="14" customWidth="1"/>
    <col min="15107" max="15107" width="53.28515625" style="14" customWidth="1"/>
    <col min="15108" max="15108" width="56.28515625" style="14" customWidth="1"/>
    <col min="15109" max="15152" width="12" style="14" customWidth="1"/>
    <col min="15153" max="15360" width="13.28515625" style="14"/>
    <col min="15361" max="15361" width="40.28515625" style="14" customWidth="1"/>
    <col min="15362" max="15362" width="48.85546875" style="14" customWidth="1"/>
    <col min="15363" max="15363" width="53.28515625" style="14" customWidth="1"/>
    <col min="15364" max="15364" width="56.28515625" style="14" customWidth="1"/>
    <col min="15365" max="15408" width="12" style="14" customWidth="1"/>
    <col min="15409" max="15616" width="13.28515625" style="14"/>
    <col min="15617" max="15617" width="40.28515625" style="14" customWidth="1"/>
    <col min="15618" max="15618" width="48.85546875" style="14" customWidth="1"/>
    <col min="15619" max="15619" width="53.28515625" style="14" customWidth="1"/>
    <col min="15620" max="15620" width="56.28515625" style="14" customWidth="1"/>
    <col min="15621" max="15664" width="12" style="14" customWidth="1"/>
    <col min="15665" max="15872" width="13.28515625" style="14"/>
    <col min="15873" max="15873" width="40.28515625" style="14" customWidth="1"/>
    <col min="15874" max="15874" width="48.85546875" style="14" customWidth="1"/>
    <col min="15875" max="15875" width="53.28515625" style="14" customWidth="1"/>
    <col min="15876" max="15876" width="56.28515625" style="14" customWidth="1"/>
    <col min="15877" max="15920" width="12" style="14" customWidth="1"/>
    <col min="15921" max="16128" width="13.28515625" style="14"/>
    <col min="16129" max="16129" width="40.28515625" style="14" customWidth="1"/>
    <col min="16130" max="16130" width="48.85546875" style="14" customWidth="1"/>
    <col min="16131" max="16131" width="53.28515625" style="14" customWidth="1"/>
    <col min="16132" max="16132" width="56.28515625" style="14" customWidth="1"/>
    <col min="16133" max="16176" width="12" style="14" customWidth="1"/>
    <col min="16177" max="16384" width="13.28515625" style="14"/>
  </cols>
  <sheetData>
    <row r="1" spans="1:13" ht="30" customHeight="1" x14ac:dyDescent="0.2">
      <c r="A1" s="18"/>
      <c r="B1" s="18"/>
      <c r="C1" s="19"/>
      <c r="D1" s="19"/>
      <c r="E1" s="19"/>
      <c r="F1" s="19"/>
      <c r="G1" s="19"/>
      <c r="H1" s="19"/>
      <c r="I1" s="19"/>
      <c r="J1" s="19"/>
    </row>
    <row r="2" spans="1:13"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3" ht="25.5" x14ac:dyDescent="0.2">
      <c r="A3" s="337" t="s">
        <v>1658</v>
      </c>
      <c r="B3" s="275" t="s">
        <v>992</v>
      </c>
      <c r="C3" s="275" t="s">
        <v>527</v>
      </c>
      <c r="D3" s="275"/>
      <c r="E3" s="275"/>
      <c r="F3" s="288" t="s">
        <v>993</v>
      </c>
      <c r="G3" s="272"/>
      <c r="H3" s="272"/>
      <c r="I3" s="272"/>
      <c r="J3" s="109" t="s">
        <v>1043</v>
      </c>
      <c r="K3" s="7"/>
      <c r="M3" s="96" t="s">
        <v>527</v>
      </c>
    </row>
    <row r="4" spans="1:13" ht="25.5" x14ac:dyDescent="0.2">
      <c r="A4" s="288"/>
      <c r="B4" s="275"/>
      <c r="C4" s="275"/>
      <c r="D4" s="275"/>
      <c r="E4" s="275"/>
      <c r="F4" s="288"/>
      <c r="G4" s="272"/>
      <c r="H4" s="272"/>
      <c r="I4" s="272"/>
      <c r="J4" s="109" t="s">
        <v>1044</v>
      </c>
      <c r="K4" s="7"/>
      <c r="M4" s="117" t="s">
        <v>1137</v>
      </c>
    </row>
    <row r="5" spans="1:13" ht="25.5" x14ac:dyDescent="0.2">
      <c r="A5" s="273"/>
      <c r="B5" s="276"/>
      <c r="C5" s="276"/>
      <c r="D5" s="276"/>
      <c r="E5" s="276"/>
      <c r="F5" s="273"/>
      <c r="G5" s="273"/>
      <c r="H5" s="273"/>
      <c r="I5" s="273"/>
      <c r="J5" s="109" t="s">
        <v>1045</v>
      </c>
      <c r="K5" s="7"/>
      <c r="M5" s="96" t="s">
        <v>530</v>
      </c>
    </row>
    <row r="6" spans="1:13" ht="15" customHeight="1" x14ac:dyDescent="0.2">
      <c r="A6" s="273"/>
      <c r="B6" s="276"/>
      <c r="C6" s="276"/>
      <c r="D6" s="276"/>
      <c r="E6" s="276"/>
      <c r="F6" s="288" t="s">
        <v>994</v>
      </c>
      <c r="G6" s="289"/>
      <c r="H6" s="272"/>
      <c r="I6" s="289"/>
      <c r="J6" s="109" t="s">
        <v>1046</v>
      </c>
      <c r="K6" s="7"/>
      <c r="M6" s="100" t="s">
        <v>1138</v>
      </c>
    </row>
    <row r="7" spans="1:13" ht="15" customHeight="1" x14ac:dyDescent="0.2">
      <c r="A7" s="273"/>
      <c r="B7" s="276"/>
      <c r="C7" s="276"/>
      <c r="D7" s="276"/>
      <c r="E7" s="276"/>
      <c r="F7" s="288"/>
      <c r="G7" s="289"/>
      <c r="H7" s="272"/>
      <c r="I7" s="289"/>
      <c r="J7" s="109" t="s">
        <v>1047</v>
      </c>
      <c r="K7" s="7"/>
      <c r="M7" s="117" t="s">
        <v>1139</v>
      </c>
    </row>
    <row r="8" spans="1:13" x14ac:dyDescent="0.2">
      <c r="A8" s="273"/>
      <c r="B8" s="276"/>
      <c r="C8" s="276"/>
      <c r="D8" s="276"/>
      <c r="E8" s="276"/>
      <c r="F8" s="273"/>
      <c r="G8" s="273"/>
      <c r="H8" s="273"/>
      <c r="I8" s="273"/>
      <c r="J8" s="109" t="s">
        <v>1048</v>
      </c>
      <c r="K8" s="7"/>
    </row>
    <row r="9" spans="1:13" ht="15" customHeight="1" x14ac:dyDescent="0.2">
      <c r="A9" s="273"/>
      <c r="B9" s="276"/>
      <c r="C9" s="276"/>
      <c r="D9" s="276"/>
      <c r="E9" s="276"/>
      <c r="F9" s="288" t="s">
        <v>995</v>
      </c>
      <c r="G9" s="272"/>
      <c r="H9" s="272"/>
      <c r="I9" s="272"/>
      <c r="J9" s="26"/>
      <c r="K9" s="7"/>
    </row>
    <row r="10" spans="1:13" ht="15" customHeight="1" x14ac:dyDescent="0.2">
      <c r="A10" s="273"/>
      <c r="B10" s="276"/>
      <c r="C10" s="276"/>
      <c r="D10" s="276"/>
      <c r="E10" s="276"/>
      <c r="F10" s="288"/>
      <c r="G10" s="272"/>
      <c r="H10" s="272"/>
      <c r="I10" s="272"/>
      <c r="J10" s="26"/>
      <c r="K10" s="7"/>
    </row>
    <row r="11" spans="1:13" x14ac:dyDescent="0.2">
      <c r="A11" s="273"/>
      <c r="B11" s="276"/>
      <c r="C11" s="276"/>
      <c r="D11" s="276"/>
      <c r="E11" s="276"/>
      <c r="F11" s="273"/>
      <c r="G11" s="273"/>
      <c r="H11" s="273"/>
      <c r="I11" s="273"/>
      <c r="J11" s="89"/>
      <c r="K11" s="7"/>
    </row>
    <row r="12" spans="1:13" ht="15" customHeight="1" x14ac:dyDescent="0.2">
      <c r="A12" s="273"/>
      <c r="B12" s="276"/>
      <c r="C12" s="276"/>
      <c r="D12" s="276"/>
      <c r="E12" s="276"/>
      <c r="F12" s="288" t="s">
        <v>996</v>
      </c>
      <c r="G12" s="272"/>
      <c r="H12" s="272"/>
      <c r="I12" s="272"/>
      <c r="J12" s="26"/>
      <c r="K12" s="7"/>
    </row>
    <row r="13" spans="1:13" ht="15" customHeight="1" x14ac:dyDescent="0.2">
      <c r="A13" s="273"/>
      <c r="B13" s="276"/>
      <c r="C13" s="276"/>
      <c r="D13" s="276"/>
      <c r="E13" s="276"/>
      <c r="F13" s="288"/>
      <c r="G13" s="272"/>
      <c r="H13" s="272"/>
      <c r="I13" s="272"/>
      <c r="J13" s="26"/>
      <c r="K13" s="7"/>
    </row>
    <row r="14" spans="1:13" x14ac:dyDescent="0.2">
      <c r="A14" s="273"/>
      <c r="B14" s="276"/>
      <c r="C14" s="276"/>
      <c r="D14" s="276"/>
      <c r="E14" s="276"/>
      <c r="F14" s="273"/>
      <c r="G14" s="273"/>
      <c r="H14" s="273"/>
      <c r="I14" s="273"/>
      <c r="J14" s="89"/>
      <c r="K14" s="7"/>
    </row>
    <row r="15" spans="1:13" ht="15" customHeight="1" x14ac:dyDescent="0.2">
      <c r="A15" s="273"/>
      <c r="B15" s="276"/>
      <c r="C15" s="276"/>
      <c r="D15" s="276"/>
      <c r="E15" s="276"/>
      <c r="F15" s="288" t="s">
        <v>997</v>
      </c>
      <c r="G15" s="272"/>
      <c r="H15" s="272"/>
      <c r="I15" s="272"/>
      <c r="J15" s="26"/>
      <c r="K15" s="7"/>
    </row>
    <row r="16" spans="1:13"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998</v>
      </c>
      <c r="G18" s="272"/>
      <c r="H18" s="272"/>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999</v>
      </c>
      <c r="C21" s="352" t="s">
        <v>1659</v>
      </c>
      <c r="D21" s="277"/>
      <c r="E21" s="277"/>
      <c r="F21" s="288" t="s">
        <v>1000</v>
      </c>
      <c r="G21" s="348" t="s">
        <v>4259</v>
      </c>
      <c r="H21" s="348" t="s">
        <v>528</v>
      </c>
      <c r="I21" s="348" t="s">
        <v>4260</v>
      </c>
      <c r="J21" s="39"/>
      <c r="K21" s="7"/>
    </row>
    <row r="22" spans="1:11" x14ac:dyDescent="0.2">
      <c r="A22" s="273"/>
      <c r="B22" s="278"/>
      <c r="C22" s="278"/>
      <c r="D22" s="278"/>
      <c r="E22" s="278"/>
      <c r="F22" s="288"/>
      <c r="G22" s="348"/>
      <c r="H22" s="348"/>
      <c r="I22" s="348"/>
      <c r="J22" s="39"/>
      <c r="K22" s="7"/>
    </row>
    <row r="23" spans="1:11" x14ac:dyDescent="0.2">
      <c r="A23" s="273"/>
      <c r="B23" s="279"/>
      <c r="C23" s="279"/>
      <c r="D23" s="279"/>
      <c r="E23" s="279"/>
      <c r="F23" s="273"/>
      <c r="G23" s="348"/>
      <c r="H23" s="348"/>
      <c r="I23" s="348"/>
      <c r="J23" s="89"/>
      <c r="K23" s="7"/>
    </row>
    <row r="24" spans="1:11" ht="15" customHeight="1" x14ac:dyDescent="0.2">
      <c r="A24" s="273"/>
      <c r="B24" s="279"/>
      <c r="C24" s="279"/>
      <c r="D24" s="279"/>
      <c r="E24" s="279"/>
      <c r="F24" s="288" t="s">
        <v>1001</v>
      </c>
      <c r="G24" s="348" t="s">
        <v>4261</v>
      </c>
      <c r="H24" s="348" t="s">
        <v>528</v>
      </c>
      <c r="I24" s="348" t="s">
        <v>4262</v>
      </c>
      <c r="J24" s="26"/>
      <c r="K24" s="7"/>
    </row>
    <row r="25" spans="1:11" ht="15" customHeight="1" x14ac:dyDescent="0.2">
      <c r="A25" s="273"/>
      <c r="B25" s="279"/>
      <c r="C25" s="279"/>
      <c r="D25" s="279"/>
      <c r="E25" s="279"/>
      <c r="F25" s="288"/>
      <c r="G25" s="348"/>
      <c r="H25" s="348"/>
      <c r="I25" s="348"/>
      <c r="J25" s="26"/>
      <c r="K25" s="7"/>
    </row>
    <row r="26" spans="1:11" x14ac:dyDescent="0.2">
      <c r="A26" s="273"/>
      <c r="B26" s="279"/>
      <c r="C26" s="279"/>
      <c r="D26" s="279"/>
      <c r="E26" s="279"/>
      <c r="F26" s="273"/>
      <c r="G26" s="348"/>
      <c r="H26" s="348"/>
      <c r="I26" s="348"/>
      <c r="J26" s="89"/>
      <c r="K26" s="7"/>
    </row>
    <row r="27" spans="1:11" x14ac:dyDescent="0.2">
      <c r="A27" s="273"/>
      <c r="B27" s="279"/>
      <c r="C27" s="279"/>
      <c r="D27" s="279"/>
      <c r="E27" s="279"/>
      <c r="F27" s="288" t="s">
        <v>1002</v>
      </c>
      <c r="G27" s="348" t="s">
        <v>4263</v>
      </c>
      <c r="H27" s="348" t="s">
        <v>528</v>
      </c>
      <c r="I27" s="348"/>
      <c r="J27" s="26"/>
      <c r="K27" s="7"/>
    </row>
    <row r="28" spans="1:11" x14ac:dyDescent="0.2">
      <c r="A28" s="273"/>
      <c r="B28" s="279"/>
      <c r="C28" s="279"/>
      <c r="D28" s="279"/>
      <c r="E28" s="279"/>
      <c r="F28" s="288"/>
      <c r="G28" s="348"/>
      <c r="H28" s="348"/>
      <c r="I28" s="348"/>
      <c r="J28" s="26"/>
      <c r="K28" s="7"/>
    </row>
    <row r="29" spans="1:11" x14ac:dyDescent="0.2">
      <c r="A29" s="273"/>
      <c r="B29" s="279"/>
      <c r="C29" s="279"/>
      <c r="D29" s="279"/>
      <c r="E29" s="279"/>
      <c r="F29" s="273"/>
      <c r="G29" s="348"/>
      <c r="H29" s="348"/>
      <c r="I29" s="348"/>
      <c r="J29" s="89"/>
      <c r="K29" s="7"/>
    </row>
    <row r="30" spans="1:11" x14ac:dyDescent="0.2">
      <c r="A30" s="273"/>
      <c r="B30" s="279"/>
      <c r="C30" s="279"/>
      <c r="D30" s="279"/>
      <c r="E30" s="279"/>
      <c r="F30" s="288" t="s">
        <v>1003</v>
      </c>
      <c r="G30" s="348" t="s">
        <v>4264</v>
      </c>
      <c r="H30" s="348" t="s">
        <v>528</v>
      </c>
      <c r="I30" s="348"/>
      <c r="J30" s="39"/>
      <c r="K30" s="7"/>
    </row>
    <row r="31" spans="1:11" x14ac:dyDescent="0.2">
      <c r="A31" s="273"/>
      <c r="B31" s="279"/>
      <c r="C31" s="279"/>
      <c r="D31" s="279"/>
      <c r="E31" s="279"/>
      <c r="F31" s="288"/>
      <c r="G31" s="348"/>
      <c r="H31" s="348"/>
      <c r="I31" s="348"/>
      <c r="J31" s="39"/>
      <c r="K31" s="7"/>
    </row>
    <row r="32" spans="1:11" x14ac:dyDescent="0.2">
      <c r="A32" s="273"/>
      <c r="B32" s="279"/>
      <c r="C32" s="279"/>
      <c r="D32" s="279"/>
      <c r="E32" s="279"/>
      <c r="F32" s="273"/>
      <c r="G32" s="348"/>
      <c r="H32" s="348"/>
      <c r="I32" s="348"/>
      <c r="J32" s="89"/>
      <c r="K32" s="37"/>
    </row>
    <row r="33" spans="1:11" x14ac:dyDescent="0.2">
      <c r="A33" s="273"/>
      <c r="B33" s="279"/>
      <c r="C33" s="279"/>
      <c r="D33" s="279"/>
      <c r="E33" s="279"/>
      <c r="F33" s="288" t="s">
        <v>1004</v>
      </c>
      <c r="G33" s="348" t="s">
        <v>4265</v>
      </c>
      <c r="H33" s="348" t="s">
        <v>528</v>
      </c>
      <c r="I33" s="348" t="s">
        <v>4266</v>
      </c>
      <c r="J33" s="26"/>
      <c r="K33" s="37"/>
    </row>
    <row r="34" spans="1:11" x14ac:dyDescent="0.2">
      <c r="A34" s="273"/>
      <c r="B34" s="279"/>
      <c r="C34" s="279"/>
      <c r="D34" s="279"/>
      <c r="E34" s="279"/>
      <c r="F34" s="288"/>
      <c r="G34" s="348"/>
      <c r="H34" s="348"/>
      <c r="I34" s="348"/>
      <c r="J34" s="26"/>
      <c r="K34" s="37"/>
    </row>
    <row r="35" spans="1:11" x14ac:dyDescent="0.2">
      <c r="A35" s="273"/>
      <c r="B35" s="279"/>
      <c r="C35" s="279"/>
      <c r="D35" s="279"/>
      <c r="E35" s="279"/>
      <c r="F35" s="273"/>
      <c r="G35" s="348"/>
      <c r="H35" s="348"/>
      <c r="I35" s="348"/>
      <c r="J35" s="89"/>
      <c r="K35" s="37"/>
    </row>
    <row r="36" spans="1:11" ht="15" customHeight="1" x14ac:dyDescent="0.25">
      <c r="A36" s="273"/>
      <c r="B36" s="279"/>
      <c r="C36" s="279"/>
      <c r="D36" s="279"/>
      <c r="E36" s="279"/>
      <c r="F36" s="288" t="s">
        <v>1005</v>
      </c>
      <c r="G36" s="348" t="s">
        <v>4267</v>
      </c>
      <c r="H36" s="348" t="s">
        <v>528</v>
      </c>
      <c r="I36" s="348"/>
      <c r="J36" s="26"/>
      <c r="K36" s="104"/>
    </row>
    <row r="37" spans="1:11" ht="15" customHeight="1" x14ac:dyDescent="0.25">
      <c r="A37" s="273"/>
      <c r="B37" s="279"/>
      <c r="C37" s="279"/>
      <c r="D37" s="279"/>
      <c r="E37" s="279"/>
      <c r="F37" s="288"/>
      <c r="G37" s="348"/>
      <c r="H37" s="348"/>
      <c r="I37" s="348"/>
      <c r="J37" s="26"/>
      <c r="K37" s="104"/>
    </row>
    <row r="38" spans="1:11" x14ac:dyDescent="0.25">
      <c r="A38" s="273"/>
      <c r="B38" s="279"/>
      <c r="C38" s="279"/>
      <c r="D38" s="279"/>
      <c r="E38" s="279"/>
      <c r="F38" s="273"/>
      <c r="G38" s="348"/>
      <c r="H38" s="348"/>
      <c r="I38" s="348"/>
      <c r="J38" s="174" t="s">
        <v>4256</v>
      </c>
      <c r="K38" s="33"/>
    </row>
    <row r="39" spans="1:11" ht="15" customHeight="1" x14ac:dyDescent="0.25">
      <c r="A39" s="273"/>
      <c r="B39" s="279"/>
      <c r="C39" s="279"/>
      <c r="D39" s="279"/>
      <c r="E39" s="279"/>
      <c r="F39" s="288" t="s">
        <v>4257</v>
      </c>
      <c r="G39" s="348" t="s">
        <v>4268</v>
      </c>
      <c r="H39" s="348"/>
      <c r="I39" s="272"/>
      <c r="J39" s="26"/>
      <c r="K39" s="104"/>
    </row>
    <row r="40" spans="1:11" ht="15" customHeight="1" x14ac:dyDescent="0.25">
      <c r="A40" s="273"/>
      <c r="B40" s="279"/>
      <c r="C40" s="279"/>
      <c r="D40" s="279"/>
      <c r="E40" s="279"/>
      <c r="F40" s="288"/>
      <c r="G40" s="272"/>
      <c r="H40" s="348"/>
      <c r="I40" s="272"/>
      <c r="J40" s="26"/>
      <c r="K40" s="104"/>
    </row>
    <row r="41" spans="1:11" x14ac:dyDescent="0.25">
      <c r="A41" s="273"/>
      <c r="B41" s="279"/>
      <c r="C41" s="279"/>
      <c r="D41" s="279"/>
      <c r="E41" s="279"/>
      <c r="F41" s="273"/>
      <c r="G41" s="273"/>
      <c r="H41" s="348"/>
      <c r="I41" s="273"/>
      <c r="J41" s="174" t="s">
        <v>4256</v>
      </c>
      <c r="K41" s="33"/>
    </row>
    <row r="42" spans="1:11" ht="15" customHeight="1" x14ac:dyDescent="0.25">
      <c r="A42" s="273"/>
      <c r="B42" s="279"/>
      <c r="C42" s="279"/>
      <c r="D42" s="279"/>
      <c r="E42" s="279"/>
      <c r="F42" s="288" t="s">
        <v>4258</v>
      </c>
      <c r="G42" s="348" t="s">
        <v>4269</v>
      </c>
      <c r="H42" s="348"/>
      <c r="I42" s="272"/>
      <c r="J42" s="26"/>
      <c r="K42" s="104"/>
    </row>
    <row r="43" spans="1:11" ht="15" customHeight="1" x14ac:dyDescent="0.25">
      <c r="A43" s="273"/>
      <c r="B43" s="279"/>
      <c r="C43" s="279"/>
      <c r="D43" s="279"/>
      <c r="E43" s="279"/>
      <c r="F43" s="288"/>
      <c r="G43" s="272"/>
      <c r="H43" s="348"/>
      <c r="I43" s="272"/>
      <c r="J43" s="26"/>
      <c r="K43" s="104"/>
    </row>
    <row r="44" spans="1:11" x14ac:dyDescent="0.25">
      <c r="A44" s="273"/>
      <c r="B44" s="279"/>
      <c r="C44" s="279"/>
      <c r="D44" s="279"/>
      <c r="E44" s="279"/>
      <c r="F44" s="273"/>
      <c r="G44" s="273"/>
      <c r="H44" s="348"/>
      <c r="I44" s="273"/>
      <c r="J44" s="174" t="s">
        <v>4256</v>
      </c>
      <c r="K44" s="33"/>
    </row>
    <row r="45" spans="1:11" ht="15" customHeight="1" x14ac:dyDescent="0.25">
      <c r="A45" s="273"/>
      <c r="B45" s="279"/>
      <c r="C45" s="279"/>
      <c r="D45" s="279"/>
      <c r="E45" s="279"/>
      <c r="F45" s="288" t="s">
        <v>4271</v>
      </c>
      <c r="G45" s="348" t="s">
        <v>4270</v>
      </c>
      <c r="H45" s="348"/>
      <c r="I45" s="272"/>
      <c r="J45" s="26"/>
      <c r="K45" s="104"/>
    </row>
    <row r="46" spans="1:11" ht="15" customHeight="1" x14ac:dyDescent="0.25">
      <c r="A46" s="273"/>
      <c r="B46" s="279"/>
      <c r="C46" s="279"/>
      <c r="D46" s="279"/>
      <c r="E46" s="279"/>
      <c r="F46" s="288"/>
      <c r="G46" s="272"/>
      <c r="H46" s="348"/>
      <c r="I46" s="272"/>
      <c r="J46" s="26"/>
      <c r="K46" s="104"/>
    </row>
    <row r="47" spans="1:11" x14ac:dyDescent="0.25">
      <c r="A47" s="273"/>
      <c r="B47" s="279"/>
      <c r="C47" s="279"/>
      <c r="D47" s="279"/>
      <c r="E47" s="279"/>
      <c r="F47" s="273"/>
      <c r="G47" s="273"/>
      <c r="H47" s="348"/>
      <c r="I47" s="273"/>
      <c r="J47" s="174" t="s">
        <v>4256</v>
      </c>
      <c r="K47" s="33"/>
    </row>
    <row r="48" spans="1:11" ht="15" customHeight="1" x14ac:dyDescent="0.25">
      <c r="A48" s="273"/>
      <c r="B48" s="279"/>
      <c r="C48" s="279"/>
      <c r="D48" s="279"/>
      <c r="E48" s="279"/>
      <c r="F48" s="288" t="s">
        <v>4257</v>
      </c>
      <c r="G48" s="348" t="s">
        <v>4272</v>
      </c>
      <c r="H48" s="348"/>
      <c r="I48" s="272"/>
      <c r="J48" s="26"/>
      <c r="K48" s="104"/>
    </row>
    <row r="49" spans="1:11" ht="15" customHeight="1" x14ac:dyDescent="0.25">
      <c r="A49" s="273"/>
      <c r="B49" s="279"/>
      <c r="C49" s="279"/>
      <c r="D49" s="279"/>
      <c r="E49" s="279"/>
      <c r="F49" s="288"/>
      <c r="G49" s="272"/>
      <c r="H49" s="348"/>
      <c r="I49" s="272"/>
      <c r="J49" s="26"/>
      <c r="K49" s="104"/>
    </row>
    <row r="50" spans="1:11" x14ac:dyDescent="0.25">
      <c r="A50" s="273"/>
      <c r="B50" s="279"/>
      <c r="C50" s="279"/>
      <c r="D50" s="279"/>
      <c r="E50" s="279"/>
      <c r="F50" s="273"/>
      <c r="G50" s="273"/>
      <c r="H50" s="348"/>
      <c r="I50" s="273"/>
      <c r="J50" s="174" t="s">
        <v>4256</v>
      </c>
      <c r="K50" s="33"/>
    </row>
    <row r="51" spans="1:11" ht="15" customHeight="1" x14ac:dyDescent="0.25">
      <c r="A51" s="273"/>
      <c r="B51" s="279"/>
      <c r="C51" s="279"/>
      <c r="D51" s="279"/>
      <c r="E51" s="279"/>
      <c r="F51" s="288" t="s">
        <v>4257</v>
      </c>
      <c r="G51" s="348" t="s">
        <v>4273</v>
      </c>
      <c r="H51" s="348" t="s">
        <v>528</v>
      </c>
      <c r="I51" s="272" t="s">
        <v>4276</v>
      </c>
      <c r="J51" s="26"/>
      <c r="K51" s="104"/>
    </row>
    <row r="52" spans="1:11" ht="15" customHeight="1" x14ac:dyDescent="0.25">
      <c r="A52" s="273"/>
      <c r="B52" s="279"/>
      <c r="C52" s="279"/>
      <c r="D52" s="279"/>
      <c r="E52" s="279"/>
      <c r="F52" s="288"/>
      <c r="G52" s="272"/>
      <c r="H52" s="348"/>
      <c r="I52" s="272"/>
      <c r="J52" s="26"/>
      <c r="K52" s="104"/>
    </row>
    <row r="53" spans="1:11" x14ac:dyDescent="0.25">
      <c r="A53" s="273"/>
      <c r="B53" s="279"/>
      <c r="C53" s="279"/>
      <c r="D53" s="279"/>
      <c r="E53" s="279"/>
      <c r="F53" s="273"/>
      <c r="G53" s="273"/>
      <c r="H53" s="348"/>
      <c r="I53" s="273"/>
      <c r="J53" s="174" t="s">
        <v>4256</v>
      </c>
      <c r="K53" s="33"/>
    </row>
    <row r="54" spans="1:11" ht="15" customHeight="1" x14ac:dyDescent="0.25">
      <c r="A54" s="273"/>
      <c r="B54" s="279"/>
      <c r="C54" s="279"/>
      <c r="D54" s="279"/>
      <c r="E54" s="279"/>
      <c r="F54" s="288" t="s">
        <v>4257</v>
      </c>
      <c r="G54" s="348" t="s">
        <v>4274</v>
      </c>
      <c r="H54" s="348" t="s">
        <v>515</v>
      </c>
      <c r="I54" s="272" t="s">
        <v>4277</v>
      </c>
      <c r="J54" s="26"/>
      <c r="K54" s="104"/>
    </row>
    <row r="55" spans="1:11" ht="15" customHeight="1" x14ac:dyDescent="0.25">
      <c r="A55" s="273"/>
      <c r="B55" s="279"/>
      <c r="C55" s="279"/>
      <c r="D55" s="279"/>
      <c r="E55" s="279"/>
      <c r="F55" s="288"/>
      <c r="G55" s="272"/>
      <c r="H55" s="348"/>
      <c r="I55" s="272"/>
      <c r="J55" s="26"/>
      <c r="K55" s="104"/>
    </row>
    <row r="56" spans="1:11" x14ac:dyDescent="0.25">
      <c r="A56" s="273"/>
      <c r="B56" s="279"/>
      <c r="C56" s="279"/>
      <c r="D56" s="279"/>
      <c r="E56" s="279"/>
      <c r="F56" s="273"/>
      <c r="G56" s="273"/>
      <c r="H56" s="348"/>
      <c r="I56" s="273"/>
      <c r="J56" s="174" t="s">
        <v>4256</v>
      </c>
      <c r="K56" s="33"/>
    </row>
    <row r="57" spans="1:11" ht="15" customHeight="1" x14ac:dyDescent="0.25">
      <c r="A57" s="273"/>
      <c r="B57" s="279"/>
      <c r="C57" s="279"/>
      <c r="D57" s="279"/>
      <c r="E57" s="279"/>
      <c r="F57" s="288" t="s">
        <v>4258</v>
      </c>
      <c r="G57" s="348" t="s">
        <v>4275</v>
      </c>
      <c r="H57" s="348" t="s">
        <v>528</v>
      </c>
      <c r="I57" s="272" t="s">
        <v>4278</v>
      </c>
      <c r="J57" s="26"/>
      <c r="K57" s="104"/>
    </row>
    <row r="58" spans="1:11" ht="15" customHeight="1" x14ac:dyDescent="0.25">
      <c r="A58" s="273"/>
      <c r="B58" s="279"/>
      <c r="C58" s="279"/>
      <c r="D58" s="279"/>
      <c r="E58" s="279"/>
      <c r="F58" s="288"/>
      <c r="G58" s="272"/>
      <c r="H58" s="348"/>
      <c r="I58" s="272"/>
      <c r="J58" s="26"/>
      <c r="K58" s="104"/>
    </row>
    <row r="59" spans="1:11" x14ac:dyDescent="0.25">
      <c r="A59" s="273"/>
      <c r="B59" s="279"/>
      <c r="C59" s="279"/>
      <c r="D59" s="279"/>
      <c r="E59" s="279"/>
      <c r="F59" s="273"/>
      <c r="G59" s="273"/>
      <c r="H59" s="348"/>
      <c r="I59" s="273"/>
      <c r="J59" s="174" t="s">
        <v>4256</v>
      </c>
      <c r="K59" s="33"/>
    </row>
    <row r="60" spans="1:11" ht="15" customHeight="1" x14ac:dyDescent="0.25">
      <c r="A60" s="276"/>
      <c r="B60" s="280" t="s">
        <v>1006</v>
      </c>
      <c r="C60" s="282" t="s">
        <v>1140</v>
      </c>
      <c r="D60" s="282"/>
      <c r="E60" s="280"/>
      <c r="F60" s="288" t="s">
        <v>1007</v>
      </c>
      <c r="G60" s="272"/>
      <c r="H60" s="272"/>
      <c r="I60" s="272"/>
      <c r="J60" s="26"/>
      <c r="K60" s="33"/>
    </row>
    <row r="61" spans="1:11" x14ac:dyDescent="0.25">
      <c r="A61" s="276"/>
      <c r="B61" s="280"/>
      <c r="C61" s="283"/>
      <c r="D61" s="283"/>
      <c r="E61" s="280"/>
      <c r="F61" s="288"/>
      <c r="G61" s="272"/>
      <c r="H61" s="272"/>
      <c r="I61" s="272"/>
      <c r="J61" s="26"/>
      <c r="K61" s="33"/>
    </row>
    <row r="62" spans="1:11" x14ac:dyDescent="0.25">
      <c r="A62" s="276"/>
      <c r="B62" s="281"/>
      <c r="C62" s="284"/>
      <c r="D62" s="284"/>
      <c r="E62" s="281"/>
      <c r="F62" s="273"/>
      <c r="G62" s="273"/>
      <c r="H62" s="273"/>
      <c r="I62" s="273"/>
      <c r="J62" s="89"/>
      <c r="K62" s="33"/>
    </row>
    <row r="63" spans="1:11" ht="15" customHeight="1" x14ac:dyDescent="0.25">
      <c r="A63" s="276"/>
      <c r="B63" s="281"/>
      <c r="C63" s="285"/>
      <c r="D63" s="285"/>
      <c r="E63" s="281"/>
      <c r="F63" s="288" t="s">
        <v>1008</v>
      </c>
      <c r="G63" s="272"/>
      <c r="H63" s="272"/>
      <c r="I63" s="272"/>
      <c r="J63" s="26"/>
      <c r="K63" s="33"/>
    </row>
    <row r="64" spans="1:11" ht="15" customHeight="1" x14ac:dyDescent="0.25">
      <c r="A64" s="276"/>
      <c r="B64" s="281"/>
      <c r="C64" s="285"/>
      <c r="D64" s="285"/>
      <c r="E64" s="281"/>
      <c r="F64" s="288"/>
      <c r="G64" s="272"/>
      <c r="H64" s="272"/>
      <c r="I64" s="272"/>
      <c r="J64" s="26"/>
      <c r="K64" s="33"/>
    </row>
    <row r="65" spans="1:11" x14ac:dyDescent="0.25">
      <c r="A65" s="276"/>
      <c r="B65" s="281"/>
      <c r="C65" s="285"/>
      <c r="D65" s="285"/>
      <c r="E65" s="281"/>
      <c r="F65" s="273"/>
      <c r="G65" s="273"/>
      <c r="H65" s="273"/>
      <c r="I65" s="273"/>
      <c r="J65" s="89"/>
      <c r="K65" s="33"/>
    </row>
    <row r="66" spans="1:11" ht="15" customHeight="1" x14ac:dyDescent="0.25">
      <c r="A66" s="276"/>
      <c r="B66" s="281"/>
      <c r="C66" s="285"/>
      <c r="D66" s="285"/>
      <c r="E66" s="281"/>
      <c r="F66" s="288" t="s">
        <v>1009</v>
      </c>
      <c r="G66" s="272"/>
      <c r="H66" s="272"/>
      <c r="I66" s="272"/>
      <c r="J66" s="26"/>
      <c r="K66" s="33"/>
    </row>
    <row r="67" spans="1:11" ht="15" customHeight="1" x14ac:dyDescent="0.25">
      <c r="A67" s="276"/>
      <c r="B67" s="281"/>
      <c r="C67" s="285"/>
      <c r="D67" s="285"/>
      <c r="E67" s="281"/>
      <c r="F67" s="288"/>
      <c r="G67" s="272"/>
      <c r="H67" s="272"/>
      <c r="I67" s="272"/>
      <c r="J67" s="26"/>
      <c r="K67" s="33"/>
    </row>
    <row r="68" spans="1:11" x14ac:dyDescent="0.25">
      <c r="A68" s="276"/>
      <c r="B68" s="281"/>
      <c r="C68" s="285"/>
      <c r="D68" s="285"/>
      <c r="E68" s="281"/>
      <c r="F68" s="273"/>
      <c r="G68" s="273"/>
      <c r="H68" s="273"/>
      <c r="I68" s="273"/>
      <c r="J68" s="89"/>
      <c r="K68" s="33"/>
    </row>
    <row r="69" spans="1:11" x14ac:dyDescent="0.25">
      <c r="A69" s="276"/>
      <c r="B69" s="281"/>
      <c r="C69" s="285"/>
      <c r="D69" s="285"/>
      <c r="E69" s="281"/>
      <c r="F69" s="288" t="s">
        <v>1010</v>
      </c>
      <c r="G69" s="272"/>
      <c r="H69" s="272"/>
      <c r="I69" s="272"/>
      <c r="J69" s="26"/>
      <c r="K69" s="33"/>
    </row>
    <row r="70" spans="1:11" x14ac:dyDescent="0.25">
      <c r="A70" s="276"/>
      <c r="B70" s="281"/>
      <c r="C70" s="285"/>
      <c r="D70" s="285"/>
      <c r="E70" s="281"/>
      <c r="F70" s="288"/>
      <c r="G70" s="272"/>
      <c r="H70" s="272"/>
      <c r="I70" s="272"/>
      <c r="J70" s="26"/>
      <c r="K70" s="33"/>
    </row>
    <row r="71" spans="1:11" x14ac:dyDescent="0.25">
      <c r="A71" s="276"/>
      <c r="B71" s="281"/>
      <c r="C71" s="285"/>
      <c r="D71" s="285"/>
      <c r="E71" s="281"/>
      <c r="F71" s="273"/>
      <c r="G71" s="273"/>
      <c r="H71" s="273"/>
      <c r="I71" s="273"/>
      <c r="J71" s="89"/>
      <c r="K71" s="33"/>
    </row>
    <row r="72" spans="1:11" x14ac:dyDescent="0.25">
      <c r="A72" s="276"/>
      <c r="B72" s="281"/>
      <c r="C72" s="285"/>
      <c r="D72" s="285"/>
      <c r="E72" s="281"/>
      <c r="F72" s="288" t="s">
        <v>1011</v>
      </c>
      <c r="G72" s="272"/>
      <c r="H72" s="272"/>
      <c r="I72" s="272"/>
      <c r="J72" s="26"/>
      <c r="K72" s="33"/>
    </row>
    <row r="73" spans="1:11" x14ac:dyDescent="0.25">
      <c r="A73" s="276"/>
      <c r="B73" s="281"/>
      <c r="C73" s="285"/>
      <c r="D73" s="285"/>
      <c r="E73" s="281"/>
      <c r="F73" s="288"/>
      <c r="G73" s="272"/>
      <c r="H73" s="272"/>
      <c r="I73" s="272"/>
      <c r="J73" s="26"/>
      <c r="K73" s="33"/>
    </row>
    <row r="74" spans="1:11" x14ac:dyDescent="0.25">
      <c r="A74" s="276"/>
      <c r="B74" s="281"/>
      <c r="C74" s="285"/>
      <c r="D74" s="285"/>
      <c r="E74" s="281"/>
      <c r="F74" s="273"/>
      <c r="G74" s="273"/>
      <c r="H74" s="273"/>
      <c r="I74" s="273"/>
      <c r="J74" s="89"/>
      <c r="K74" s="33"/>
    </row>
    <row r="75" spans="1:11" ht="15" customHeight="1" x14ac:dyDescent="0.25">
      <c r="A75" s="276"/>
      <c r="B75" s="281"/>
      <c r="C75" s="285"/>
      <c r="D75" s="285"/>
      <c r="E75" s="281"/>
      <c r="F75" s="288" t="s">
        <v>1012</v>
      </c>
      <c r="G75" s="272"/>
      <c r="H75" s="272"/>
      <c r="I75" s="272"/>
      <c r="J75" s="26"/>
      <c r="K75" s="33"/>
    </row>
    <row r="76" spans="1:11" ht="15" customHeight="1" x14ac:dyDescent="0.25">
      <c r="A76" s="276"/>
      <c r="B76" s="281"/>
      <c r="C76" s="285"/>
      <c r="D76" s="285"/>
      <c r="E76" s="281"/>
      <c r="F76" s="288"/>
      <c r="G76" s="272"/>
      <c r="H76" s="272"/>
      <c r="I76" s="272"/>
      <c r="J76" s="26"/>
      <c r="K76" s="33"/>
    </row>
    <row r="77" spans="1:11" x14ac:dyDescent="0.25">
      <c r="A77" s="276"/>
      <c r="B77" s="281"/>
      <c r="C77" s="285"/>
      <c r="D77" s="285"/>
      <c r="E77" s="281"/>
      <c r="F77" s="273"/>
      <c r="G77" s="273"/>
      <c r="H77" s="273"/>
      <c r="I77" s="273"/>
      <c r="J77" s="89"/>
      <c r="K77" s="33"/>
    </row>
    <row r="78" spans="1:11" x14ac:dyDescent="0.25">
      <c r="A78" s="276"/>
      <c r="B78" s="282" t="s">
        <v>1013</v>
      </c>
      <c r="C78" s="353" t="s">
        <v>4287</v>
      </c>
      <c r="D78" s="282"/>
      <c r="E78" s="282"/>
      <c r="F78" s="288" t="s">
        <v>1014</v>
      </c>
      <c r="G78" s="349" t="s">
        <v>4279</v>
      </c>
      <c r="H78" s="272"/>
      <c r="I78" s="272"/>
      <c r="J78" s="26"/>
      <c r="K78" s="33"/>
    </row>
    <row r="79" spans="1:11" x14ac:dyDescent="0.25">
      <c r="A79" s="276"/>
      <c r="B79" s="283"/>
      <c r="C79" s="283"/>
      <c r="D79" s="283"/>
      <c r="E79" s="283"/>
      <c r="F79" s="288"/>
      <c r="G79" s="350"/>
      <c r="H79" s="272"/>
      <c r="I79" s="272"/>
      <c r="J79" s="26"/>
      <c r="K79" s="33"/>
    </row>
    <row r="80" spans="1:11" x14ac:dyDescent="0.2">
      <c r="A80" s="276"/>
      <c r="B80" s="284"/>
      <c r="C80" s="284"/>
      <c r="D80" s="284"/>
      <c r="E80" s="284"/>
      <c r="F80" s="273"/>
      <c r="G80" s="351"/>
      <c r="H80" s="273"/>
      <c r="I80" s="273"/>
      <c r="J80" s="89"/>
      <c r="K80" s="34"/>
    </row>
    <row r="81" spans="1:11" x14ac:dyDescent="0.2">
      <c r="A81" s="276"/>
      <c r="B81" s="285"/>
      <c r="C81" s="285"/>
      <c r="D81" s="285"/>
      <c r="E81" s="285"/>
      <c r="F81" s="288" t="s">
        <v>1015</v>
      </c>
      <c r="G81" s="348" t="s">
        <v>4280</v>
      </c>
      <c r="H81" s="272"/>
      <c r="I81" s="272"/>
      <c r="J81" s="26"/>
      <c r="K81" s="34"/>
    </row>
    <row r="82" spans="1:11" x14ac:dyDescent="0.2">
      <c r="A82" s="276"/>
      <c r="B82" s="285"/>
      <c r="C82" s="285"/>
      <c r="D82" s="285"/>
      <c r="E82" s="285"/>
      <c r="F82" s="288"/>
      <c r="G82" s="348"/>
      <c r="H82" s="272"/>
      <c r="I82" s="272"/>
      <c r="J82" s="26"/>
      <c r="K82" s="34"/>
    </row>
    <row r="83" spans="1:11" x14ac:dyDescent="0.2">
      <c r="A83" s="276"/>
      <c r="B83" s="285"/>
      <c r="C83" s="285"/>
      <c r="D83" s="285"/>
      <c r="E83" s="285"/>
      <c r="F83" s="273"/>
      <c r="G83" s="348"/>
      <c r="H83" s="273"/>
      <c r="I83" s="273"/>
      <c r="J83" s="89"/>
      <c r="K83" s="34"/>
    </row>
    <row r="84" spans="1:11" ht="16.350000000000001" customHeight="1" x14ac:dyDescent="0.2">
      <c r="A84" s="276"/>
      <c r="B84" s="285"/>
      <c r="C84" s="285"/>
      <c r="D84" s="285"/>
      <c r="E84" s="285"/>
      <c r="F84" s="288" t="s">
        <v>1016</v>
      </c>
      <c r="G84" s="348" t="s">
        <v>4281</v>
      </c>
      <c r="H84" s="272"/>
      <c r="I84" s="272"/>
      <c r="J84" s="26"/>
      <c r="K84" s="34"/>
    </row>
    <row r="85" spans="1:11" ht="16.350000000000001" customHeight="1" x14ac:dyDescent="0.2">
      <c r="A85" s="276"/>
      <c r="B85" s="285"/>
      <c r="C85" s="285"/>
      <c r="D85" s="285"/>
      <c r="E85" s="285"/>
      <c r="F85" s="288"/>
      <c r="G85" s="348"/>
      <c r="H85" s="272"/>
      <c r="I85" s="272"/>
      <c r="J85" s="26"/>
      <c r="K85" s="34"/>
    </row>
    <row r="86" spans="1:11" x14ac:dyDescent="0.2">
      <c r="A86" s="276"/>
      <c r="B86" s="285"/>
      <c r="C86" s="285"/>
      <c r="D86" s="285"/>
      <c r="E86" s="285"/>
      <c r="F86" s="273"/>
      <c r="G86" s="348"/>
      <c r="H86" s="273"/>
      <c r="I86" s="273"/>
      <c r="J86" s="89"/>
      <c r="K86" s="34"/>
    </row>
    <row r="87" spans="1:11" ht="16.350000000000001" customHeight="1" x14ac:dyDescent="0.2">
      <c r="A87" s="276"/>
      <c r="B87" s="285"/>
      <c r="C87" s="285"/>
      <c r="D87" s="285"/>
      <c r="E87" s="285"/>
      <c r="F87" s="288" t="s">
        <v>1017</v>
      </c>
      <c r="G87" s="348" t="s">
        <v>4282</v>
      </c>
      <c r="H87" s="272"/>
      <c r="I87" s="272"/>
      <c r="J87" s="26"/>
      <c r="K87" s="34"/>
    </row>
    <row r="88" spans="1:11" ht="16.350000000000001" customHeight="1" x14ac:dyDescent="0.2">
      <c r="A88" s="276"/>
      <c r="B88" s="285"/>
      <c r="C88" s="285"/>
      <c r="D88" s="285"/>
      <c r="E88" s="285"/>
      <c r="F88" s="288"/>
      <c r="G88" s="348"/>
      <c r="H88" s="272"/>
      <c r="I88" s="272"/>
      <c r="J88" s="26"/>
      <c r="K88" s="34"/>
    </row>
    <row r="89" spans="1:11" x14ac:dyDescent="0.2">
      <c r="A89" s="276"/>
      <c r="B89" s="285"/>
      <c r="C89" s="285"/>
      <c r="D89" s="285"/>
      <c r="E89" s="285"/>
      <c r="F89" s="273"/>
      <c r="G89" s="348"/>
      <c r="H89" s="273"/>
      <c r="I89" s="273"/>
      <c r="J89" s="89"/>
      <c r="K89" s="100"/>
    </row>
    <row r="90" spans="1:11" ht="16.350000000000001" customHeight="1" x14ac:dyDescent="0.2">
      <c r="A90" s="276"/>
      <c r="B90" s="285"/>
      <c r="C90" s="285"/>
      <c r="D90" s="285"/>
      <c r="E90" s="285"/>
      <c r="F90" s="288" t="s">
        <v>1018</v>
      </c>
      <c r="G90" s="348" t="s">
        <v>4283</v>
      </c>
      <c r="H90" s="272"/>
      <c r="I90" s="272"/>
      <c r="J90" s="26"/>
      <c r="K90" s="100"/>
    </row>
    <row r="91" spans="1:11" ht="16.350000000000001" customHeight="1" x14ac:dyDescent="0.2">
      <c r="A91" s="276"/>
      <c r="B91" s="285"/>
      <c r="C91" s="285"/>
      <c r="D91" s="285"/>
      <c r="E91" s="285"/>
      <c r="F91" s="288"/>
      <c r="G91" s="348"/>
      <c r="H91" s="272"/>
      <c r="I91" s="272"/>
      <c r="J91" s="26"/>
      <c r="K91" s="100"/>
    </row>
    <row r="92" spans="1:11" x14ac:dyDescent="0.2">
      <c r="A92" s="276"/>
      <c r="B92" s="285"/>
      <c r="C92" s="285"/>
      <c r="D92" s="285"/>
      <c r="E92" s="285"/>
      <c r="F92" s="273"/>
      <c r="G92" s="348"/>
      <c r="H92" s="273"/>
      <c r="I92" s="273"/>
      <c r="J92" s="89"/>
      <c r="K92" s="37"/>
    </row>
    <row r="93" spans="1:11" ht="16.350000000000001" customHeight="1" x14ac:dyDescent="0.2">
      <c r="A93" s="276"/>
      <c r="B93" s="285"/>
      <c r="C93" s="285"/>
      <c r="D93" s="285"/>
      <c r="E93" s="285"/>
      <c r="F93" s="288" t="s">
        <v>1019</v>
      </c>
      <c r="G93" s="348" t="s">
        <v>4284</v>
      </c>
      <c r="H93" s="272"/>
      <c r="I93" s="272"/>
      <c r="J93" s="26"/>
      <c r="K93" s="34"/>
    </row>
    <row r="94" spans="1:11" ht="16.350000000000001" customHeight="1" x14ac:dyDescent="0.2">
      <c r="A94" s="276"/>
      <c r="B94" s="285"/>
      <c r="C94" s="285"/>
      <c r="D94" s="285"/>
      <c r="E94" s="285"/>
      <c r="F94" s="288"/>
      <c r="G94" s="348"/>
      <c r="H94" s="272"/>
      <c r="I94" s="272"/>
      <c r="J94" s="26"/>
      <c r="K94" s="34"/>
    </row>
    <row r="95" spans="1:11" x14ac:dyDescent="0.2">
      <c r="A95" s="276"/>
      <c r="B95" s="285"/>
      <c r="C95" s="285"/>
      <c r="D95" s="285"/>
      <c r="E95" s="285"/>
      <c r="F95" s="273"/>
      <c r="G95" s="348"/>
      <c r="H95" s="273"/>
      <c r="I95" s="273"/>
      <c r="J95" s="89"/>
      <c r="K95" s="100"/>
    </row>
    <row r="96" spans="1:11" ht="16.350000000000001" customHeight="1" x14ac:dyDescent="0.2">
      <c r="A96" s="276"/>
      <c r="B96" s="285"/>
      <c r="C96" s="285"/>
      <c r="D96" s="285"/>
      <c r="E96" s="285"/>
      <c r="F96" s="288" t="s">
        <v>4285</v>
      </c>
      <c r="G96" s="348" t="s">
        <v>4286</v>
      </c>
      <c r="H96" s="272"/>
      <c r="I96" s="272"/>
      <c r="J96" s="26"/>
      <c r="K96" s="34"/>
    </row>
    <row r="97" spans="1:11" ht="16.350000000000001" customHeight="1" x14ac:dyDescent="0.2">
      <c r="A97" s="276"/>
      <c r="B97" s="285"/>
      <c r="C97" s="285"/>
      <c r="D97" s="285"/>
      <c r="E97" s="285"/>
      <c r="F97" s="288"/>
      <c r="G97" s="348"/>
      <c r="H97" s="272"/>
      <c r="I97" s="272"/>
      <c r="J97" s="26"/>
      <c r="K97" s="34"/>
    </row>
    <row r="98" spans="1:11" x14ac:dyDescent="0.2">
      <c r="A98" s="276"/>
      <c r="B98" s="285"/>
      <c r="C98" s="285"/>
      <c r="D98" s="285"/>
      <c r="E98" s="285"/>
      <c r="F98" s="273"/>
      <c r="G98" s="348"/>
      <c r="H98" s="273"/>
      <c r="I98" s="273"/>
      <c r="J98" s="89"/>
      <c r="K98" s="100"/>
    </row>
    <row r="99" spans="1:11" x14ac:dyDescent="0.25">
      <c r="A99" s="276"/>
      <c r="B99" s="282" t="s">
        <v>1020</v>
      </c>
      <c r="C99" s="282"/>
      <c r="D99" s="282"/>
      <c r="E99" s="282"/>
      <c r="F99" s="288" t="s">
        <v>1021</v>
      </c>
      <c r="G99" s="272"/>
      <c r="H99" s="272"/>
      <c r="I99" s="272"/>
      <c r="J99" s="26"/>
      <c r="K99" s="33"/>
    </row>
    <row r="100" spans="1:11" x14ac:dyDescent="0.25">
      <c r="A100" s="276"/>
      <c r="B100" s="283"/>
      <c r="C100" s="283"/>
      <c r="D100" s="283"/>
      <c r="E100" s="283"/>
      <c r="F100" s="288"/>
      <c r="G100" s="272"/>
      <c r="H100" s="272"/>
      <c r="I100" s="272"/>
      <c r="J100" s="26"/>
      <c r="K100" s="33"/>
    </row>
    <row r="101" spans="1:11" x14ac:dyDescent="0.2">
      <c r="A101" s="276"/>
      <c r="B101" s="284"/>
      <c r="C101" s="284"/>
      <c r="D101" s="284"/>
      <c r="E101" s="284"/>
      <c r="F101" s="273"/>
      <c r="G101" s="273"/>
      <c r="H101" s="273"/>
      <c r="I101" s="273"/>
      <c r="J101" s="89"/>
      <c r="K101" s="34"/>
    </row>
    <row r="102" spans="1:11" ht="15" customHeight="1" x14ac:dyDescent="0.2">
      <c r="A102" s="276"/>
      <c r="B102" s="285"/>
      <c r="C102" s="285"/>
      <c r="D102" s="285"/>
      <c r="E102" s="285"/>
      <c r="F102" s="288" t="s">
        <v>1022</v>
      </c>
      <c r="G102" s="272"/>
      <c r="H102" s="272"/>
      <c r="I102" s="272"/>
      <c r="J102" s="26"/>
      <c r="K102" s="34"/>
    </row>
    <row r="103" spans="1:1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34"/>
    </row>
    <row r="105" spans="1:11" ht="16.350000000000001" customHeight="1" x14ac:dyDescent="0.2">
      <c r="A105" s="276"/>
      <c r="B105" s="285"/>
      <c r="C105" s="285"/>
      <c r="D105" s="285"/>
      <c r="E105" s="285"/>
      <c r="F105" s="288" t="s">
        <v>1023</v>
      </c>
      <c r="G105" s="272"/>
      <c r="H105" s="272"/>
      <c r="I105" s="272"/>
      <c r="J105" s="26"/>
      <c r="K105" s="34"/>
    </row>
    <row r="106" spans="1:11" ht="16.350000000000001" customHeight="1" x14ac:dyDescent="0.2">
      <c r="A106" s="276"/>
      <c r="B106" s="285"/>
      <c r="C106" s="285"/>
      <c r="D106" s="285"/>
      <c r="E106" s="285"/>
      <c r="F106" s="288"/>
      <c r="G106" s="272"/>
      <c r="H106" s="272"/>
      <c r="I106" s="272"/>
      <c r="J106" s="26"/>
      <c r="K106" s="34"/>
    </row>
    <row r="107" spans="1:11" x14ac:dyDescent="0.2">
      <c r="A107" s="276"/>
      <c r="B107" s="285"/>
      <c r="C107" s="285"/>
      <c r="D107" s="285"/>
      <c r="E107" s="285"/>
      <c r="F107" s="273"/>
      <c r="G107" s="273"/>
      <c r="H107" s="273"/>
      <c r="I107" s="273"/>
      <c r="J107" s="89"/>
      <c r="K107" s="34"/>
    </row>
    <row r="108" spans="1:11" ht="16.350000000000001" customHeight="1" x14ac:dyDescent="0.2">
      <c r="A108" s="276"/>
      <c r="B108" s="285"/>
      <c r="C108" s="285"/>
      <c r="D108" s="285"/>
      <c r="E108" s="285"/>
      <c r="F108" s="288" t="s">
        <v>1024</v>
      </c>
      <c r="G108" s="272"/>
      <c r="H108" s="272"/>
      <c r="I108" s="272"/>
      <c r="J108" s="26"/>
      <c r="K108" s="34"/>
    </row>
    <row r="109" spans="1:11" ht="16.350000000000001" customHeight="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ht="16.350000000000001" customHeight="1" x14ac:dyDescent="0.2">
      <c r="A111" s="276"/>
      <c r="B111" s="285"/>
      <c r="C111" s="285"/>
      <c r="D111" s="285"/>
      <c r="E111" s="285"/>
      <c r="F111" s="288" t="s">
        <v>1115</v>
      </c>
      <c r="G111" s="272"/>
      <c r="H111" s="272"/>
      <c r="I111" s="272"/>
      <c r="J111" s="26"/>
      <c r="K111" s="100"/>
    </row>
    <row r="112" spans="1:11" ht="16.350000000000001" customHeight="1" x14ac:dyDescent="0.2">
      <c r="A112" s="276"/>
      <c r="B112" s="285"/>
      <c r="C112" s="285"/>
      <c r="D112" s="285"/>
      <c r="E112" s="285"/>
      <c r="F112" s="288"/>
      <c r="G112" s="272"/>
      <c r="H112" s="272"/>
      <c r="I112" s="272"/>
      <c r="J112" s="26"/>
      <c r="K112" s="100"/>
    </row>
    <row r="113" spans="1:11" x14ac:dyDescent="0.2">
      <c r="A113" s="276"/>
      <c r="B113" s="285"/>
      <c r="C113" s="285"/>
      <c r="D113" s="285"/>
      <c r="E113" s="285"/>
      <c r="F113" s="273"/>
      <c r="G113" s="273"/>
      <c r="H113" s="273"/>
      <c r="I113" s="273"/>
      <c r="J113" s="89"/>
      <c r="K113" s="37"/>
    </row>
    <row r="114" spans="1:11" ht="16.350000000000001" customHeight="1" x14ac:dyDescent="0.2">
      <c r="A114" s="276"/>
      <c r="B114" s="285"/>
      <c r="C114" s="285"/>
      <c r="D114" s="285"/>
      <c r="E114" s="285"/>
      <c r="F114" s="288" t="s">
        <v>1116</v>
      </c>
      <c r="G114" s="272"/>
      <c r="H114" s="272"/>
      <c r="I114" s="272"/>
      <c r="J114" s="26"/>
      <c r="K114" s="34"/>
    </row>
    <row r="115" spans="1:11" ht="16.350000000000001" customHeight="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100"/>
    </row>
    <row r="117" spans="1:11" x14ac:dyDescent="0.25">
      <c r="A117" s="276"/>
      <c r="B117" s="282" t="s">
        <v>532</v>
      </c>
      <c r="C117" s="347"/>
      <c r="D117" s="282"/>
      <c r="E117" s="282"/>
      <c r="F117" s="288" t="s">
        <v>1117</v>
      </c>
      <c r="G117" s="272"/>
      <c r="H117" s="272"/>
      <c r="I117" s="272"/>
      <c r="J117" s="26"/>
      <c r="K117" s="33"/>
    </row>
    <row r="118" spans="1:11" x14ac:dyDescent="0.25">
      <c r="A118" s="276"/>
      <c r="B118" s="283"/>
      <c r="C118" s="283"/>
      <c r="D118" s="283"/>
      <c r="E118" s="283"/>
      <c r="F118" s="288"/>
      <c r="G118" s="272"/>
      <c r="H118" s="272"/>
      <c r="I118" s="272"/>
      <c r="J118" s="26"/>
      <c r="K118" s="33"/>
    </row>
    <row r="119" spans="1:11" x14ac:dyDescent="0.2">
      <c r="A119" s="276"/>
      <c r="B119" s="284"/>
      <c r="C119" s="284"/>
      <c r="D119" s="284"/>
      <c r="E119" s="284"/>
      <c r="F119" s="273"/>
      <c r="G119" s="273"/>
      <c r="H119" s="273"/>
      <c r="I119" s="273"/>
      <c r="J119" s="89"/>
      <c r="K119" s="34"/>
    </row>
    <row r="120" spans="1:11" ht="15" customHeight="1" x14ac:dyDescent="0.2">
      <c r="A120" s="276"/>
      <c r="B120" s="285"/>
      <c r="C120" s="285"/>
      <c r="D120" s="285"/>
      <c r="E120" s="285"/>
      <c r="F120" s="288" t="s">
        <v>1118</v>
      </c>
      <c r="G120" s="272"/>
      <c r="H120" s="272"/>
      <c r="I120" s="272"/>
      <c r="J120" s="26"/>
      <c r="K120" s="34"/>
    </row>
    <row r="121" spans="1:1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34"/>
    </row>
    <row r="123" spans="1:11" ht="16.350000000000001" customHeight="1" x14ac:dyDescent="0.2">
      <c r="A123" s="276"/>
      <c r="B123" s="285"/>
      <c r="C123" s="285"/>
      <c r="D123" s="285"/>
      <c r="E123" s="285"/>
      <c r="F123" s="288" t="s">
        <v>1119</v>
      </c>
      <c r="G123" s="272"/>
      <c r="H123" s="272"/>
      <c r="I123" s="272"/>
      <c r="J123" s="26"/>
      <c r="K123" s="34"/>
    </row>
    <row r="124" spans="1:11" ht="16.350000000000001" customHeight="1" x14ac:dyDescent="0.2">
      <c r="A124" s="276"/>
      <c r="B124" s="285"/>
      <c r="C124" s="285"/>
      <c r="D124" s="285"/>
      <c r="E124" s="285"/>
      <c r="F124" s="288"/>
      <c r="G124" s="272"/>
      <c r="H124" s="272"/>
      <c r="I124" s="272"/>
      <c r="J124" s="26"/>
      <c r="K124" s="34"/>
    </row>
    <row r="125" spans="1:11" x14ac:dyDescent="0.2">
      <c r="A125" s="276"/>
      <c r="B125" s="285"/>
      <c r="C125" s="285"/>
      <c r="D125" s="285"/>
      <c r="E125" s="285"/>
      <c r="F125" s="273"/>
      <c r="G125" s="273"/>
      <c r="H125" s="273"/>
      <c r="I125" s="273"/>
      <c r="J125" s="89"/>
      <c r="K125" s="34"/>
    </row>
    <row r="126" spans="1:11" ht="16.350000000000001" customHeight="1" x14ac:dyDescent="0.2">
      <c r="A126" s="276"/>
      <c r="B126" s="285"/>
      <c r="C126" s="285"/>
      <c r="D126" s="285"/>
      <c r="E126" s="285"/>
      <c r="F126" s="288" t="s">
        <v>1120</v>
      </c>
      <c r="G126" s="272"/>
      <c r="H126" s="272"/>
      <c r="I126" s="272"/>
      <c r="J126" s="26"/>
      <c r="K126" s="34"/>
    </row>
    <row r="127" spans="1:11" ht="16.350000000000001" customHeight="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ht="16.350000000000001" customHeight="1" x14ac:dyDescent="0.2">
      <c r="A129" s="276"/>
      <c r="B129" s="285"/>
      <c r="C129" s="285"/>
      <c r="D129" s="285"/>
      <c r="E129" s="285"/>
      <c r="F129" s="288" t="s">
        <v>1121</v>
      </c>
      <c r="G129" s="272"/>
      <c r="H129" s="272"/>
      <c r="I129" s="272"/>
      <c r="J129" s="26"/>
      <c r="K129" s="100"/>
    </row>
    <row r="130" spans="1:11" ht="16.350000000000001" customHeight="1" x14ac:dyDescent="0.2">
      <c r="A130" s="276"/>
      <c r="B130" s="285"/>
      <c r="C130" s="285"/>
      <c r="D130" s="285"/>
      <c r="E130" s="285"/>
      <c r="F130" s="288"/>
      <c r="G130" s="272"/>
      <c r="H130" s="272"/>
      <c r="I130" s="272"/>
      <c r="J130" s="26"/>
      <c r="K130" s="100"/>
    </row>
    <row r="131" spans="1:11" x14ac:dyDescent="0.2">
      <c r="A131" s="276"/>
      <c r="B131" s="285"/>
      <c r="C131" s="285"/>
      <c r="D131" s="285"/>
      <c r="E131" s="285"/>
      <c r="F131" s="273"/>
      <c r="G131" s="273"/>
      <c r="H131" s="273"/>
      <c r="I131" s="273"/>
      <c r="J131" s="89"/>
      <c r="K131" s="37"/>
    </row>
    <row r="132" spans="1:11" ht="16.350000000000001" customHeight="1" x14ac:dyDescent="0.2">
      <c r="A132" s="276"/>
      <c r="B132" s="285"/>
      <c r="C132" s="285"/>
      <c r="D132" s="285"/>
      <c r="E132" s="285"/>
      <c r="F132" s="288" t="s">
        <v>1122</v>
      </c>
      <c r="G132" s="272"/>
      <c r="H132" s="272"/>
      <c r="I132" s="272"/>
      <c r="J132" s="26"/>
      <c r="K132" s="34"/>
    </row>
    <row r="133" spans="1:11" ht="16.350000000000001" customHeight="1" x14ac:dyDescent="0.2">
      <c r="A133" s="276"/>
      <c r="B133" s="285"/>
      <c r="C133" s="285"/>
      <c r="D133" s="285"/>
      <c r="E133" s="285"/>
      <c r="F133" s="288"/>
      <c r="G133" s="272"/>
      <c r="H133" s="272"/>
      <c r="I133" s="272"/>
      <c r="J133" s="26"/>
      <c r="K133" s="34"/>
    </row>
    <row r="134" spans="1:11" x14ac:dyDescent="0.2">
      <c r="A134" s="276"/>
      <c r="B134" s="285"/>
      <c r="C134" s="285"/>
      <c r="D134" s="285"/>
      <c r="E134" s="285"/>
      <c r="F134" s="273"/>
      <c r="G134" s="273"/>
      <c r="H134" s="273"/>
      <c r="I134" s="273"/>
      <c r="J134" s="89"/>
      <c r="K134" s="100"/>
    </row>
    <row r="135" spans="1:11" x14ac:dyDescent="0.25">
      <c r="A135" s="276"/>
      <c r="B135" s="282" t="s">
        <v>1123</v>
      </c>
      <c r="C135" s="347"/>
      <c r="D135" s="282"/>
      <c r="E135" s="282"/>
      <c r="F135" s="288" t="s">
        <v>1124</v>
      </c>
      <c r="G135" s="272"/>
      <c r="H135" s="272"/>
      <c r="I135" s="272"/>
      <c r="J135" s="26"/>
      <c r="K135" s="33"/>
    </row>
    <row r="136" spans="1:11" x14ac:dyDescent="0.25">
      <c r="A136" s="276"/>
      <c r="B136" s="283"/>
      <c r="C136" s="283"/>
      <c r="D136" s="283"/>
      <c r="E136" s="283"/>
      <c r="F136" s="288"/>
      <c r="G136" s="272"/>
      <c r="H136" s="272"/>
      <c r="I136" s="272"/>
      <c r="J136" s="26"/>
      <c r="K136" s="33"/>
    </row>
    <row r="137" spans="1:11" x14ac:dyDescent="0.2">
      <c r="A137" s="276"/>
      <c r="B137" s="284"/>
      <c r="C137" s="284"/>
      <c r="D137" s="284"/>
      <c r="E137" s="284"/>
      <c r="F137" s="273"/>
      <c r="G137" s="273"/>
      <c r="H137" s="273"/>
      <c r="I137" s="273"/>
      <c r="J137" s="89"/>
      <c r="K137" s="34"/>
    </row>
    <row r="138" spans="1:11" ht="15" customHeight="1" x14ac:dyDescent="0.2">
      <c r="A138" s="276"/>
      <c r="B138" s="285"/>
      <c r="C138" s="285"/>
      <c r="D138" s="285"/>
      <c r="E138" s="285"/>
      <c r="F138" s="288" t="s">
        <v>1125</v>
      </c>
      <c r="G138" s="272"/>
      <c r="H138" s="272"/>
      <c r="I138" s="272"/>
      <c r="J138" s="26"/>
      <c r="K138" s="34"/>
    </row>
    <row r="139" spans="1:11" x14ac:dyDescent="0.2">
      <c r="A139" s="276"/>
      <c r="B139" s="285"/>
      <c r="C139" s="285"/>
      <c r="D139" s="285"/>
      <c r="E139" s="285"/>
      <c r="F139" s="288"/>
      <c r="G139" s="272"/>
      <c r="H139" s="272"/>
      <c r="I139" s="272"/>
      <c r="J139" s="26"/>
      <c r="K139" s="34"/>
    </row>
    <row r="140" spans="1:11" x14ac:dyDescent="0.2">
      <c r="A140" s="276"/>
      <c r="B140" s="285"/>
      <c r="C140" s="285"/>
      <c r="D140" s="285"/>
      <c r="E140" s="285"/>
      <c r="F140" s="273"/>
      <c r="G140" s="273"/>
      <c r="H140" s="273"/>
      <c r="I140" s="273"/>
      <c r="J140" s="89"/>
      <c r="K140" s="34"/>
    </row>
    <row r="141" spans="1:11" ht="16.350000000000001" customHeight="1" x14ac:dyDescent="0.2">
      <c r="A141" s="276"/>
      <c r="B141" s="285"/>
      <c r="C141" s="285"/>
      <c r="D141" s="285"/>
      <c r="E141" s="285"/>
      <c r="F141" s="288" t="s">
        <v>1126</v>
      </c>
      <c r="G141" s="272"/>
      <c r="H141" s="272"/>
      <c r="I141" s="272"/>
      <c r="J141" s="26"/>
      <c r="K141" s="34"/>
    </row>
    <row r="142" spans="1:11" ht="16.350000000000001" customHeight="1" x14ac:dyDescent="0.2">
      <c r="A142" s="276"/>
      <c r="B142" s="285"/>
      <c r="C142" s="285"/>
      <c r="D142" s="285"/>
      <c r="E142" s="285"/>
      <c r="F142" s="288"/>
      <c r="G142" s="272"/>
      <c r="H142" s="272"/>
      <c r="I142" s="272"/>
      <c r="J142" s="26"/>
      <c r="K142" s="34"/>
    </row>
    <row r="143" spans="1:11" x14ac:dyDescent="0.2">
      <c r="A143" s="276"/>
      <c r="B143" s="285"/>
      <c r="C143" s="285"/>
      <c r="D143" s="285"/>
      <c r="E143" s="285"/>
      <c r="F143" s="273"/>
      <c r="G143" s="273"/>
      <c r="H143" s="273"/>
      <c r="I143" s="273"/>
      <c r="J143" s="89"/>
      <c r="K143" s="34"/>
    </row>
    <row r="144" spans="1:11" ht="16.350000000000001" customHeight="1" x14ac:dyDescent="0.2">
      <c r="A144" s="276"/>
      <c r="B144" s="285"/>
      <c r="C144" s="285"/>
      <c r="D144" s="285"/>
      <c r="E144" s="285"/>
      <c r="F144" s="288" t="s">
        <v>1127</v>
      </c>
      <c r="G144" s="272"/>
      <c r="H144" s="272"/>
      <c r="I144" s="272"/>
      <c r="J144" s="26"/>
      <c r="K144" s="34"/>
    </row>
    <row r="145" spans="1:11" ht="16.350000000000001" customHeight="1" x14ac:dyDescent="0.2">
      <c r="A145" s="276"/>
      <c r="B145" s="285"/>
      <c r="C145" s="285"/>
      <c r="D145" s="285"/>
      <c r="E145" s="285"/>
      <c r="F145" s="288"/>
      <c r="G145" s="272"/>
      <c r="H145" s="272"/>
      <c r="I145" s="272"/>
      <c r="J145" s="26"/>
      <c r="K145" s="34"/>
    </row>
    <row r="146" spans="1:11" x14ac:dyDescent="0.2">
      <c r="A146" s="276"/>
      <c r="B146" s="285"/>
      <c r="C146" s="285"/>
      <c r="D146" s="285"/>
      <c r="E146" s="285"/>
      <c r="F146" s="273"/>
      <c r="G146" s="273"/>
      <c r="H146" s="273"/>
      <c r="I146" s="273"/>
      <c r="J146" s="89"/>
      <c r="K146" s="100"/>
    </row>
    <row r="147" spans="1:11" ht="16.350000000000001" customHeight="1" x14ac:dyDescent="0.2">
      <c r="A147" s="276"/>
      <c r="B147" s="285"/>
      <c r="C147" s="285"/>
      <c r="D147" s="285"/>
      <c r="E147" s="285"/>
      <c r="F147" s="288" t="s">
        <v>1128</v>
      </c>
      <c r="G147" s="272"/>
      <c r="H147" s="272"/>
      <c r="I147" s="272"/>
      <c r="J147" s="26"/>
      <c r="K147" s="100"/>
    </row>
    <row r="148" spans="1:11" ht="16.350000000000001" customHeight="1" x14ac:dyDescent="0.2">
      <c r="A148" s="276"/>
      <c r="B148" s="285"/>
      <c r="C148" s="285"/>
      <c r="D148" s="285"/>
      <c r="E148" s="285"/>
      <c r="F148" s="288"/>
      <c r="G148" s="272"/>
      <c r="H148" s="272"/>
      <c r="I148" s="272"/>
      <c r="J148" s="26"/>
      <c r="K148" s="100"/>
    </row>
    <row r="149" spans="1:11" x14ac:dyDescent="0.2">
      <c r="A149" s="276"/>
      <c r="B149" s="285"/>
      <c r="C149" s="285"/>
      <c r="D149" s="285"/>
      <c r="E149" s="285"/>
      <c r="F149" s="273"/>
      <c r="G149" s="273"/>
      <c r="H149" s="273"/>
      <c r="I149" s="273"/>
      <c r="J149" s="89"/>
      <c r="K149" s="37"/>
    </row>
    <row r="150" spans="1:11" ht="16.350000000000001" customHeight="1" x14ac:dyDescent="0.2">
      <c r="A150" s="276"/>
      <c r="B150" s="285"/>
      <c r="C150" s="285"/>
      <c r="D150" s="285"/>
      <c r="E150" s="285"/>
      <c r="F150" s="288" t="s">
        <v>1129</v>
      </c>
      <c r="G150" s="272"/>
      <c r="H150" s="272"/>
      <c r="I150" s="272"/>
      <c r="J150" s="26"/>
      <c r="K150" s="34"/>
    </row>
    <row r="151" spans="1:11" ht="16.350000000000001" customHeight="1" x14ac:dyDescent="0.2">
      <c r="A151" s="276"/>
      <c r="B151" s="285"/>
      <c r="C151" s="285"/>
      <c r="D151" s="285"/>
      <c r="E151" s="285"/>
      <c r="F151" s="288"/>
      <c r="G151" s="272"/>
      <c r="H151" s="272"/>
      <c r="I151" s="272"/>
      <c r="J151" s="26"/>
      <c r="K151" s="34"/>
    </row>
    <row r="152" spans="1:11" x14ac:dyDescent="0.2">
      <c r="A152" s="276"/>
      <c r="B152" s="285"/>
      <c r="C152" s="285"/>
      <c r="D152" s="285"/>
      <c r="E152" s="285"/>
      <c r="F152" s="273"/>
      <c r="G152" s="273"/>
      <c r="H152" s="273"/>
      <c r="I152" s="273"/>
      <c r="J152" s="89"/>
      <c r="K152" s="100"/>
    </row>
    <row r="153" spans="1:11" x14ac:dyDescent="0.2">
      <c r="A153" s="276"/>
      <c r="B153" s="275" t="s">
        <v>1130</v>
      </c>
      <c r="C153" s="286"/>
      <c r="D153" s="286"/>
      <c r="E153" s="286"/>
      <c r="F153" s="288" t="s">
        <v>1131</v>
      </c>
      <c r="G153" s="272"/>
      <c r="H153" s="272"/>
      <c r="I153" s="272"/>
      <c r="J153" s="26"/>
      <c r="K153" s="37"/>
    </row>
    <row r="154" spans="1:11" x14ac:dyDescent="0.2">
      <c r="A154" s="276"/>
      <c r="B154" s="287"/>
      <c r="C154" s="287"/>
      <c r="D154" s="287"/>
      <c r="E154" s="287"/>
      <c r="F154" s="274"/>
      <c r="G154" s="274"/>
      <c r="H154" s="272"/>
      <c r="I154" s="274"/>
      <c r="J154" s="91"/>
      <c r="K154" s="37"/>
    </row>
    <row r="155" spans="1:11" x14ac:dyDescent="0.2">
      <c r="A155" s="276"/>
      <c r="B155" s="276"/>
      <c r="C155" s="276"/>
      <c r="D155" s="276"/>
      <c r="E155" s="276"/>
      <c r="F155" s="273"/>
      <c r="G155" s="273"/>
      <c r="H155" s="273"/>
      <c r="I155" s="273"/>
      <c r="J155" s="89"/>
      <c r="K155" s="37"/>
    </row>
    <row r="156" spans="1:11" ht="15" customHeight="1" x14ac:dyDescent="0.2">
      <c r="A156" s="276"/>
      <c r="B156" s="276"/>
      <c r="C156" s="276"/>
      <c r="D156" s="276"/>
      <c r="E156" s="276"/>
      <c r="F156" s="288" t="s">
        <v>1132</v>
      </c>
      <c r="G156" s="272"/>
      <c r="H156" s="272"/>
      <c r="I156" s="272"/>
      <c r="J156" s="26"/>
      <c r="K156" s="7"/>
    </row>
    <row r="157" spans="1:11" x14ac:dyDescent="0.2">
      <c r="A157" s="276"/>
      <c r="B157" s="276"/>
      <c r="C157" s="276"/>
      <c r="D157" s="276"/>
      <c r="E157" s="276"/>
      <c r="F157" s="274"/>
      <c r="G157" s="274"/>
      <c r="H157" s="272"/>
      <c r="I157" s="274"/>
      <c r="J157" s="91"/>
      <c r="K157" s="7"/>
    </row>
    <row r="158" spans="1:11" x14ac:dyDescent="0.2">
      <c r="A158" s="276"/>
      <c r="B158" s="276"/>
      <c r="C158" s="276"/>
      <c r="D158" s="276"/>
      <c r="E158" s="276"/>
      <c r="F158" s="273"/>
      <c r="G158" s="273"/>
      <c r="H158" s="273"/>
      <c r="I158" s="273"/>
      <c r="J158" s="89"/>
      <c r="K158" s="7"/>
    </row>
    <row r="159" spans="1:11" ht="16.350000000000001" customHeight="1" x14ac:dyDescent="0.2">
      <c r="A159" s="276"/>
      <c r="B159" s="276"/>
      <c r="C159" s="276"/>
      <c r="D159" s="276"/>
      <c r="E159" s="276"/>
      <c r="F159" s="288" t="s">
        <v>1133</v>
      </c>
      <c r="G159" s="272"/>
      <c r="H159" s="272"/>
      <c r="I159" s="272"/>
      <c r="J159" s="26"/>
      <c r="K159" s="7"/>
    </row>
    <row r="160" spans="1:11" x14ac:dyDescent="0.2">
      <c r="A160" s="276"/>
      <c r="B160" s="276"/>
      <c r="C160" s="276"/>
      <c r="D160" s="276"/>
      <c r="E160" s="276"/>
      <c r="F160" s="274"/>
      <c r="G160" s="274"/>
      <c r="H160" s="272"/>
      <c r="I160" s="274"/>
      <c r="J160" s="91"/>
      <c r="K160" s="7"/>
    </row>
    <row r="161" spans="1:11" x14ac:dyDescent="0.2">
      <c r="A161" s="276"/>
      <c r="B161" s="276"/>
      <c r="C161" s="276"/>
      <c r="D161" s="276"/>
      <c r="E161" s="276"/>
      <c r="F161" s="273"/>
      <c r="G161" s="273"/>
      <c r="H161" s="273"/>
      <c r="I161" s="273"/>
      <c r="J161" s="89"/>
      <c r="K161" s="7"/>
    </row>
    <row r="162" spans="1:11" ht="16.350000000000001" customHeight="1" x14ac:dyDescent="0.2">
      <c r="A162" s="276"/>
      <c r="B162" s="276"/>
      <c r="C162" s="276"/>
      <c r="D162" s="276"/>
      <c r="E162" s="276"/>
      <c r="F162" s="288" t="s">
        <v>1134</v>
      </c>
      <c r="G162" s="272"/>
      <c r="H162" s="272"/>
      <c r="I162" s="272"/>
      <c r="J162" s="26"/>
      <c r="K162" s="6"/>
    </row>
    <row r="163" spans="1:11" x14ac:dyDescent="0.2">
      <c r="A163" s="276"/>
      <c r="B163" s="276"/>
      <c r="C163" s="276"/>
      <c r="D163" s="276"/>
      <c r="E163" s="276"/>
      <c r="F163" s="274"/>
      <c r="G163" s="274"/>
      <c r="H163" s="272"/>
      <c r="I163" s="274"/>
      <c r="J163" s="91"/>
      <c r="K163" s="7"/>
    </row>
    <row r="164" spans="1:11" x14ac:dyDescent="0.2">
      <c r="A164" s="276"/>
      <c r="B164" s="276"/>
      <c r="C164" s="276"/>
      <c r="D164" s="276"/>
      <c r="E164" s="276"/>
      <c r="F164" s="273"/>
      <c r="G164" s="273"/>
      <c r="H164" s="273"/>
      <c r="I164" s="273"/>
      <c r="J164" s="89"/>
      <c r="K164" s="7"/>
    </row>
    <row r="165" spans="1:11" ht="16.350000000000001" customHeight="1" x14ac:dyDescent="0.2">
      <c r="A165" s="276"/>
      <c r="B165" s="276"/>
      <c r="C165" s="276"/>
      <c r="D165" s="276"/>
      <c r="E165" s="276"/>
      <c r="F165" s="288" t="s">
        <v>1135</v>
      </c>
      <c r="G165" s="272"/>
      <c r="H165" s="272"/>
      <c r="I165" s="272"/>
      <c r="J165" s="26"/>
      <c r="K165" s="6"/>
    </row>
    <row r="166" spans="1:11" x14ac:dyDescent="0.2">
      <c r="A166" s="276"/>
      <c r="B166" s="276"/>
      <c r="C166" s="276"/>
      <c r="D166" s="276"/>
      <c r="E166" s="276"/>
      <c r="F166" s="274"/>
      <c r="G166" s="274"/>
      <c r="H166" s="272"/>
      <c r="I166" s="274"/>
      <c r="J166" s="91"/>
      <c r="K166" s="7"/>
    </row>
    <row r="167" spans="1:11" x14ac:dyDescent="0.2">
      <c r="A167" s="276"/>
      <c r="B167" s="276"/>
      <c r="C167" s="276"/>
      <c r="D167" s="276"/>
      <c r="E167" s="276"/>
      <c r="F167" s="273"/>
      <c r="G167" s="273"/>
      <c r="H167" s="273"/>
      <c r="I167" s="273"/>
      <c r="J167" s="89"/>
      <c r="K167" s="7"/>
    </row>
    <row r="168" spans="1:11" ht="16.350000000000001" customHeight="1" x14ac:dyDescent="0.2">
      <c r="A168" s="276"/>
      <c r="B168" s="276"/>
      <c r="C168" s="276"/>
      <c r="D168" s="276"/>
      <c r="E168" s="276"/>
      <c r="F168" s="288" t="s">
        <v>1136</v>
      </c>
      <c r="G168" s="272"/>
      <c r="H168" s="272"/>
      <c r="I168" s="272"/>
      <c r="J168" s="26"/>
      <c r="K168" s="6"/>
    </row>
    <row r="169" spans="1:11" x14ac:dyDescent="0.2">
      <c r="A169" s="276"/>
      <c r="B169" s="276"/>
      <c r="C169" s="276"/>
      <c r="D169" s="276"/>
      <c r="E169" s="276"/>
      <c r="F169" s="274"/>
      <c r="G169" s="274"/>
      <c r="H169" s="272"/>
      <c r="I169" s="274"/>
      <c r="J169" s="91"/>
      <c r="K169" s="7"/>
    </row>
    <row r="170" spans="1:11" x14ac:dyDescent="0.2">
      <c r="A170" s="276"/>
      <c r="B170" s="276"/>
      <c r="C170" s="276"/>
      <c r="D170" s="276"/>
      <c r="E170" s="276"/>
      <c r="F170" s="273"/>
      <c r="G170" s="273"/>
      <c r="H170" s="273"/>
      <c r="I170" s="273"/>
      <c r="J170" s="89"/>
      <c r="K170" s="7"/>
    </row>
    <row r="178" spans="5:5" x14ac:dyDescent="0.2">
      <c r="E178" s="92" t="s">
        <v>528</v>
      </c>
    </row>
    <row r="179" spans="5:5" x14ac:dyDescent="0.2">
      <c r="E179" s="92" t="s">
        <v>511</v>
      </c>
    </row>
    <row r="180" spans="5:5" x14ac:dyDescent="0.2">
      <c r="E180" s="92" t="s">
        <v>515</v>
      </c>
    </row>
    <row r="181" spans="5:5" x14ac:dyDescent="0.2">
      <c r="E181" s="92" t="s">
        <v>505</v>
      </c>
    </row>
    <row r="182" spans="5:5" x14ac:dyDescent="0.2">
      <c r="E182" s="92" t="s">
        <v>507</v>
      </c>
    </row>
  </sheetData>
  <mergeCells count="257">
    <mergeCell ref="F51:F53"/>
    <mergeCell ref="G51:G53"/>
    <mergeCell ref="H51:H53"/>
    <mergeCell ref="I51:I53"/>
    <mergeCell ref="F48:F50"/>
    <mergeCell ref="G48:G50"/>
    <mergeCell ref="H48:H50"/>
    <mergeCell ref="I48:I50"/>
    <mergeCell ref="F93:F95"/>
    <mergeCell ref="G93:G95"/>
    <mergeCell ref="H93:H95"/>
    <mergeCell ref="I93:I95"/>
    <mergeCell ref="F81:F83"/>
    <mergeCell ref="G66:G68"/>
    <mergeCell ref="H66:H68"/>
    <mergeCell ref="I66:I68"/>
    <mergeCell ref="G69:G71"/>
    <mergeCell ref="H69:H71"/>
    <mergeCell ref="I69:I71"/>
    <mergeCell ref="G60:G62"/>
    <mergeCell ref="H60:H62"/>
    <mergeCell ref="I60:I62"/>
    <mergeCell ref="F63:F65"/>
    <mergeCell ref="G63:G65"/>
    <mergeCell ref="H45:H47"/>
    <mergeCell ref="I45:I47"/>
    <mergeCell ref="F42:F44"/>
    <mergeCell ref="G42:G44"/>
    <mergeCell ref="H42:H44"/>
    <mergeCell ref="I42:I44"/>
    <mergeCell ref="F39:F41"/>
    <mergeCell ref="G39:G41"/>
    <mergeCell ref="H39:H41"/>
    <mergeCell ref="I39:I41"/>
    <mergeCell ref="D60:D77"/>
    <mergeCell ref="D78:D98"/>
    <mergeCell ref="D21:D59"/>
    <mergeCell ref="D3:D20"/>
    <mergeCell ref="C60:C77"/>
    <mergeCell ref="C78:C98"/>
    <mergeCell ref="C99:C116"/>
    <mergeCell ref="B78:B98"/>
    <mergeCell ref="B99:B116"/>
    <mergeCell ref="D99:D116"/>
    <mergeCell ref="A3:A170"/>
    <mergeCell ref="B3:B20"/>
    <mergeCell ref="C3:C20"/>
    <mergeCell ref="E3:E20"/>
    <mergeCell ref="F3:F5"/>
    <mergeCell ref="F9:F11"/>
    <mergeCell ref="F15:F17"/>
    <mergeCell ref="B21:B59"/>
    <mergeCell ref="C21:C59"/>
    <mergeCell ref="E21:E59"/>
    <mergeCell ref="F21:F23"/>
    <mergeCell ref="F27:F29"/>
    <mergeCell ref="F33:F35"/>
    <mergeCell ref="B60:B77"/>
    <mergeCell ref="F72:F74"/>
    <mergeCell ref="F75:F77"/>
    <mergeCell ref="F78:F80"/>
    <mergeCell ref="E60:E77"/>
    <mergeCell ref="F60:F62"/>
    <mergeCell ref="F66:F68"/>
    <mergeCell ref="E78:E98"/>
    <mergeCell ref="F84:F86"/>
    <mergeCell ref="F90:F92"/>
    <mergeCell ref="F69:F71"/>
    <mergeCell ref="G9:G11"/>
    <mergeCell ref="H9:H11"/>
    <mergeCell ref="I9:I11"/>
    <mergeCell ref="F12:F14"/>
    <mergeCell ref="G12:G14"/>
    <mergeCell ref="H12:H14"/>
    <mergeCell ref="I12:I14"/>
    <mergeCell ref="G3:G5"/>
    <mergeCell ref="H3:H5"/>
    <mergeCell ref="I3:I5"/>
    <mergeCell ref="F6:F8"/>
    <mergeCell ref="G6:G8"/>
    <mergeCell ref="H6:H8"/>
    <mergeCell ref="I6:I8"/>
    <mergeCell ref="G21:G23"/>
    <mergeCell ref="H21:H23"/>
    <mergeCell ref="I21:I23"/>
    <mergeCell ref="F24:F26"/>
    <mergeCell ref="G24:G26"/>
    <mergeCell ref="H24:H26"/>
    <mergeCell ref="I24:I26"/>
    <mergeCell ref="G15:G17"/>
    <mergeCell ref="H15:H17"/>
    <mergeCell ref="I15:I17"/>
    <mergeCell ref="F18:F20"/>
    <mergeCell ref="G18:G20"/>
    <mergeCell ref="H18:H20"/>
    <mergeCell ref="I18:I20"/>
    <mergeCell ref="G33:G35"/>
    <mergeCell ref="H33:H35"/>
    <mergeCell ref="I33:I35"/>
    <mergeCell ref="F57:F59"/>
    <mergeCell ref="G57:G59"/>
    <mergeCell ref="H57:H59"/>
    <mergeCell ref="I57:I59"/>
    <mergeCell ref="G27:G29"/>
    <mergeCell ref="H27:H29"/>
    <mergeCell ref="I27:I29"/>
    <mergeCell ref="F30:F32"/>
    <mergeCell ref="G30:G32"/>
    <mergeCell ref="H30:H32"/>
    <mergeCell ref="I30:I32"/>
    <mergeCell ref="F54:F56"/>
    <mergeCell ref="G54:G56"/>
    <mergeCell ref="H54:H56"/>
    <mergeCell ref="I54:I56"/>
    <mergeCell ref="F36:F38"/>
    <mergeCell ref="G36:G38"/>
    <mergeCell ref="H36:H38"/>
    <mergeCell ref="I36:I38"/>
    <mergeCell ref="F45:F47"/>
    <mergeCell ref="G45:G47"/>
    <mergeCell ref="H63:H65"/>
    <mergeCell ref="I63:I65"/>
    <mergeCell ref="G78:G80"/>
    <mergeCell ref="H78:H80"/>
    <mergeCell ref="I78:I80"/>
    <mergeCell ref="G81:G83"/>
    <mergeCell ref="H81:H83"/>
    <mergeCell ref="I81:I83"/>
    <mergeCell ref="G72:G74"/>
    <mergeCell ref="H72:H74"/>
    <mergeCell ref="I72:I74"/>
    <mergeCell ref="G75:G77"/>
    <mergeCell ref="H75:H77"/>
    <mergeCell ref="I75:I77"/>
    <mergeCell ref="G90:G92"/>
    <mergeCell ref="H90:H92"/>
    <mergeCell ref="I90:I92"/>
    <mergeCell ref="F96:F98"/>
    <mergeCell ref="G96:G98"/>
    <mergeCell ref="H96:H98"/>
    <mergeCell ref="I96:I98"/>
    <mergeCell ref="G84:G86"/>
    <mergeCell ref="H84:H86"/>
    <mergeCell ref="I84:I86"/>
    <mergeCell ref="F87:F89"/>
    <mergeCell ref="G87:G89"/>
    <mergeCell ref="H87:H89"/>
    <mergeCell ref="I87:I89"/>
    <mergeCell ref="I108:I110"/>
    <mergeCell ref="F111:F113"/>
    <mergeCell ref="G111:G113"/>
    <mergeCell ref="H111:H113"/>
    <mergeCell ref="I111:I113"/>
    <mergeCell ref="E99:E116"/>
    <mergeCell ref="F99:F101"/>
    <mergeCell ref="G99:G101"/>
    <mergeCell ref="H99:H101"/>
    <mergeCell ref="I99:I101"/>
    <mergeCell ref="F102:F104"/>
    <mergeCell ref="G102:G104"/>
    <mergeCell ref="H102:H104"/>
    <mergeCell ref="I102:I104"/>
    <mergeCell ref="F105:F107"/>
    <mergeCell ref="G105:G107"/>
    <mergeCell ref="H105:H107"/>
    <mergeCell ref="I105:I107"/>
    <mergeCell ref="F108:F110"/>
    <mergeCell ref="G108:G110"/>
    <mergeCell ref="H108:H110"/>
    <mergeCell ref="F114:F116"/>
    <mergeCell ref="G114:G116"/>
    <mergeCell ref="H114:H116"/>
    <mergeCell ref="I114:I116"/>
    <mergeCell ref="B117:B134"/>
    <mergeCell ref="C117:C134"/>
    <mergeCell ref="E117:E134"/>
    <mergeCell ref="F117:F119"/>
    <mergeCell ref="G117:G119"/>
    <mergeCell ref="H117:H119"/>
    <mergeCell ref="I117:I119"/>
    <mergeCell ref="F120:F122"/>
    <mergeCell ref="G120:G122"/>
    <mergeCell ref="H120:H122"/>
    <mergeCell ref="I120:I122"/>
    <mergeCell ref="F123:F125"/>
    <mergeCell ref="F129:F131"/>
    <mergeCell ref="G129:G131"/>
    <mergeCell ref="H129:H131"/>
    <mergeCell ref="I129:I131"/>
    <mergeCell ref="F132:F134"/>
    <mergeCell ref="G132:G134"/>
    <mergeCell ref="H132:H134"/>
    <mergeCell ref="I132:I134"/>
    <mergeCell ref="G123:G125"/>
    <mergeCell ref="H123:H125"/>
    <mergeCell ref="I123:I125"/>
    <mergeCell ref="H126:H128"/>
    <mergeCell ref="I126:I128"/>
    <mergeCell ref="H135:H137"/>
    <mergeCell ref="I135:I137"/>
    <mergeCell ref="F138:F140"/>
    <mergeCell ref="G138:G140"/>
    <mergeCell ref="H138:H140"/>
    <mergeCell ref="I138:I140"/>
    <mergeCell ref="I150:I152"/>
    <mergeCell ref="H141:H143"/>
    <mergeCell ref="I141:I143"/>
    <mergeCell ref="F144:F146"/>
    <mergeCell ref="G144:G146"/>
    <mergeCell ref="H144:H146"/>
    <mergeCell ref="I144:I146"/>
    <mergeCell ref="B153:B170"/>
    <mergeCell ref="C153:C170"/>
    <mergeCell ref="E153:E170"/>
    <mergeCell ref="F153:F155"/>
    <mergeCell ref="G153:G155"/>
    <mergeCell ref="F159:F161"/>
    <mergeCell ref="G159:G161"/>
    <mergeCell ref="F165:F167"/>
    <mergeCell ref="G165:G167"/>
    <mergeCell ref="D153:D170"/>
    <mergeCell ref="B135:B152"/>
    <mergeCell ref="C135:C152"/>
    <mergeCell ref="E135:E152"/>
    <mergeCell ref="F135:F137"/>
    <mergeCell ref="G135:G137"/>
    <mergeCell ref="F141:F143"/>
    <mergeCell ref="G141:G143"/>
    <mergeCell ref="F147:F149"/>
    <mergeCell ref="D117:D134"/>
    <mergeCell ref="D135:D152"/>
    <mergeCell ref="G147:G149"/>
    <mergeCell ref="F150:F152"/>
    <mergeCell ref="G150:G152"/>
    <mergeCell ref="F126:F128"/>
    <mergeCell ref="G126:G128"/>
    <mergeCell ref="H165:H167"/>
    <mergeCell ref="I165:I167"/>
    <mergeCell ref="F168:F170"/>
    <mergeCell ref="G168:G170"/>
    <mergeCell ref="H168:H170"/>
    <mergeCell ref="I168:I170"/>
    <mergeCell ref="H159:H161"/>
    <mergeCell ref="I159:I161"/>
    <mergeCell ref="F162:F164"/>
    <mergeCell ref="G162:G164"/>
    <mergeCell ref="H162:H164"/>
    <mergeCell ref="I162:I164"/>
    <mergeCell ref="H153:H155"/>
    <mergeCell ref="I153:I155"/>
    <mergeCell ref="F156:F158"/>
    <mergeCell ref="G156:G158"/>
    <mergeCell ref="H156:H158"/>
    <mergeCell ref="I156:I158"/>
    <mergeCell ref="H147:H149"/>
    <mergeCell ref="I147:I149"/>
    <mergeCell ref="H150:H152"/>
  </mergeCells>
  <phoneticPr fontId="14" type="noConversion"/>
  <dataValidations count="2">
    <dataValidation type="list" allowBlank="1" showInputMessage="1" showErrorMessage="1" sqref="H3:H20 E3:E170 H60:H170" xr:uid="{40F97AED-2516-444C-A83C-3F7540B577F3}">
      <formula1>$E$178:$E$182</formula1>
    </dataValidation>
    <dataValidation type="list" allowBlank="1" showInputMessage="1" showErrorMessage="1" sqref="H21:H59" xr:uid="{21E45C43-1B97-8F4F-AD7C-86659F620FCC}">
      <formula1>$E$177:$E$181</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8383-C330-3344-BC81-B0DB5556EAF4}">
  <sheetPr>
    <tabColor theme="9"/>
  </sheetPr>
  <dimension ref="A1:K278"/>
  <sheetViews>
    <sheetView zoomScale="94" workbookViewId="0">
      <pane xSplit="4" ySplit="2" topLeftCell="E3" activePane="bottomRight" state="frozen"/>
      <selection activeCell="C15" sqref="C15:C20"/>
      <selection pane="topRight" activeCell="C15" sqref="C15:C20"/>
      <selection pane="bottomLeft" activeCell="C15" sqref="C15:C20"/>
      <selection pane="bottomRight" activeCell="G78" sqref="G78:G80"/>
    </sheetView>
  </sheetViews>
  <sheetFormatPr defaultColWidth="13.28515625" defaultRowHeight="15" x14ac:dyDescent="0.2"/>
  <cols>
    <col min="1" max="1" width="16.85546875" style="165" customWidth="1"/>
    <col min="2" max="2" width="7" style="165" customWidth="1"/>
    <col min="3" max="4" width="20.7109375" style="166" customWidth="1"/>
    <col min="5" max="5" width="17.7109375" style="166" customWidth="1"/>
    <col min="6" max="6" width="8.140625" style="166" customWidth="1"/>
    <col min="7" max="7" width="46.140625" style="166" customWidth="1"/>
    <col min="8" max="8" width="18.85546875" style="166" customWidth="1"/>
    <col min="9" max="9" width="32.28515625" style="166" customWidth="1"/>
    <col min="10" max="10" width="9.7109375" style="166" customWidth="1"/>
    <col min="11" max="11" width="45.140625" style="3" customWidth="1"/>
    <col min="12" max="47" width="12" style="165" customWidth="1"/>
    <col min="48" max="255" width="13.28515625" style="165"/>
    <col min="256" max="256" width="40.28515625" style="165" customWidth="1"/>
    <col min="257" max="257" width="48.85546875" style="165" customWidth="1"/>
    <col min="258" max="258" width="53.28515625" style="165" customWidth="1"/>
    <col min="259" max="259" width="56.28515625" style="165" customWidth="1"/>
    <col min="260" max="303" width="12" style="165" customWidth="1"/>
    <col min="304" max="511" width="13.28515625" style="165"/>
    <col min="512" max="512" width="40.28515625" style="165" customWidth="1"/>
    <col min="513" max="513" width="48.85546875" style="165" customWidth="1"/>
    <col min="514" max="514" width="53.28515625" style="165" customWidth="1"/>
    <col min="515" max="515" width="56.28515625" style="165" customWidth="1"/>
    <col min="516" max="559" width="12" style="165" customWidth="1"/>
    <col min="560" max="767" width="13.28515625" style="165"/>
    <col min="768" max="768" width="40.28515625" style="165" customWidth="1"/>
    <col min="769" max="769" width="48.85546875" style="165" customWidth="1"/>
    <col min="770" max="770" width="53.28515625" style="165" customWidth="1"/>
    <col min="771" max="771" width="56.28515625" style="165" customWidth="1"/>
    <col min="772" max="815" width="12" style="165" customWidth="1"/>
    <col min="816" max="1023" width="13.28515625" style="165"/>
    <col min="1024" max="1024" width="40.28515625" style="165" customWidth="1"/>
    <col min="1025" max="1025" width="48.85546875" style="165" customWidth="1"/>
    <col min="1026" max="1026" width="53.28515625" style="165" customWidth="1"/>
    <col min="1027" max="1027" width="56.28515625" style="165" customWidth="1"/>
    <col min="1028" max="1071" width="12" style="165" customWidth="1"/>
    <col min="1072" max="1279" width="13.28515625" style="165"/>
    <col min="1280" max="1280" width="40.28515625" style="165" customWidth="1"/>
    <col min="1281" max="1281" width="48.85546875" style="165" customWidth="1"/>
    <col min="1282" max="1282" width="53.28515625" style="165" customWidth="1"/>
    <col min="1283" max="1283" width="56.28515625" style="165" customWidth="1"/>
    <col min="1284" max="1327" width="12" style="165" customWidth="1"/>
    <col min="1328" max="1535" width="13.28515625" style="165"/>
    <col min="1536" max="1536" width="40.28515625" style="165" customWidth="1"/>
    <col min="1537" max="1537" width="48.85546875" style="165" customWidth="1"/>
    <col min="1538" max="1538" width="53.28515625" style="165" customWidth="1"/>
    <col min="1539" max="1539" width="56.28515625" style="165" customWidth="1"/>
    <col min="1540" max="1583" width="12" style="165" customWidth="1"/>
    <col min="1584" max="1791" width="13.28515625" style="165"/>
    <col min="1792" max="1792" width="40.28515625" style="165" customWidth="1"/>
    <col min="1793" max="1793" width="48.85546875" style="165" customWidth="1"/>
    <col min="1794" max="1794" width="53.28515625" style="165" customWidth="1"/>
    <col min="1795" max="1795" width="56.28515625" style="165" customWidth="1"/>
    <col min="1796" max="1839" width="12" style="165" customWidth="1"/>
    <col min="1840" max="2047" width="13.28515625" style="165"/>
    <col min="2048" max="2048" width="40.28515625" style="165" customWidth="1"/>
    <col min="2049" max="2049" width="48.85546875" style="165" customWidth="1"/>
    <col min="2050" max="2050" width="53.28515625" style="165" customWidth="1"/>
    <col min="2051" max="2051" width="56.28515625" style="165" customWidth="1"/>
    <col min="2052" max="2095" width="12" style="165" customWidth="1"/>
    <col min="2096" max="2303" width="13.28515625" style="165"/>
    <col min="2304" max="2304" width="40.28515625" style="165" customWidth="1"/>
    <col min="2305" max="2305" width="48.85546875" style="165" customWidth="1"/>
    <col min="2306" max="2306" width="53.28515625" style="165" customWidth="1"/>
    <col min="2307" max="2307" width="56.28515625" style="165" customWidth="1"/>
    <col min="2308" max="2351" width="12" style="165" customWidth="1"/>
    <col min="2352" max="2559" width="13.28515625" style="165"/>
    <col min="2560" max="2560" width="40.28515625" style="165" customWidth="1"/>
    <col min="2561" max="2561" width="48.85546875" style="165" customWidth="1"/>
    <col min="2562" max="2562" width="53.28515625" style="165" customWidth="1"/>
    <col min="2563" max="2563" width="56.28515625" style="165" customWidth="1"/>
    <col min="2564" max="2607" width="12" style="165" customWidth="1"/>
    <col min="2608" max="2815" width="13.28515625" style="165"/>
    <col min="2816" max="2816" width="40.28515625" style="165" customWidth="1"/>
    <col min="2817" max="2817" width="48.85546875" style="165" customWidth="1"/>
    <col min="2818" max="2818" width="53.28515625" style="165" customWidth="1"/>
    <col min="2819" max="2819" width="56.28515625" style="165" customWidth="1"/>
    <col min="2820" max="2863" width="12" style="165" customWidth="1"/>
    <col min="2864" max="3071" width="13.28515625" style="165"/>
    <col min="3072" max="3072" width="40.28515625" style="165" customWidth="1"/>
    <col min="3073" max="3073" width="48.85546875" style="165" customWidth="1"/>
    <col min="3074" max="3074" width="53.28515625" style="165" customWidth="1"/>
    <col min="3075" max="3075" width="56.28515625" style="165" customWidth="1"/>
    <col min="3076" max="3119" width="12" style="165" customWidth="1"/>
    <col min="3120" max="3327" width="13.28515625" style="165"/>
    <col min="3328" max="3328" width="40.28515625" style="165" customWidth="1"/>
    <col min="3329" max="3329" width="48.85546875" style="165" customWidth="1"/>
    <col min="3330" max="3330" width="53.28515625" style="165" customWidth="1"/>
    <col min="3331" max="3331" width="56.28515625" style="165" customWidth="1"/>
    <col min="3332" max="3375" width="12" style="165" customWidth="1"/>
    <col min="3376" max="3583" width="13.28515625" style="165"/>
    <col min="3584" max="3584" width="40.28515625" style="165" customWidth="1"/>
    <col min="3585" max="3585" width="48.85546875" style="165" customWidth="1"/>
    <col min="3586" max="3586" width="53.28515625" style="165" customWidth="1"/>
    <col min="3587" max="3587" width="56.28515625" style="165" customWidth="1"/>
    <col min="3588" max="3631" width="12" style="165" customWidth="1"/>
    <col min="3632" max="3839" width="13.28515625" style="165"/>
    <col min="3840" max="3840" width="40.28515625" style="165" customWidth="1"/>
    <col min="3841" max="3841" width="48.85546875" style="165" customWidth="1"/>
    <col min="3842" max="3842" width="53.28515625" style="165" customWidth="1"/>
    <col min="3843" max="3843" width="56.28515625" style="165" customWidth="1"/>
    <col min="3844" max="3887" width="12" style="165" customWidth="1"/>
    <col min="3888" max="4095" width="13.28515625" style="165"/>
    <col min="4096" max="4096" width="40.28515625" style="165" customWidth="1"/>
    <col min="4097" max="4097" width="48.85546875" style="165" customWidth="1"/>
    <col min="4098" max="4098" width="53.28515625" style="165" customWidth="1"/>
    <col min="4099" max="4099" width="56.28515625" style="165" customWidth="1"/>
    <col min="4100" max="4143" width="12" style="165" customWidth="1"/>
    <col min="4144" max="4351" width="13.28515625" style="165"/>
    <col min="4352" max="4352" width="40.28515625" style="165" customWidth="1"/>
    <col min="4353" max="4353" width="48.85546875" style="165" customWidth="1"/>
    <col min="4354" max="4354" width="53.28515625" style="165" customWidth="1"/>
    <col min="4355" max="4355" width="56.28515625" style="165" customWidth="1"/>
    <col min="4356" max="4399" width="12" style="165" customWidth="1"/>
    <col min="4400" max="4607" width="13.28515625" style="165"/>
    <col min="4608" max="4608" width="40.28515625" style="165" customWidth="1"/>
    <col min="4609" max="4609" width="48.85546875" style="165" customWidth="1"/>
    <col min="4610" max="4610" width="53.28515625" style="165" customWidth="1"/>
    <col min="4611" max="4611" width="56.28515625" style="165" customWidth="1"/>
    <col min="4612" max="4655" width="12" style="165" customWidth="1"/>
    <col min="4656" max="4863" width="13.28515625" style="165"/>
    <col min="4864" max="4864" width="40.28515625" style="165" customWidth="1"/>
    <col min="4865" max="4865" width="48.85546875" style="165" customWidth="1"/>
    <col min="4866" max="4866" width="53.28515625" style="165" customWidth="1"/>
    <col min="4867" max="4867" width="56.28515625" style="165" customWidth="1"/>
    <col min="4868" max="4911" width="12" style="165" customWidth="1"/>
    <col min="4912" max="5119" width="13.28515625" style="165"/>
    <col min="5120" max="5120" width="40.28515625" style="165" customWidth="1"/>
    <col min="5121" max="5121" width="48.85546875" style="165" customWidth="1"/>
    <col min="5122" max="5122" width="53.28515625" style="165" customWidth="1"/>
    <col min="5123" max="5123" width="56.28515625" style="165" customWidth="1"/>
    <col min="5124" max="5167" width="12" style="165" customWidth="1"/>
    <col min="5168" max="5375" width="13.28515625" style="165"/>
    <col min="5376" max="5376" width="40.28515625" style="165" customWidth="1"/>
    <col min="5377" max="5377" width="48.85546875" style="165" customWidth="1"/>
    <col min="5378" max="5378" width="53.28515625" style="165" customWidth="1"/>
    <col min="5379" max="5379" width="56.28515625" style="165" customWidth="1"/>
    <col min="5380" max="5423" width="12" style="165" customWidth="1"/>
    <col min="5424" max="5631" width="13.28515625" style="165"/>
    <col min="5632" max="5632" width="40.28515625" style="165" customWidth="1"/>
    <col min="5633" max="5633" width="48.85546875" style="165" customWidth="1"/>
    <col min="5634" max="5634" width="53.28515625" style="165" customWidth="1"/>
    <col min="5635" max="5635" width="56.28515625" style="165" customWidth="1"/>
    <col min="5636" max="5679" width="12" style="165" customWidth="1"/>
    <col min="5680" max="5887" width="13.28515625" style="165"/>
    <col min="5888" max="5888" width="40.28515625" style="165" customWidth="1"/>
    <col min="5889" max="5889" width="48.85546875" style="165" customWidth="1"/>
    <col min="5890" max="5890" width="53.28515625" style="165" customWidth="1"/>
    <col min="5891" max="5891" width="56.28515625" style="165" customWidth="1"/>
    <col min="5892" max="5935" width="12" style="165" customWidth="1"/>
    <col min="5936" max="6143" width="13.28515625" style="165"/>
    <col min="6144" max="6144" width="40.28515625" style="165" customWidth="1"/>
    <col min="6145" max="6145" width="48.85546875" style="165" customWidth="1"/>
    <col min="6146" max="6146" width="53.28515625" style="165" customWidth="1"/>
    <col min="6147" max="6147" width="56.28515625" style="165" customWidth="1"/>
    <col min="6148" max="6191" width="12" style="165" customWidth="1"/>
    <col min="6192" max="6399" width="13.28515625" style="165"/>
    <col min="6400" max="6400" width="40.28515625" style="165" customWidth="1"/>
    <col min="6401" max="6401" width="48.85546875" style="165" customWidth="1"/>
    <col min="6402" max="6402" width="53.28515625" style="165" customWidth="1"/>
    <col min="6403" max="6403" width="56.28515625" style="165" customWidth="1"/>
    <col min="6404" max="6447" width="12" style="165" customWidth="1"/>
    <col min="6448" max="6655" width="13.28515625" style="165"/>
    <col min="6656" max="6656" width="40.28515625" style="165" customWidth="1"/>
    <col min="6657" max="6657" width="48.85546875" style="165" customWidth="1"/>
    <col min="6658" max="6658" width="53.28515625" style="165" customWidth="1"/>
    <col min="6659" max="6659" width="56.28515625" style="165" customWidth="1"/>
    <col min="6660" max="6703" width="12" style="165" customWidth="1"/>
    <col min="6704" max="6911" width="13.28515625" style="165"/>
    <col min="6912" max="6912" width="40.28515625" style="165" customWidth="1"/>
    <col min="6913" max="6913" width="48.85546875" style="165" customWidth="1"/>
    <col min="6914" max="6914" width="53.28515625" style="165" customWidth="1"/>
    <col min="6915" max="6915" width="56.28515625" style="165" customWidth="1"/>
    <col min="6916" max="6959" width="12" style="165" customWidth="1"/>
    <col min="6960" max="7167" width="13.28515625" style="165"/>
    <col min="7168" max="7168" width="40.28515625" style="165" customWidth="1"/>
    <col min="7169" max="7169" width="48.85546875" style="165" customWidth="1"/>
    <col min="7170" max="7170" width="53.28515625" style="165" customWidth="1"/>
    <col min="7171" max="7171" width="56.28515625" style="165" customWidth="1"/>
    <col min="7172" max="7215" width="12" style="165" customWidth="1"/>
    <col min="7216" max="7423" width="13.28515625" style="165"/>
    <col min="7424" max="7424" width="40.28515625" style="165" customWidth="1"/>
    <col min="7425" max="7425" width="48.85546875" style="165" customWidth="1"/>
    <col min="7426" max="7426" width="53.28515625" style="165" customWidth="1"/>
    <col min="7427" max="7427" width="56.28515625" style="165" customWidth="1"/>
    <col min="7428" max="7471" width="12" style="165" customWidth="1"/>
    <col min="7472" max="7679" width="13.28515625" style="165"/>
    <col min="7680" max="7680" width="40.28515625" style="165" customWidth="1"/>
    <col min="7681" max="7681" width="48.85546875" style="165" customWidth="1"/>
    <col min="7682" max="7682" width="53.28515625" style="165" customWidth="1"/>
    <col min="7683" max="7683" width="56.28515625" style="165" customWidth="1"/>
    <col min="7684" max="7727" width="12" style="165" customWidth="1"/>
    <col min="7728" max="7935" width="13.28515625" style="165"/>
    <col min="7936" max="7936" width="40.28515625" style="165" customWidth="1"/>
    <col min="7937" max="7937" width="48.85546875" style="165" customWidth="1"/>
    <col min="7938" max="7938" width="53.28515625" style="165" customWidth="1"/>
    <col min="7939" max="7939" width="56.28515625" style="165" customWidth="1"/>
    <col min="7940" max="7983" width="12" style="165" customWidth="1"/>
    <col min="7984" max="8191" width="13.28515625" style="165"/>
    <col min="8192" max="8192" width="40.28515625" style="165" customWidth="1"/>
    <col min="8193" max="8193" width="48.85546875" style="165" customWidth="1"/>
    <col min="8194" max="8194" width="53.28515625" style="165" customWidth="1"/>
    <col min="8195" max="8195" width="56.28515625" style="165" customWidth="1"/>
    <col min="8196" max="8239" width="12" style="165" customWidth="1"/>
    <col min="8240" max="8447" width="13.28515625" style="165"/>
    <col min="8448" max="8448" width="40.28515625" style="165" customWidth="1"/>
    <col min="8449" max="8449" width="48.85546875" style="165" customWidth="1"/>
    <col min="8450" max="8450" width="53.28515625" style="165" customWidth="1"/>
    <col min="8451" max="8451" width="56.28515625" style="165" customWidth="1"/>
    <col min="8452" max="8495" width="12" style="165" customWidth="1"/>
    <col min="8496" max="8703" width="13.28515625" style="165"/>
    <col min="8704" max="8704" width="40.28515625" style="165" customWidth="1"/>
    <col min="8705" max="8705" width="48.85546875" style="165" customWidth="1"/>
    <col min="8706" max="8706" width="53.28515625" style="165" customWidth="1"/>
    <col min="8707" max="8707" width="56.28515625" style="165" customWidth="1"/>
    <col min="8708" max="8751" width="12" style="165" customWidth="1"/>
    <col min="8752" max="8959" width="13.28515625" style="165"/>
    <col min="8960" max="8960" width="40.28515625" style="165" customWidth="1"/>
    <col min="8961" max="8961" width="48.85546875" style="165" customWidth="1"/>
    <col min="8962" max="8962" width="53.28515625" style="165" customWidth="1"/>
    <col min="8963" max="8963" width="56.28515625" style="165" customWidth="1"/>
    <col min="8964" max="9007" width="12" style="165" customWidth="1"/>
    <col min="9008" max="9215" width="13.28515625" style="165"/>
    <col min="9216" max="9216" width="40.28515625" style="165" customWidth="1"/>
    <col min="9217" max="9217" width="48.85546875" style="165" customWidth="1"/>
    <col min="9218" max="9218" width="53.28515625" style="165" customWidth="1"/>
    <col min="9219" max="9219" width="56.28515625" style="165" customWidth="1"/>
    <col min="9220" max="9263" width="12" style="165" customWidth="1"/>
    <col min="9264" max="9471" width="13.28515625" style="165"/>
    <col min="9472" max="9472" width="40.28515625" style="165" customWidth="1"/>
    <col min="9473" max="9473" width="48.85546875" style="165" customWidth="1"/>
    <col min="9474" max="9474" width="53.28515625" style="165" customWidth="1"/>
    <col min="9475" max="9475" width="56.28515625" style="165" customWidth="1"/>
    <col min="9476" max="9519" width="12" style="165" customWidth="1"/>
    <col min="9520" max="9727" width="13.28515625" style="165"/>
    <col min="9728" max="9728" width="40.28515625" style="165" customWidth="1"/>
    <col min="9729" max="9729" width="48.85546875" style="165" customWidth="1"/>
    <col min="9730" max="9730" width="53.28515625" style="165" customWidth="1"/>
    <col min="9731" max="9731" width="56.28515625" style="165" customWidth="1"/>
    <col min="9732" max="9775" width="12" style="165" customWidth="1"/>
    <col min="9776" max="9983" width="13.28515625" style="165"/>
    <col min="9984" max="9984" width="40.28515625" style="165" customWidth="1"/>
    <col min="9985" max="9985" width="48.85546875" style="165" customWidth="1"/>
    <col min="9986" max="9986" width="53.28515625" style="165" customWidth="1"/>
    <col min="9987" max="9987" width="56.28515625" style="165" customWidth="1"/>
    <col min="9988" max="10031" width="12" style="165" customWidth="1"/>
    <col min="10032" max="10239" width="13.28515625" style="165"/>
    <col min="10240" max="10240" width="40.28515625" style="165" customWidth="1"/>
    <col min="10241" max="10241" width="48.85546875" style="165" customWidth="1"/>
    <col min="10242" max="10242" width="53.28515625" style="165" customWidth="1"/>
    <col min="10243" max="10243" width="56.28515625" style="165" customWidth="1"/>
    <col min="10244" max="10287" width="12" style="165" customWidth="1"/>
    <col min="10288" max="10495" width="13.28515625" style="165"/>
    <col min="10496" max="10496" width="40.28515625" style="165" customWidth="1"/>
    <col min="10497" max="10497" width="48.85546875" style="165" customWidth="1"/>
    <col min="10498" max="10498" width="53.28515625" style="165" customWidth="1"/>
    <col min="10499" max="10499" width="56.28515625" style="165" customWidth="1"/>
    <col min="10500" max="10543" width="12" style="165" customWidth="1"/>
    <col min="10544" max="10751" width="13.28515625" style="165"/>
    <col min="10752" max="10752" width="40.28515625" style="165" customWidth="1"/>
    <col min="10753" max="10753" width="48.85546875" style="165" customWidth="1"/>
    <col min="10754" max="10754" width="53.28515625" style="165" customWidth="1"/>
    <col min="10755" max="10755" width="56.28515625" style="165" customWidth="1"/>
    <col min="10756" max="10799" width="12" style="165" customWidth="1"/>
    <col min="10800" max="11007" width="13.28515625" style="165"/>
    <col min="11008" max="11008" width="40.28515625" style="165" customWidth="1"/>
    <col min="11009" max="11009" width="48.85546875" style="165" customWidth="1"/>
    <col min="11010" max="11010" width="53.28515625" style="165" customWidth="1"/>
    <col min="11011" max="11011" width="56.28515625" style="165" customWidth="1"/>
    <col min="11012" max="11055" width="12" style="165" customWidth="1"/>
    <col min="11056" max="11263" width="13.28515625" style="165"/>
    <col min="11264" max="11264" width="40.28515625" style="165" customWidth="1"/>
    <col min="11265" max="11265" width="48.85546875" style="165" customWidth="1"/>
    <col min="11266" max="11266" width="53.28515625" style="165" customWidth="1"/>
    <col min="11267" max="11267" width="56.28515625" style="165" customWidth="1"/>
    <col min="11268" max="11311" width="12" style="165" customWidth="1"/>
    <col min="11312" max="11519" width="13.28515625" style="165"/>
    <col min="11520" max="11520" width="40.28515625" style="165" customWidth="1"/>
    <col min="11521" max="11521" width="48.85546875" style="165" customWidth="1"/>
    <col min="11522" max="11522" width="53.28515625" style="165" customWidth="1"/>
    <col min="11523" max="11523" width="56.28515625" style="165" customWidth="1"/>
    <col min="11524" max="11567" width="12" style="165" customWidth="1"/>
    <col min="11568" max="11775" width="13.28515625" style="165"/>
    <col min="11776" max="11776" width="40.28515625" style="165" customWidth="1"/>
    <col min="11777" max="11777" width="48.85546875" style="165" customWidth="1"/>
    <col min="11778" max="11778" width="53.28515625" style="165" customWidth="1"/>
    <col min="11779" max="11779" width="56.28515625" style="165" customWidth="1"/>
    <col min="11780" max="11823" width="12" style="165" customWidth="1"/>
    <col min="11824" max="12031" width="13.28515625" style="165"/>
    <col min="12032" max="12032" width="40.28515625" style="165" customWidth="1"/>
    <col min="12033" max="12033" width="48.85546875" style="165" customWidth="1"/>
    <col min="12034" max="12034" width="53.28515625" style="165" customWidth="1"/>
    <col min="12035" max="12035" width="56.28515625" style="165" customWidth="1"/>
    <col min="12036" max="12079" width="12" style="165" customWidth="1"/>
    <col min="12080" max="12287" width="13.28515625" style="165"/>
    <col min="12288" max="12288" width="40.28515625" style="165" customWidth="1"/>
    <col min="12289" max="12289" width="48.85546875" style="165" customWidth="1"/>
    <col min="12290" max="12290" width="53.28515625" style="165" customWidth="1"/>
    <col min="12291" max="12291" width="56.28515625" style="165" customWidth="1"/>
    <col min="12292" max="12335" width="12" style="165" customWidth="1"/>
    <col min="12336" max="12543" width="13.28515625" style="165"/>
    <col min="12544" max="12544" width="40.28515625" style="165" customWidth="1"/>
    <col min="12545" max="12545" width="48.85546875" style="165" customWidth="1"/>
    <col min="12546" max="12546" width="53.28515625" style="165" customWidth="1"/>
    <col min="12547" max="12547" width="56.28515625" style="165" customWidth="1"/>
    <col min="12548" max="12591" width="12" style="165" customWidth="1"/>
    <col min="12592" max="12799" width="13.28515625" style="165"/>
    <col min="12800" max="12800" width="40.28515625" style="165" customWidth="1"/>
    <col min="12801" max="12801" width="48.85546875" style="165" customWidth="1"/>
    <col min="12802" max="12802" width="53.28515625" style="165" customWidth="1"/>
    <col min="12803" max="12803" width="56.28515625" style="165" customWidth="1"/>
    <col min="12804" max="12847" width="12" style="165" customWidth="1"/>
    <col min="12848" max="13055" width="13.28515625" style="165"/>
    <col min="13056" max="13056" width="40.28515625" style="165" customWidth="1"/>
    <col min="13057" max="13057" width="48.85546875" style="165" customWidth="1"/>
    <col min="13058" max="13058" width="53.28515625" style="165" customWidth="1"/>
    <col min="13059" max="13059" width="56.28515625" style="165" customWidth="1"/>
    <col min="13060" max="13103" width="12" style="165" customWidth="1"/>
    <col min="13104" max="13311" width="13.28515625" style="165"/>
    <col min="13312" max="13312" width="40.28515625" style="165" customWidth="1"/>
    <col min="13313" max="13313" width="48.85546875" style="165" customWidth="1"/>
    <col min="13314" max="13314" width="53.28515625" style="165" customWidth="1"/>
    <col min="13315" max="13315" width="56.28515625" style="165" customWidth="1"/>
    <col min="13316" max="13359" width="12" style="165" customWidth="1"/>
    <col min="13360" max="13567" width="13.28515625" style="165"/>
    <col min="13568" max="13568" width="40.28515625" style="165" customWidth="1"/>
    <col min="13569" max="13569" width="48.85546875" style="165" customWidth="1"/>
    <col min="13570" max="13570" width="53.28515625" style="165" customWidth="1"/>
    <col min="13571" max="13571" width="56.28515625" style="165" customWidth="1"/>
    <col min="13572" max="13615" width="12" style="165" customWidth="1"/>
    <col min="13616" max="13823" width="13.28515625" style="165"/>
    <col min="13824" max="13824" width="40.28515625" style="165" customWidth="1"/>
    <col min="13825" max="13825" width="48.85546875" style="165" customWidth="1"/>
    <col min="13826" max="13826" width="53.28515625" style="165" customWidth="1"/>
    <col min="13827" max="13827" width="56.28515625" style="165" customWidth="1"/>
    <col min="13828" max="13871" width="12" style="165" customWidth="1"/>
    <col min="13872" max="14079" width="13.28515625" style="165"/>
    <col min="14080" max="14080" width="40.28515625" style="165" customWidth="1"/>
    <col min="14081" max="14081" width="48.85546875" style="165" customWidth="1"/>
    <col min="14082" max="14082" width="53.28515625" style="165" customWidth="1"/>
    <col min="14083" max="14083" width="56.28515625" style="165" customWidth="1"/>
    <col min="14084" max="14127" width="12" style="165" customWidth="1"/>
    <col min="14128" max="14335" width="13.28515625" style="165"/>
    <col min="14336" max="14336" width="40.28515625" style="165" customWidth="1"/>
    <col min="14337" max="14337" width="48.85546875" style="165" customWidth="1"/>
    <col min="14338" max="14338" width="53.28515625" style="165" customWidth="1"/>
    <col min="14339" max="14339" width="56.28515625" style="165" customWidth="1"/>
    <col min="14340" max="14383" width="12" style="165" customWidth="1"/>
    <col min="14384" max="14591" width="13.28515625" style="165"/>
    <col min="14592" max="14592" width="40.28515625" style="165" customWidth="1"/>
    <col min="14593" max="14593" width="48.85546875" style="165" customWidth="1"/>
    <col min="14594" max="14594" width="53.28515625" style="165" customWidth="1"/>
    <col min="14595" max="14595" width="56.28515625" style="165" customWidth="1"/>
    <col min="14596" max="14639" width="12" style="165" customWidth="1"/>
    <col min="14640" max="14847" width="13.28515625" style="165"/>
    <col min="14848" max="14848" width="40.28515625" style="165" customWidth="1"/>
    <col min="14849" max="14849" width="48.85546875" style="165" customWidth="1"/>
    <col min="14850" max="14850" width="53.28515625" style="165" customWidth="1"/>
    <col min="14851" max="14851" width="56.28515625" style="165" customWidth="1"/>
    <col min="14852" max="14895" width="12" style="165" customWidth="1"/>
    <col min="14896" max="15103" width="13.28515625" style="165"/>
    <col min="15104" max="15104" width="40.28515625" style="165" customWidth="1"/>
    <col min="15105" max="15105" width="48.85546875" style="165" customWidth="1"/>
    <col min="15106" max="15106" width="53.28515625" style="165" customWidth="1"/>
    <col min="15107" max="15107" width="56.28515625" style="165" customWidth="1"/>
    <col min="15108" max="15151" width="12" style="165" customWidth="1"/>
    <col min="15152" max="15359" width="13.28515625" style="165"/>
    <col min="15360" max="15360" width="40.28515625" style="165" customWidth="1"/>
    <col min="15361" max="15361" width="48.85546875" style="165" customWidth="1"/>
    <col min="15362" max="15362" width="53.28515625" style="165" customWidth="1"/>
    <col min="15363" max="15363" width="56.28515625" style="165" customWidth="1"/>
    <col min="15364" max="15407" width="12" style="165" customWidth="1"/>
    <col min="15408" max="15615" width="13.28515625" style="165"/>
    <col min="15616" max="15616" width="40.28515625" style="165" customWidth="1"/>
    <col min="15617" max="15617" width="48.85546875" style="165" customWidth="1"/>
    <col min="15618" max="15618" width="53.28515625" style="165" customWidth="1"/>
    <col min="15619" max="15619" width="56.28515625" style="165" customWidth="1"/>
    <col min="15620" max="15663" width="12" style="165" customWidth="1"/>
    <col min="15664" max="15871" width="13.28515625" style="165"/>
    <col min="15872" max="15872" width="40.28515625" style="165" customWidth="1"/>
    <col min="15873" max="15873" width="48.85546875" style="165" customWidth="1"/>
    <col min="15874" max="15874" width="53.28515625" style="165" customWidth="1"/>
    <col min="15875" max="15875" width="56.28515625" style="165" customWidth="1"/>
    <col min="15876" max="15919" width="12" style="165" customWidth="1"/>
    <col min="15920" max="16127" width="13.28515625" style="165"/>
    <col min="16128" max="16128" width="40.28515625" style="165" customWidth="1"/>
    <col min="16129" max="16129" width="48.85546875" style="165" customWidth="1"/>
    <col min="16130" max="16130" width="53.28515625" style="165" customWidth="1"/>
    <col min="16131" max="16131" width="56.28515625" style="165" customWidth="1"/>
    <col min="16132" max="16175" width="12" style="165" customWidth="1"/>
    <col min="16176" max="16384" width="13.28515625" style="165"/>
  </cols>
  <sheetData>
    <row r="1" spans="1:11" ht="30" customHeight="1" x14ac:dyDescent="0.2"/>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ht="16.350000000000001" customHeight="1" x14ac:dyDescent="0.2">
      <c r="A3" s="382" t="s">
        <v>1657</v>
      </c>
      <c r="B3" s="362" t="s">
        <v>1576</v>
      </c>
      <c r="C3" s="362" t="s">
        <v>534</v>
      </c>
      <c r="D3" s="362"/>
      <c r="E3" s="362"/>
      <c r="F3" s="354" t="s">
        <v>1025</v>
      </c>
      <c r="G3" s="354" t="s">
        <v>1531</v>
      </c>
      <c r="H3" s="354" t="s">
        <v>528</v>
      </c>
      <c r="I3" s="354"/>
      <c r="J3" s="167" t="s">
        <v>1577</v>
      </c>
      <c r="K3" s="7"/>
    </row>
    <row r="4" spans="1:11" x14ac:dyDescent="0.2">
      <c r="A4" s="383"/>
      <c r="B4" s="362"/>
      <c r="C4" s="362"/>
      <c r="D4" s="362"/>
      <c r="E4" s="362"/>
      <c r="F4" s="354"/>
      <c r="G4" s="354"/>
      <c r="H4" s="354"/>
      <c r="I4" s="354"/>
      <c r="J4" s="167" t="s">
        <v>1578</v>
      </c>
      <c r="K4" s="7"/>
    </row>
    <row r="5" spans="1:11" x14ac:dyDescent="0.2">
      <c r="A5" s="383"/>
      <c r="B5" s="362"/>
      <c r="C5" s="362"/>
      <c r="D5" s="362"/>
      <c r="E5" s="362"/>
      <c r="F5" s="354"/>
      <c r="G5" s="354"/>
      <c r="H5" s="354"/>
      <c r="I5" s="354"/>
      <c r="J5" s="167" t="s">
        <v>1579</v>
      </c>
      <c r="K5" s="7"/>
    </row>
    <row r="6" spans="1:11" ht="15" customHeight="1" x14ac:dyDescent="0.2">
      <c r="A6" s="383"/>
      <c r="B6" s="362"/>
      <c r="C6" s="362"/>
      <c r="D6" s="362"/>
      <c r="E6" s="362"/>
      <c r="F6" s="354" t="s">
        <v>1026</v>
      </c>
      <c r="G6" s="354" t="s">
        <v>1532</v>
      </c>
      <c r="H6" s="354" t="s">
        <v>528</v>
      </c>
      <c r="I6" s="354"/>
      <c r="J6" s="167" t="s">
        <v>1580</v>
      </c>
      <c r="K6" s="7"/>
    </row>
    <row r="7" spans="1:11" ht="15" customHeight="1" x14ac:dyDescent="0.2">
      <c r="A7" s="383"/>
      <c r="B7" s="362"/>
      <c r="C7" s="362"/>
      <c r="D7" s="362"/>
      <c r="E7" s="362"/>
      <c r="F7" s="354"/>
      <c r="G7" s="354"/>
      <c r="H7" s="354"/>
      <c r="I7" s="354"/>
      <c r="J7" s="167" t="s">
        <v>1581</v>
      </c>
      <c r="K7" s="7"/>
    </row>
    <row r="8" spans="1:11" x14ac:dyDescent="0.2">
      <c r="A8" s="383"/>
      <c r="B8" s="362"/>
      <c r="C8" s="362"/>
      <c r="D8" s="362"/>
      <c r="E8" s="362"/>
      <c r="F8" s="354"/>
      <c r="G8" s="354"/>
      <c r="H8" s="354"/>
      <c r="I8" s="354"/>
      <c r="J8" s="167" t="s">
        <v>1582</v>
      </c>
      <c r="K8" s="7"/>
    </row>
    <row r="9" spans="1:11" ht="15" customHeight="1" x14ac:dyDescent="0.2">
      <c r="A9" s="383"/>
      <c r="B9" s="362"/>
      <c r="C9" s="362"/>
      <c r="D9" s="362"/>
      <c r="E9" s="362"/>
      <c r="F9" s="354" t="s">
        <v>1027</v>
      </c>
      <c r="G9" s="354" t="s">
        <v>1533</v>
      </c>
      <c r="H9" s="354" t="s">
        <v>528</v>
      </c>
      <c r="I9" s="354"/>
      <c r="J9" s="167"/>
      <c r="K9" s="7"/>
    </row>
    <row r="10" spans="1:11" ht="15" customHeight="1" x14ac:dyDescent="0.2">
      <c r="A10" s="383"/>
      <c r="B10" s="362"/>
      <c r="C10" s="362"/>
      <c r="D10" s="362"/>
      <c r="E10" s="362"/>
      <c r="F10" s="354"/>
      <c r="G10" s="354"/>
      <c r="H10" s="354"/>
      <c r="I10" s="354"/>
      <c r="J10" s="167"/>
      <c r="K10" s="7"/>
    </row>
    <row r="11" spans="1:11" x14ac:dyDescent="0.2">
      <c r="A11" s="383"/>
      <c r="B11" s="362"/>
      <c r="C11" s="362"/>
      <c r="D11" s="362"/>
      <c r="E11" s="362"/>
      <c r="F11" s="354"/>
      <c r="G11" s="354"/>
      <c r="H11" s="354"/>
      <c r="I11" s="354"/>
      <c r="J11" s="167"/>
      <c r="K11" s="7"/>
    </row>
    <row r="12" spans="1:11" ht="15" customHeight="1" x14ac:dyDescent="0.2">
      <c r="A12" s="383"/>
      <c r="B12" s="362"/>
      <c r="C12" s="362"/>
      <c r="D12" s="362"/>
      <c r="E12" s="362"/>
      <c r="F12" s="354" t="s">
        <v>1028</v>
      </c>
      <c r="G12" s="354" t="s">
        <v>1534</v>
      </c>
      <c r="H12" s="354" t="s">
        <v>528</v>
      </c>
      <c r="I12" s="354"/>
      <c r="J12" s="167"/>
      <c r="K12" s="7"/>
    </row>
    <row r="13" spans="1:11" ht="15" customHeight="1" x14ac:dyDescent="0.2">
      <c r="A13" s="383"/>
      <c r="B13" s="362"/>
      <c r="C13" s="362"/>
      <c r="D13" s="362"/>
      <c r="E13" s="362"/>
      <c r="F13" s="354"/>
      <c r="G13" s="354"/>
      <c r="H13" s="354"/>
      <c r="I13" s="354"/>
      <c r="J13" s="167"/>
      <c r="K13" s="7"/>
    </row>
    <row r="14" spans="1:11" x14ac:dyDescent="0.2">
      <c r="A14" s="383"/>
      <c r="B14" s="362"/>
      <c r="C14" s="362"/>
      <c r="D14" s="362"/>
      <c r="E14" s="362"/>
      <c r="F14" s="354"/>
      <c r="G14" s="354"/>
      <c r="H14" s="354"/>
      <c r="I14" s="354"/>
      <c r="J14" s="167"/>
      <c r="K14" s="7"/>
    </row>
    <row r="15" spans="1:11" ht="15" customHeight="1" x14ac:dyDescent="0.2">
      <c r="A15" s="383"/>
      <c r="B15" s="362"/>
      <c r="C15" s="362"/>
      <c r="D15" s="362"/>
      <c r="E15" s="362"/>
      <c r="F15" s="354" t="s">
        <v>1029</v>
      </c>
      <c r="G15" s="354" t="s">
        <v>1535</v>
      </c>
      <c r="H15" s="354" t="s">
        <v>528</v>
      </c>
      <c r="I15" s="354"/>
      <c r="J15" s="167"/>
      <c r="K15" s="7"/>
    </row>
    <row r="16" spans="1:11" ht="15" customHeight="1" x14ac:dyDescent="0.2">
      <c r="A16" s="383"/>
      <c r="B16" s="362"/>
      <c r="C16" s="362"/>
      <c r="D16" s="362"/>
      <c r="E16" s="362"/>
      <c r="F16" s="354"/>
      <c r="G16" s="354"/>
      <c r="H16" s="354"/>
      <c r="I16" s="354"/>
      <c r="J16" s="167"/>
      <c r="K16" s="7"/>
    </row>
    <row r="17" spans="1:11" x14ac:dyDescent="0.2">
      <c r="A17" s="383"/>
      <c r="B17" s="362"/>
      <c r="C17" s="362"/>
      <c r="D17" s="362"/>
      <c r="E17" s="362"/>
      <c r="F17" s="354"/>
      <c r="G17" s="354"/>
      <c r="H17" s="354"/>
      <c r="I17" s="354"/>
      <c r="J17" s="167"/>
      <c r="K17" s="7"/>
    </row>
    <row r="18" spans="1:11" ht="15" customHeight="1" x14ac:dyDescent="0.2">
      <c r="A18" s="383"/>
      <c r="B18" s="362"/>
      <c r="C18" s="362"/>
      <c r="D18" s="362"/>
      <c r="E18" s="362"/>
      <c r="F18" s="354" t="s">
        <v>1030</v>
      </c>
      <c r="G18" s="354" t="s">
        <v>1536</v>
      </c>
      <c r="H18" s="354" t="s">
        <v>528</v>
      </c>
      <c r="I18" s="354"/>
      <c r="J18" s="167"/>
      <c r="K18" s="7"/>
    </row>
    <row r="19" spans="1:11" ht="15" customHeight="1" x14ac:dyDescent="0.2">
      <c r="A19" s="383"/>
      <c r="B19" s="362"/>
      <c r="C19" s="362"/>
      <c r="D19" s="362"/>
      <c r="E19" s="362"/>
      <c r="F19" s="354"/>
      <c r="G19" s="354"/>
      <c r="H19" s="354"/>
      <c r="I19" s="354"/>
      <c r="J19" s="167"/>
      <c r="K19" s="7"/>
    </row>
    <row r="20" spans="1:11" x14ac:dyDescent="0.2">
      <c r="A20" s="383"/>
      <c r="B20" s="362"/>
      <c r="C20" s="362"/>
      <c r="D20" s="362"/>
      <c r="E20" s="362"/>
      <c r="F20" s="354"/>
      <c r="G20" s="354"/>
      <c r="H20" s="354"/>
      <c r="I20" s="354"/>
      <c r="J20" s="167"/>
      <c r="K20" s="7"/>
    </row>
    <row r="21" spans="1:11" ht="15" customHeight="1" x14ac:dyDescent="0.2">
      <c r="A21" s="383"/>
      <c r="B21" s="385" t="s">
        <v>1583</v>
      </c>
      <c r="C21" s="385" t="s">
        <v>1555</v>
      </c>
      <c r="D21" s="385"/>
      <c r="E21" s="385"/>
      <c r="F21" s="354" t="s">
        <v>1031</v>
      </c>
      <c r="G21" s="381" t="s">
        <v>3611</v>
      </c>
      <c r="H21" s="354" t="s">
        <v>528</v>
      </c>
      <c r="I21" s="354"/>
      <c r="J21" s="167"/>
      <c r="K21" s="7"/>
    </row>
    <row r="22" spans="1:11" x14ac:dyDescent="0.2">
      <c r="A22" s="383"/>
      <c r="B22" s="386"/>
      <c r="C22" s="386"/>
      <c r="D22" s="386"/>
      <c r="E22" s="386"/>
      <c r="F22" s="354"/>
      <c r="G22" s="381"/>
      <c r="H22" s="354"/>
      <c r="I22" s="354"/>
      <c r="J22" s="167"/>
      <c r="K22" s="7"/>
    </row>
    <row r="23" spans="1:11" x14ac:dyDescent="0.2">
      <c r="A23" s="383"/>
      <c r="B23" s="386"/>
      <c r="C23" s="386"/>
      <c r="D23" s="386"/>
      <c r="E23" s="386"/>
      <c r="F23" s="354"/>
      <c r="G23" s="381"/>
      <c r="H23" s="354"/>
      <c r="I23" s="354"/>
      <c r="J23" s="167"/>
      <c r="K23" s="7"/>
    </row>
    <row r="24" spans="1:11" ht="15" customHeight="1" x14ac:dyDescent="0.2">
      <c r="A24" s="383"/>
      <c r="B24" s="386"/>
      <c r="C24" s="386"/>
      <c r="D24" s="386"/>
      <c r="E24" s="386"/>
      <c r="F24" s="354" t="s">
        <v>1032</v>
      </c>
      <c r="G24" s="381" t="s">
        <v>3615</v>
      </c>
      <c r="H24" s="354" t="s">
        <v>528</v>
      </c>
      <c r="I24" s="354"/>
      <c r="J24" s="167"/>
      <c r="K24" s="7"/>
    </row>
    <row r="25" spans="1:11" ht="15" customHeight="1" x14ac:dyDescent="0.2">
      <c r="A25" s="383"/>
      <c r="B25" s="386"/>
      <c r="C25" s="386"/>
      <c r="D25" s="386"/>
      <c r="E25" s="386"/>
      <c r="F25" s="354"/>
      <c r="G25" s="381"/>
      <c r="H25" s="354"/>
      <c r="I25" s="354"/>
      <c r="J25" s="167"/>
      <c r="K25" s="7"/>
    </row>
    <row r="26" spans="1:11" x14ac:dyDescent="0.2">
      <c r="A26" s="383"/>
      <c r="B26" s="386"/>
      <c r="C26" s="386"/>
      <c r="D26" s="386"/>
      <c r="E26" s="386"/>
      <c r="F26" s="354"/>
      <c r="G26" s="381"/>
      <c r="H26" s="354"/>
      <c r="I26" s="354"/>
      <c r="J26" s="167"/>
      <c r="K26" s="7"/>
    </row>
    <row r="27" spans="1:11" ht="15" customHeight="1" x14ac:dyDescent="0.2">
      <c r="A27" s="383"/>
      <c r="B27" s="386"/>
      <c r="C27" s="386"/>
      <c r="D27" s="386"/>
      <c r="E27" s="386"/>
      <c r="F27" s="354" t="s">
        <v>1033</v>
      </c>
      <c r="G27" s="381" t="s">
        <v>3616</v>
      </c>
      <c r="H27" s="354" t="s">
        <v>528</v>
      </c>
      <c r="I27" s="354"/>
      <c r="J27" s="167"/>
      <c r="K27" s="7"/>
    </row>
    <row r="28" spans="1:11" ht="15" customHeight="1" x14ac:dyDescent="0.2">
      <c r="A28" s="383"/>
      <c r="B28" s="386"/>
      <c r="C28" s="386"/>
      <c r="D28" s="386"/>
      <c r="E28" s="386"/>
      <c r="F28" s="354"/>
      <c r="G28" s="381"/>
      <c r="H28" s="354"/>
      <c r="I28" s="354"/>
      <c r="J28" s="167"/>
      <c r="K28" s="7"/>
    </row>
    <row r="29" spans="1:11" ht="15" customHeight="1" x14ac:dyDescent="0.2">
      <c r="A29" s="383"/>
      <c r="B29" s="386"/>
      <c r="C29" s="386"/>
      <c r="D29" s="386"/>
      <c r="E29" s="386"/>
      <c r="F29" s="354"/>
      <c r="G29" s="381"/>
      <c r="H29" s="354"/>
      <c r="I29" s="354"/>
      <c r="J29" s="167"/>
      <c r="K29" s="7"/>
    </row>
    <row r="30" spans="1:11" x14ac:dyDescent="0.2">
      <c r="A30" s="383"/>
      <c r="B30" s="386"/>
      <c r="C30" s="386"/>
      <c r="D30" s="386"/>
      <c r="E30" s="386"/>
      <c r="F30" s="354" t="s">
        <v>1034</v>
      </c>
      <c r="G30" s="381" t="s">
        <v>3612</v>
      </c>
      <c r="H30" s="354" t="s">
        <v>528</v>
      </c>
      <c r="I30" s="354"/>
      <c r="J30" s="167"/>
      <c r="K30" s="7"/>
    </row>
    <row r="31" spans="1:11" x14ac:dyDescent="0.2">
      <c r="A31" s="383"/>
      <c r="B31" s="386"/>
      <c r="C31" s="386"/>
      <c r="D31" s="386"/>
      <c r="E31" s="386"/>
      <c r="F31" s="354"/>
      <c r="G31" s="381"/>
      <c r="H31" s="354"/>
      <c r="I31" s="354"/>
      <c r="J31" s="167"/>
      <c r="K31" s="7"/>
    </row>
    <row r="32" spans="1:11" x14ac:dyDescent="0.2">
      <c r="A32" s="383"/>
      <c r="B32" s="386"/>
      <c r="C32" s="386"/>
      <c r="D32" s="386"/>
      <c r="E32" s="386"/>
      <c r="F32" s="354"/>
      <c r="G32" s="381"/>
      <c r="H32" s="354"/>
      <c r="I32" s="354"/>
      <c r="J32" s="167"/>
      <c r="K32" s="37"/>
    </row>
    <row r="33" spans="1:11" x14ac:dyDescent="0.2">
      <c r="A33" s="383"/>
      <c r="B33" s="386"/>
      <c r="C33" s="386"/>
      <c r="D33" s="386"/>
      <c r="E33" s="386"/>
      <c r="F33" s="354" t="s">
        <v>1035</v>
      </c>
      <c r="G33" s="381" t="s">
        <v>3613</v>
      </c>
      <c r="H33" s="354" t="s">
        <v>528</v>
      </c>
      <c r="I33" s="354"/>
      <c r="J33" s="167"/>
      <c r="K33" s="37"/>
    </row>
    <row r="34" spans="1:11" x14ac:dyDescent="0.2">
      <c r="A34" s="383"/>
      <c r="B34" s="386"/>
      <c r="C34" s="386"/>
      <c r="D34" s="386"/>
      <c r="E34" s="386"/>
      <c r="F34" s="354"/>
      <c r="G34" s="381"/>
      <c r="H34" s="354"/>
      <c r="I34" s="354"/>
      <c r="J34" s="167"/>
      <c r="K34" s="37"/>
    </row>
    <row r="35" spans="1:11" x14ac:dyDescent="0.2">
      <c r="A35" s="383"/>
      <c r="B35" s="386"/>
      <c r="C35" s="386"/>
      <c r="D35" s="386"/>
      <c r="E35" s="386"/>
      <c r="F35" s="354"/>
      <c r="G35" s="381"/>
      <c r="H35" s="354"/>
      <c r="I35" s="354"/>
      <c r="J35" s="167"/>
      <c r="K35" s="37"/>
    </row>
    <row r="36" spans="1:11" ht="15" customHeight="1" x14ac:dyDescent="0.25">
      <c r="A36" s="383"/>
      <c r="B36" s="386"/>
      <c r="C36" s="386"/>
      <c r="D36" s="386"/>
      <c r="E36" s="386"/>
      <c r="F36" s="354" t="s">
        <v>1036</v>
      </c>
      <c r="G36" s="381" t="s">
        <v>3614</v>
      </c>
      <c r="H36" s="354" t="s">
        <v>528</v>
      </c>
      <c r="I36" s="354"/>
      <c r="J36" s="167"/>
      <c r="K36" s="104"/>
    </row>
    <row r="37" spans="1:11" ht="15" customHeight="1" x14ac:dyDescent="0.25">
      <c r="A37" s="383"/>
      <c r="B37" s="386"/>
      <c r="C37" s="386"/>
      <c r="D37" s="386"/>
      <c r="E37" s="386"/>
      <c r="F37" s="354"/>
      <c r="G37" s="381"/>
      <c r="H37" s="354"/>
      <c r="I37" s="354"/>
      <c r="J37" s="167"/>
      <c r="K37" s="104"/>
    </row>
    <row r="38" spans="1:11" x14ac:dyDescent="0.25">
      <c r="A38" s="383"/>
      <c r="B38" s="386"/>
      <c r="C38" s="386"/>
      <c r="D38" s="386"/>
      <c r="E38" s="386"/>
      <c r="F38" s="354"/>
      <c r="G38" s="381"/>
      <c r="H38" s="354"/>
      <c r="I38" s="354"/>
      <c r="J38" s="167"/>
      <c r="K38" s="33"/>
    </row>
    <row r="39" spans="1:11" ht="15" customHeight="1" x14ac:dyDescent="0.25">
      <c r="A39" s="383"/>
      <c r="B39" s="386"/>
      <c r="C39" s="386"/>
      <c r="D39" s="386"/>
      <c r="E39" s="386"/>
      <c r="F39" s="354" t="s">
        <v>1037</v>
      </c>
      <c r="G39" s="381" t="s">
        <v>3617</v>
      </c>
      <c r="H39" s="354" t="s">
        <v>511</v>
      </c>
      <c r="I39" s="354"/>
      <c r="J39" s="167"/>
      <c r="K39" s="104"/>
    </row>
    <row r="40" spans="1:11" ht="15" customHeight="1" x14ac:dyDescent="0.25">
      <c r="A40" s="383"/>
      <c r="B40" s="386"/>
      <c r="C40" s="386"/>
      <c r="D40" s="386"/>
      <c r="E40" s="386"/>
      <c r="F40" s="354"/>
      <c r="G40" s="381"/>
      <c r="H40" s="354"/>
      <c r="I40" s="354"/>
      <c r="J40" s="167"/>
      <c r="K40" s="104"/>
    </row>
    <row r="41" spans="1:11" x14ac:dyDescent="0.25">
      <c r="A41" s="383"/>
      <c r="B41" s="386"/>
      <c r="C41" s="386"/>
      <c r="D41" s="386"/>
      <c r="E41" s="386"/>
      <c r="F41" s="354"/>
      <c r="G41" s="381"/>
      <c r="H41" s="354"/>
      <c r="I41" s="354"/>
      <c r="J41" s="167"/>
      <c r="K41" s="33"/>
    </row>
    <row r="42" spans="1:11" ht="15" customHeight="1" x14ac:dyDescent="0.25">
      <c r="A42" s="383"/>
      <c r="B42" s="386"/>
      <c r="C42" s="386"/>
      <c r="D42" s="386"/>
      <c r="E42" s="386"/>
      <c r="F42" s="354" t="s">
        <v>3598</v>
      </c>
      <c r="G42" s="381" t="s">
        <v>3618</v>
      </c>
      <c r="H42" s="354" t="s">
        <v>528</v>
      </c>
      <c r="I42" s="354"/>
      <c r="J42" s="167"/>
      <c r="K42" s="104"/>
    </row>
    <row r="43" spans="1:11" ht="15" customHeight="1" x14ac:dyDescent="0.25">
      <c r="A43" s="383"/>
      <c r="B43" s="386"/>
      <c r="C43" s="386"/>
      <c r="D43" s="386"/>
      <c r="E43" s="386"/>
      <c r="F43" s="354"/>
      <c r="G43" s="381"/>
      <c r="H43" s="354"/>
      <c r="I43" s="354"/>
      <c r="J43" s="167"/>
      <c r="K43" s="104"/>
    </row>
    <row r="44" spans="1:11" x14ac:dyDescent="0.25">
      <c r="A44" s="383"/>
      <c r="B44" s="386"/>
      <c r="C44" s="386"/>
      <c r="D44" s="386"/>
      <c r="E44" s="386"/>
      <c r="F44" s="354"/>
      <c r="G44" s="381"/>
      <c r="H44" s="354"/>
      <c r="I44" s="354"/>
      <c r="J44" s="167"/>
      <c r="K44" s="33"/>
    </row>
    <row r="45" spans="1:11" x14ac:dyDescent="0.25">
      <c r="A45" s="383"/>
      <c r="B45" s="384" t="s">
        <v>1584</v>
      </c>
      <c r="C45" s="384" t="s">
        <v>536</v>
      </c>
      <c r="D45" s="384"/>
      <c r="E45" s="384"/>
      <c r="F45" s="354" t="s">
        <v>1585</v>
      </c>
      <c r="G45" s="354" t="s">
        <v>1538</v>
      </c>
      <c r="H45" s="354" t="s">
        <v>507</v>
      </c>
      <c r="I45" s="354"/>
      <c r="J45" s="167"/>
      <c r="K45" s="33"/>
    </row>
    <row r="46" spans="1:11" x14ac:dyDescent="0.25">
      <c r="A46" s="383"/>
      <c r="B46" s="384"/>
      <c r="C46" s="384"/>
      <c r="D46" s="384"/>
      <c r="E46" s="384"/>
      <c r="F46" s="354"/>
      <c r="G46" s="354"/>
      <c r="H46" s="354"/>
      <c r="I46" s="354"/>
      <c r="J46" s="167"/>
      <c r="K46" s="33"/>
    </row>
    <row r="47" spans="1:11" x14ac:dyDescent="0.25">
      <c r="A47" s="383"/>
      <c r="B47" s="384"/>
      <c r="C47" s="384"/>
      <c r="D47" s="384"/>
      <c r="E47" s="384"/>
      <c r="F47" s="354"/>
      <c r="G47" s="354"/>
      <c r="H47" s="354"/>
      <c r="I47" s="354"/>
      <c r="J47" s="167"/>
      <c r="K47" s="33"/>
    </row>
    <row r="48" spans="1:11" ht="15" customHeight="1" x14ac:dyDescent="0.25">
      <c r="A48" s="383"/>
      <c r="B48" s="384"/>
      <c r="C48" s="384"/>
      <c r="D48" s="384"/>
      <c r="E48" s="384"/>
      <c r="F48" s="354" t="s">
        <v>1586</v>
      </c>
      <c r="G48" s="354" t="s">
        <v>1539</v>
      </c>
      <c r="H48" s="354" t="s">
        <v>507</v>
      </c>
      <c r="I48" s="354"/>
      <c r="J48" s="167"/>
      <c r="K48" s="33"/>
    </row>
    <row r="49" spans="1:11" ht="15" customHeight="1" x14ac:dyDescent="0.25">
      <c r="A49" s="383"/>
      <c r="B49" s="384"/>
      <c r="C49" s="384"/>
      <c r="D49" s="384"/>
      <c r="E49" s="384"/>
      <c r="F49" s="354"/>
      <c r="G49" s="354"/>
      <c r="H49" s="354"/>
      <c r="I49" s="354"/>
      <c r="J49" s="167"/>
      <c r="K49" s="33"/>
    </row>
    <row r="50" spans="1:11" x14ac:dyDescent="0.25">
      <c r="A50" s="383"/>
      <c r="B50" s="384"/>
      <c r="C50" s="384"/>
      <c r="D50" s="384"/>
      <c r="E50" s="384"/>
      <c r="F50" s="354"/>
      <c r="G50" s="354"/>
      <c r="H50" s="354"/>
      <c r="I50" s="354"/>
      <c r="J50" s="167"/>
      <c r="K50" s="33"/>
    </row>
    <row r="51" spans="1:11" ht="15" customHeight="1" x14ac:dyDescent="0.25">
      <c r="A51" s="383"/>
      <c r="B51" s="384"/>
      <c r="C51" s="384"/>
      <c r="D51" s="384"/>
      <c r="E51" s="384"/>
      <c r="F51" s="354" t="s">
        <v>1587</v>
      </c>
      <c r="G51" s="354" t="s">
        <v>1540</v>
      </c>
      <c r="H51" s="354" t="s">
        <v>507</v>
      </c>
      <c r="I51" s="354"/>
      <c r="J51" s="167"/>
      <c r="K51" s="33"/>
    </row>
    <row r="52" spans="1:11" ht="15" customHeight="1" x14ac:dyDescent="0.25">
      <c r="A52" s="383"/>
      <c r="B52" s="384"/>
      <c r="C52" s="384"/>
      <c r="D52" s="384"/>
      <c r="E52" s="384"/>
      <c r="F52" s="354"/>
      <c r="G52" s="354"/>
      <c r="H52" s="354"/>
      <c r="I52" s="354"/>
      <c r="J52" s="167"/>
      <c r="K52" s="33"/>
    </row>
    <row r="53" spans="1:11" x14ac:dyDescent="0.25">
      <c r="A53" s="383"/>
      <c r="B53" s="384"/>
      <c r="C53" s="384"/>
      <c r="D53" s="384"/>
      <c r="E53" s="384"/>
      <c r="F53" s="354"/>
      <c r="G53" s="354"/>
      <c r="H53" s="354"/>
      <c r="I53" s="354"/>
      <c r="J53" s="167"/>
      <c r="K53" s="33"/>
    </row>
    <row r="54" spans="1:11" x14ac:dyDescent="0.25">
      <c r="A54" s="383"/>
      <c r="B54" s="384"/>
      <c r="C54" s="384"/>
      <c r="D54" s="384"/>
      <c r="E54" s="384"/>
      <c r="F54" s="354" t="s">
        <v>1588</v>
      </c>
      <c r="G54" s="354" t="s">
        <v>1556</v>
      </c>
      <c r="H54" s="354" t="s">
        <v>507</v>
      </c>
      <c r="I54" s="354"/>
      <c r="J54" s="167"/>
      <c r="K54" s="33"/>
    </row>
    <row r="55" spans="1:11" x14ac:dyDescent="0.25">
      <c r="A55" s="383"/>
      <c r="B55" s="384"/>
      <c r="C55" s="384"/>
      <c r="D55" s="384"/>
      <c r="E55" s="384"/>
      <c r="F55" s="354"/>
      <c r="G55" s="354"/>
      <c r="H55" s="354"/>
      <c r="I55" s="354"/>
      <c r="J55" s="167"/>
      <c r="K55" s="33"/>
    </row>
    <row r="56" spans="1:11" x14ac:dyDescent="0.25">
      <c r="A56" s="383"/>
      <c r="B56" s="384"/>
      <c r="C56" s="384"/>
      <c r="D56" s="384"/>
      <c r="E56" s="384"/>
      <c r="F56" s="354"/>
      <c r="G56" s="354"/>
      <c r="H56" s="354"/>
      <c r="I56" s="354"/>
      <c r="J56" s="167"/>
      <c r="K56" s="33"/>
    </row>
    <row r="57" spans="1:11" x14ac:dyDescent="0.25">
      <c r="A57" s="383"/>
      <c r="B57" s="384"/>
      <c r="C57" s="384"/>
      <c r="D57" s="384"/>
      <c r="E57" s="384"/>
      <c r="F57" s="354" t="s">
        <v>1589</v>
      </c>
      <c r="G57" s="354"/>
      <c r="H57" s="354"/>
      <c r="I57" s="354"/>
      <c r="J57" s="167"/>
      <c r="K57" s="33"/>
    </row>
    <row r="58" spans="1:11" x14ac:dyDescent="0.25">
      <c r="A58" s="383"/>
      <c r="B58" s="384"/>
      <c r="C58" s="384"/>
      <c r="D58" s="384"/>
      <c r="E58" s="384"/>
      <c r="F58" s="354"/>
      <c r="G58" s="354"/>
      <c r="H58" s="354"/>
      <c r="I58" s="354"/>
      <c r="J58" s="167"/>
      <c r="K58" s="33"/>
    </row>
    <row r="59" spans="1:11" x14ac:dyDescent="0.25">
      <c r="A59" s="383"/>
      <c r="B59" s="384"/>
      <c r="C59" s="384"/>
      <c r="D59" s="384"/>
      <c r="E59" s="384"/>
      <c r="F59" s="354"/>
      <c r="G59" s="354"/>
      <c r="H59" s="354"/>
      <c r="I59" s="354"/>
      <c r="J59" s="167"/>
      <c r="K59" s="33"/>
    </row>
    <row r="60" spans="1:11" ht="15" customHeight="1" x14ac:dyDescent="0.25">
      <c r="A60" s="383"/>
      <c r="B60" s="384"/>
      <c r="C60" s="384"/>
      <c r="D60" s="384"/>
      <c r="E60" s="384"/>
      <c r="F60" s="354" t="s">
        <v>1590</v>
      </c>
      <c r="G60" s="354"/>
      <c r="H60" s="354"/>
      <c r="I60" s="354"/>
      <c r="J60" s="167"/>
      <c r="K60" s="33"/>
    </row>
    <row r="61" spans="1:11" ht="15" customHeight="1" x14ac:dyDescent="0.25">
      <c r="A61" s="383"/>
      <c r="B61" s="384"/>
      <c r="C61" s="384"/>
      <c r="D61" s="384"/>
      <c r="E61" s="384"/>
      <c r="F61" s="354"/>
      <c r="G61" s="354"/>
      <c r="H61" s="354"/>
      <c r="I61" s="354"/>
      <c r="J61" s="167"/>
      <c r="K61" s="33"/>
    </row>
    <row r="62" spans="1:11" x14ac:dyDescent="0.25">
      <c r="A62" s="383"/>
      <c r="B62" s="384"/>
      <c r="C62" s="384"/>
      <c r="D62" s="384"/>
      <c r="E62" s="384"/>
      <c r="F62" s="354"/>
      <c r="G62" s="354"/>
      <c r="H62" s="354"/>
      <c r="I62" s="354"/>
      <c r="J62" s="167"/>
      <c r="K62" s="33"/>
    </row>
    <row r="63" spans="1:11" ht="15" customHeight="1" x14ac:dyDescent="0.25">
      <c r="A63" s="383"/>
      <c r="B63" s="373" t="s">
        <v>1591</v>
      </c>
      <c r="C63" s="373" t="s">
        <v>537</v>
      </c>
      <c r="D63" s="373"/>
      <c r="E63" s="373"/>
      <c r="F63" s="308" t="s">
        <v>1592</v>
      </c>
      <c r="G63" s="375" t="s">
        <v>3599</v>
      </c>
      <c r="H63" s="308" t="s">
        <v>528</v>
      </c>
      <c r="I63" s="308"/>
      <c r="J63" s="167"/>
      <c r="K63" s="33"/>
    </row>
    <row r="64" spans="1:11" ht="15" customHeight="1" x14ac:dyDescent="0.25">
      <c r="A64" s="383"/>
      <c r="B64" s="374"/>
      <c r="C64" s="374"/>
      <c r="D64" s="374"/>
      <c r="E64" s="374"/>
      <c r="F64" s="308"/>
      <c r="G64" s="376"/>
      <c r="H64" s="308"/>
      <c r="I64" s="308"/>
      <c r="J64" s="167"/>
      <c r="K64" s="33"/>
    </row>
    <row r="65" spans="1:11" ht="15" customHeight="1" x14ac:dyDescent="0.2">
      <c r="A65" s="383"/>
      <c r="B65" s="374"/>
      <c r="C65" s="374"/>
      <c r="D65" s="374"/>
      <c r="E65" s="374"/>
      <c r="F65" s="308"/>
      <c r="G65" s="377"/>
      <c r="H65" s="308"/>
      <c r="I65" s="308"/>
      <c r="J65" s="167"/>
      <c r="K65" s="34"/>
    </row>
    <row r="66" spans="1:11" ht="15" customHeight="1" x14ac:dyDescent="0.2">
      <c r="A66" s="383"/>
      <c r="B66" s="374"/>
      <c r="C66" s="374"/>
      <c r="D66" s="374"/>
      <c r="E66" s="374"/>
      <c r="F66" s="308" t="s">
        <v>1593</v>
      </c>
      <c r="G66" s="371" t="s">
        <v>3619</v>
      </c>
      <c r="H66" s="308" t="s">
        <v>528</v>
      </c>
      <c r="I66" s="308"/>
      <c r="J66" s="167"/>
      <c r="K66" s="34"/>
    </row>
    <row r="67" spans="1:11" ht="15" customHeight="1" x14ac:dyDescent="0.2">
      <c r="A67" s="383"/>
      <c r="B67" s="374"/>
      <c r="C67" s="374"/>
      <c r="D67" s="374"/>
      <c r="E67" s="374"/>
      <c r="F67" s="308"/>
      <c r="G67" s="372"/>
      <c r="H67" s="308"/>
      <c r="I67" s="308"/>
      <c r="J67" s="167"/>
      <c r="K67" s="34"/>
    </row>
    <row r="68" spans="1:11" ht="15" customHeight="1" x14ac:dyDescent="0.2">
      <c r="A68" s="383"/>
      <c r="B68" s="374"/>
      <c r="C68" s="374"/>
      <c r="D68" s="374"/>
      <c r="E68" s="374"/>
      <c r="F68" s="308"/>
      <c r="G68" s="372"/>
      <c r="H68" s="308"/>
      <c r="I68" s="308"/>
      <c r="J68" s="167"/>
      <c r="K68" s="34"/>
    </row>
    <row r="69" spans="1:11" ht="16.350000000000001" customHeight="1" x14ac:dyDescent="0.2">
      <c r="A69" s="383"/>
      <c r="B69" s="374"/>
      <c r="C69" s="374"/>
      <c r="D69" s="374"/>
      <c r="E69" s="374"/>
      <c r="F69" s="308" t="s">
        <v>1594</v>
      </c>
      <c r="G69" s="378" t="s">
        <v>3600</v>
      </c>
      <c r="H69" s="308" t="s">
        <v>511</v>
      </c>
      <c r="I69" s="308"/>
      <c r="J69" s="167"/>
      <c r="K69" s="34"/>
    </row>
    <row r="70" spans="1:11" ht="16.350000000000001" customHeight="1" x14ac:dyDescent="0.2">
      <c r="A70" s="383"/>
      <c r="B70" s="374"/>
      <c r="C70" s="374"/>
      <c r="D70" s="374"/>
      <c r="E70" s="374"/>
      <c r="F70" s="308"/>
      <c r="G70" s="379"/>
      <c r="H70" s="308"/>
      <c r="I70" s="308"/>
      <c r="J70" s="167"/>
      <c r="K70" s="34"/>
    </row>
    <row r="71" spans="1:11" ht="15" customHeight="1" x14ac:dyDescent="0.2">
      <c r="A71" s="383"/>
      <c r="B71" s="374"/>
      <c r="C71" s="374"/>
      <c r="D71" s="374"/>
      <c r="E71" s="374"/>
      <c r="F71" s="308"/>
      <c r="G71" s="380"/>
      <c r="H71" s="308"/>
      <c r="I71" s="308"/>
      <c r="J71" s="167"/>
      <c r="K71" s="34"/>
    </row>
    <row r="72" spans="1:11" ht="16.350000000000001" customHeight="1" x14ac:dyDescent="0.2">
      <c r="A72" s="383"/>
      <c r="B72" s="374"/>
      <c r="C72" s="374"/>
      <c r="D72" s="374"/>
      <c r="E72" s="374"/>
      <c r="F72" s="308" t="s">
        <v>1595</v>
      </c>
      <c r="G72" s="369" t="s">
        <v>3601</v>
      </c>
      <c r="H72" s="308" t="s">
        <v>511</v>
      </c>
      <c r="I72" s="308"/>
      <c r="J72" s="167"/>
      <c r="K72" s="34"/>
    </row>
    <row r="73" spans="1:11" ht="16.350000000000001" customHeight="1" x14ac:dyDescent="0.2">
      <c r="A73" s="383"/>
      <c r="B73" s="374"/>
      <c r="C73" s="374"/>
      <c r="D73" s="374"/>
      <c r="E73" s="374"/>
      <c r="F73" s="308"/>
      <c r="G73" s="370"/>
      <c r="H73" s="308"/>
      <c r="I73" s="308"/>
      <c r="J73" s="167"/>
      <c r="K73" s="34"/>
    </row>
    <row r="74" spans="1:11" ht="15" customHeight="1" x14ac:dyDescent="0.2">
      <c r="A74" s="383"/>
      <c r="B74" s="374"/>
      <c r="C74" s="374"/>
      <c r="D74" s="374"/>
      <c r="E74" s="374"/>
      <c r="F74" s="308"/>
      <c r="G74" s="370"/>
      <c r="H74" s="308"/>
      <c r="I74" s="308"/>
      <c r="J74" s="167"/>
      <c r="K74" s="100"/>
    </row>
    <row r="75" spans="1:11" ht="16.350000000000001" customHeight="1" x14ac:dyDescent="0.2">
      <c r="A75" s="383"/>
      <c r="B75" s="374"/>
      <c r="C75" s="374"/>
      <c r="D75" s="374"/>
      <c r="E75" s="374"/>
      <c r="F75" s="340" t="s">
        <v>1596</v>
      </c>
      <c r="G75" s="367" t="s">
        <v>3602</v>
      </c>
      <c r="H75" s="340" t="s">
        <v>511</v>
      </c>
      <c r="I75" s="308" t="s">
        <v>4779</v>
      </c>
      <c r="J75" s="167"/>
      <c r="K75" s="100"/>
    </row>
    <row r="76" spans="1:11" ht="16.350000000000001" customHeight="1" x14ac:dyDescent="0.2">
      <c r="A76" s="383"/>
      <c r="B76" s="374"/>
      <c r="C76" s="374"/>
      <c r="D76" s="374"/>
      <c r="E76" s="374"/>
      <c r="F76" s="340"/>
      <c r="G76" s="368"/>
      <c r="H76" s="340"/>
      <c r="I76" s="308"/>
      <c r="J76" s="167"/>
      <c r="K76" s="100"/>
    </row>
    <row r="77" spans="1:11" ht="15" customHeight="1" x14ac:dyDescent="0.2">
      <c r="A77" s="383"/>
      <c r="B77" s="374"/>
      <c r="C77" s="374"/>
      <c r="D77" s="374"/>
      <c r="E77" s="374"/>
      <c r="F77" s="340"/>
      <c r="G77" s="368"/>
      <c r="H77" s="340"/>
      <c r="I77" s="308"/>
      <c r="J77" s="167"/>
      <c r="K77" s="37"/>
    </row>
    <row r="78" spans="1:11" ht="16.350000000000001" customHeight="1" x14ac:dyDescent="0.2">
      <c r="A78" s="383"/>
      <c r="B78" s="374"/>
      <c r="C78" s="374"/>
      <c r="D78" s="374"/>
      <c r="E78" s="374"/>
      <c r="F78" s="340" t="s">
        <v>1597</v>
      </c>
      <c r="G78" s="367" t="s">
        <v>3603</v>
      </c>
      <c r="H78" s="340" t="s">
        <v>528</v>
      </c>
      <c r="I78" s="340" t="s">
        <v>4779</v>
      </c>
      <c r="J78" s="167"/>
      <c r="K78" s="34"/>
    </row>
    <row r="79" spans="1:11" ht="16.350000000000001" customHeight="1" x14ac:dyDescent="0.2">
      <c r="A79" s="383"/>
      <c r="B79" s="374"/>
      <c r="C79" s="374"/>
      <c r="D79" s="374"/>
      <c r="E79" s="374"/>
      <c r="F79" s="340"/>
      <c r="G79" s="368"/>
      <c r="H79" s="340"/>
      <c r="I79" s="340"/>
      <c r="J79" s="167"/>
      <c r="K79" s="34"/>
    </row>
    <row r="80" spans="1:11" ht="15" customHeight="1" x14ac:dyDescent="0.2">
      <c r="A80" s="383"/>
      <c r="B80" s="374"/>
      <c r="C80" s="374"/>
      <c r="D80" s="374"/>
      <c r="E80" s="374"/>
      <c r="F80" s="340"/>
      <c r="G80" s="368"/>
      <c r="H80" s="340"/>
      <c r="I80" s="340"/>
      <c r="J80" s="167"/>
      <c r="K80" s="100"/>
    </row>
    <row r="81" spans="1:11" x14ac:dyDescent="0.25">
      <c r="A81" s="383"/>
      <c r="B81" s="365" t="s">
        <v>1598</v>
      </c>
      <c r="C81" s="365" t="s">
        <v>3620</v>
      </c>
      <c r="D81" s="365"/>
      <c r="E81" s="365"/>
      <c r="F81" s="354" t="s">
        <v>1599</v>
      </c>
      <c r="G81" s="354" t="s">
        <v>3621</v>
      </c>
      <c r="H81" s="354" t="s">
        <v>528</v>
      </c>
      <c r="I81" s="354"/>
      <c r="J81" s="167"/>
      <c r="K81" s="33"/>
    </row>
    <row r="82" spans="1:11" x14ac:dyDescent="0.25">
      <c r="A82" s="383"/>
      <c r="B82" s="366"/>
      <c r="C82" s="366"/>
      <c r="D82" s="366"/>
      <c r="E82" s="366"/>
      <c r="F82" s="354"/>
      <c r="G82" s="354"/>
      <c r="H82" s="354"/>
      <c r="I82" s="354"/>
      <c r="J82" s="167"/>
      <c r="K82" s="33"/>
    </row>
    <row r="83" spans="1:11" x14ac:dyDescent="0.2">
      <c r="A83" s="383"/>
      <c r="B83" s="366"/>
      <c r="C83" s="366"/>
      <c r="D83" s="366"/>
      <c r="E83" s="366"/>
      <c r="F83" s="354"/>
      <c r="G83" s="354"/>
      <c r="H83" s="354"/>
      <c r="I83" s="354"/>
      <c r="J83" s="167"/>
      <c r="K83" s="34"/>
    </row>
    <row r="84" spans="1:11" ht="15" customHeight="1" x14ac:dyDescent="0.2">
      <c r="A84" s="383"/>
      <c r="B84" s="366"/>
      <c r="C84" s="366"/>
      <c r="D84" s="366"/>
      <c r="E84" s="366"/>
      <c r="F84" s="354" t="s">
        <v>1600</v>
      </c>
      <c r="G84" s="354" t="s">
        <v>3622</v>
      </c>
      <c r="H84" s="354" t="s">
        <v>528</v>
      </c>
      <c r="I84" s="354"/>
      <c r="J84" s="167"/>
      <c r="K84" s="34"/>
    </row>
    <row r="85" spans="1:11" x14ac:dyDescent="0.2">
      <c r="A85" s="383"/>
      <c r="B85" s="366"/>
      <c r="C85" s="366"/>
      <c r="D85" s="366"/>
      <c r="E85" s="366"/>
      <c r="F85" s="354"/>
      <c r="G85" s="354"/>
      <c r="H85" s="354"/>
      <c r="I85" s="354"/>
      <c r="J85" s="167"/>
      <c r="K85" s="34"/>
    </row>
    <row r="86" spans="1:11" x14ac:dyDescent="0.2">
      <c r="A86" s="383"/>
      <c r="B86" s="366"/>
      <c r="C86" s="366"/>
      <c r="D86" s="366"/>
      <c r="E86" s="366"/>
      <c r="F86" s="354"/>
      <c r="G86" s="354"/>
      <c r="H86" s="354"/>
      <c r="I86" s="354"/>
      <c r="J86" s="167"/>
      <c r="K86" s="34"/>
    </row>
    <row r="87" spans="1:11" ht="16.350000000000001" customHeight="1" x14ac:dyDescent="0.2">
      <c r="A87" s="383"/>
      <c r="B87" s="366"/>
      <c r="C87" s="366"/>
      <c r="D87" s="366"/>
      <c r="E87" s="366"/>
      <c r="F87" s="354" t="s">
        <v>1601</v>
      </c>
      <c r="G87" s="354" t="s">
        <v>1541</v>
      </c>
      <c r="H87" s="354" t="s">
        <v>528</v>
      </c>
      <c r="I87" s="354"/>
      <c r="J87" s="167"/>
      <c r="K87" s="34"/>
    </row>
    <row r="88" spans="1:11" ht="16.350000000000001" customHeight="1" x14ac:dyDescent="0.2">
      <c r="A88" s="383"/>
      <c r="B88" s="366"/>
      <c r="C88" s="366"/>
      <c r="D88" s="366"/>
      <c r="E88" s="366"/>
      <c r="F88" s="354"/>
      <c r="G88" s="354"/>
      <c r="H88" s="354"/>
      <c r="I88" s="354"/>
      <c r="J88" s="167"/>
      <c r="K88" s="34"/>
    </row>
    <row r="89" spans="1:11" x14ac:dyDescent="0.2">
      <c r="A89" s="383"/>
      <c r="B89" s="366"/>
      <c r="C89" s="366"/>
      <c r="D89" s="366"/>
      <c r="E89" s="366"/>
      <c r="F89" s="354"/>
      <c r="G89" s="354"/>
      <c r="H89" s="354"/>
      <c r="I89" s="354"/>
      <c r="J89" s="167"/>
      <c r="K89" s="34"/>
    </row>
    <row r="90" spans="1:11" ht="16.350000000000001" customHeight="1" x14ac:dyDescent="0.2">
      <c r="A90" s="383"/>
      <c r="B90" s="366"/>
      <c r="C90" s="366"/>
      <c r="D90" s="366"/>
      <c r="E90" s="366"/>
      <c r="F90" s="354" t="s">
        <v>1602</v>
      </c>
      <c r="G90" s="354" t="s">
        <v>3623</v>
      </c>
      <c r="H90" s="354" t="s">
        <v>528</v>
      </c>
      <c r="I90" s="354"/>
      <c r="J90" s="167"/>
      <c r="K90" s="34"/>
    </row>
    <row r="91" spans="1:11" ht="16.350000000000001" customHeight="1" x14ac:dyDescent="0.2">
      <c r="A91" s="383"/>
      <c r="B91" s="366"/>
      <c r="C91" s="366"/>
      <c r="D91" s="366"/>
      <c r="E91" s="366"/>
      <c r="F91" s="354"/>
      <c r="G91" s="354"/>
      <c r="H91" s="354"/>
      <c r="I91" s="354"/>
      <c r="J91" s="167"/>
      <c r="K91" s="34"/>
    </row>
    <row r="92" spans="1:11" x14ac:dyDescent="0.2">
      <c r="A92" s="383"/>
      <c r="B92" s="366"/>
      <c r="C92" s="366"/>
      <c r="D92" s="366"/>
      <c r="E92" s="366"/>
      <c r="F92" s="354"/>
      <c r="G92" s="354"/>
      <c r="H92" s="354"/>
      <c r="I92" s="354"/>
      <c r="J92" s="167"/>
      <c r="K92" s="100"/>
    </row>
    <row r="93" spans="1:11" ht="16.350000000000001" customHeight="1" x14ac:dyDescent="0.2">
      <c r="A93" s="383"/>
      <c r="B93" s="366"/>
      <c r="C93" s="366"/>
      <c r="D93" s="366"/>
      <c r="E93" s="366"/>
      <c r="F93" s="354" t="s">
        <v>1603</v>
      </c>
      <c r="G93" s="354" t="s">
        <v>3626</v>
      </c>
      <c r="H93" s="354" t="s">
        <v>528</v>
      </c>
      <c r="I93" s="354"/>
      <c r="J93" s="167"/>
      <c r="K93" s="100"/>
    </row>
    <row r="94" spans="1:11" ht="16.350000000000001" customHeight="1" x14ac:dyDescent="0.2">
      <c r="A94" s="383"/>
      <c r="B94" s="366"/>
      <c r="C94" s="366"/>
      <c r="D94" s="366"/>
      <c r="E94" s="366"/>
      <c r="F94" s="354"/>
      <c r="G94" s="354"/>
      <c r="H94" s="354"/>
      <c r="I94" s="354"/>
      <c r="J94" s="167"/>
      <c r="K94" s="100"/>
    </row>
    <row r="95" spans="1:11" x14ac:dyDescent="0.2">
      <c r="A95" s="383"/>
      <c r="B95" s="366"/>
      <c r="C95" s="366"/>
      <c r="D95" s="366"/>
      <c r="E95" s="366"/>
      <c r="F95" s="354"/>
      <c r="G95" s="354"/>
      <c r="H95" s="354"/>
      <c r="I95" s="354"/>
      <c r="J95" s="167"/>
      <c r="K95" s="37"/>
    </row>
    <row r="96" spans="1:11" ht="16.350000000000001" customHeight="1" x14ac:dyDescent="0.2">
      <c r="A96" s="383"/>
      <c r="B96" s="366"/>
      <c r="C96" s="366"/>
      <c r="D96" s="366"/>
      <c r="E96" s="366"/>
      <c r="F96" s="354" t="s">
        <v>1604</v>
      </c>
      <c r="G96" s="354" t="s">
        <v>3605</v>
      </c>
      <c r="H96" s="354" t="s">
        <v>528</v>
      </c>
      <c r="I96" s="354"/>
      <c r="J96" s="167"/>
      <c r="K96" s="34"/>
    </row>
    <row r="97" spans="1:11" ht="16.350000000000001" customHeight="1" x14ac:dyDescent="0.2">
      <c r="A97" s="383"/>
      <c r="B97" s="366"/>
      <c r="C97" s="366"/>
      <c r="D97" s="366"/>
      <c r="E97" s="366"/>
      <c r="F97" s="354"/>
      <c r="G97" s="354"/>
      <c r="H97" s="354"/>
      <c r="I97" s="354"/>
      <c r="J97" s="167"/>
      <c r="K97" s="34"/>
    </row>
    <row r="98" spans="1:11" x14ac:dyDescent="0.2">
      <c r="A98" s="383"/>
      <c r="B98" s="366"/>
      <c r="C98" s="366"/>
      <c r="D98" s="366"/>
      <c r="E98" s="366"/>
      <c r="F98" s="354"/>
      <c r="G98" s="354"/>
      <c r="H98" s="354"/>
      <c r="I98" s="354"/>
      <c r="J98" s="167"/>
      <c r="K98" s="100"/>
    </row>
    <row r="99" spans="1:11" ht="16.350000000000001" customHeight="1" x14ac:dyDescent="0.2">
      <c r="A99" s="383"/>
      <c r="B99" s="366"/>
      <c r="C99" s="366"/>
      <c r="D99" s="366"/>
      <c r="E99" s="366"/>
      <c r="F99" s="354" t="s">
        <v>3606</v>
      </c>
      <c r="G99" s="354" t="s">
        <v>3625</v>
      </c>
      <c r="H99" s="354" t="s">
        <v>511</v>
      </c>
      <c r="I99" s="354" t="s">
        <v>3604</v>
      </c>
      <c r="J99" s="167"/>
      <c r="K99" s="34"/>
    </row>
    <row r="100" spans="1:11" ht="16.350000000000001" customHeight="1" x14ac:dyDescent="0.2">
      <c r="A100" s="383"/>
      <c r="B100" s="366"/>
      <c r="C100" s="366"/>
      <c r="D100" s="366"/>
      <c r="E100" s="366"/>
      <c r="F100" s="354"/>
      <c r="G100" s="354"/>
      <c r="H100" s="354"/>
      <c r="I100" s="354"/>
      <c r="J100" s="167"/>
      <c r="K100" s="34"/>
    </row>
    <row r="101" spans="1:11" x14ac:dyDescent="0.2">
      <c r="A101" s="383"/>
      <c r="B101" s="366"/>
      <c r="C101" s="366"/>
      <c r="D101" s="366"/>
      <c r="E101" s="366"/>
      <c r="F101" s="354"/>
      <c r="G101" s="354"/>
      <c r="H101" s="354"/>
      <c r="I101" s="354"/>
      <c r="J101" s="167"/>
      <c r="K101" s="100"/>
    </row>
    <row r="102" spans="1:11" ht="16.350000000000001" customHeight="1" x14ac:dyDescent="0.2">
      <c r="A102" s="383"/>
      <c r="B102" s="366"/>
      <c r="C102" s="366"/>
      <c r="D102" s="366"/>
      <c r="E102" s="366"/>
      <c r="F102" s="354" t="s">
        <v>3607</v>
      </c>
      <c r="G102" s="354" t="s">
        <v>3608</v>
      </c>
      <c r="H102" s="354" t="s">
        <v>528</v>
      </c>
      <c r="I102" s="354"/>
      <c r="J102" s="167"/>
      <c r="K102" s="34"/>
    </row>
    <row r="103" spans="1:11" ht="16.350000000000001" customHeight="1" x14ac:dyDescent="0.2">
      <c r="A103" s="383"/>
      <c r="B103" s="366"/>
      <c r="C103" s="366"/>
      <c r="D103" s="366"/>
      <c r="E103" s="366"/>
      <c r="F103" s="354"/>
      <c r="G103" s="354"/>
      <c r="H103" s="354"/>
      <c r="I103" s="354"/>
      <c r="J103" s="167"/>
      <c r="K103" s="34"/>
    </row>
    <row r="104" spans="1:11" x14ac:dyDescent="0.2">
      <c r="A104" s="383"/>
      <c r="B104" s="366"/>
      <c r="C104" s="366"/>
      <c r="D104" s="366"/>
      <c r="E104" s="366"/>
      <c r="F104" s="354"/>
      <c r="G104" s="354"/>
      <c r="H104" s="354"/>
      <c r="I104" s="354"/>
      <c r="J104" s="167"/>
      <c r="K104" s="100"/>
    </row>
    <row r="105" spans="1:11" ht="16.350000000000001" customHeight="1" x14ac:dyDescent="0.2">
      <c r="A105" s="383"/>
      <c r="B105" s="366"/>
      <c r="C105" s="366"/>
      <c r="D105" s="366"/>
      <c r="E105" s="366"/>
      <c r="F105" s="354" t="s">
        <v>3609</v>
      </c>
      <c r="G105" s="354" t="s">
        <v>3624</v>
      </c>
      <c r="H105" s="354" t="s">
        <v>528</v>
      </c>
      <c r="I105" s="354"/>
      <c r="J105" s="167"/>
      <c r="K105" s="34"/>
    </row>
    <row r="106" spans="1:11" ht="16.350000000000001" customHeight="1" x14ac:dyDescent="0.2">
      <c r="A106" s="383"/>
      <c r="B106" s="366"/>
      <c r="C106" s="366"/>
      <c r="D106" s="366"/>
      <c r="E106" s="366"/>
      <c r="F106" s="354"/>
      <c r="G106" s="354"/>
      <c r="H106" s="354"/>
      <c r="I106" s="354"/>
      <c r="J106" s="167"/>
      <c r="K106" s="34"/>
    </row>
    <row r="107" spans="1:11" x14ac:dyDescent="0.2">
      <c r="A107" s="383"/>
      <c r="B107" s="366"/>
      <c r="C107" s="366"/>
      <c r="D107" s="366"/>
      <c r="E107" s="366"/>
      <c r="F107" s="354"/>
      <c r="G107" s="354"/>
      <c r="H107" s="354"/>
      <c r="I107" s="354"/>
      <c r="J107" s="167"/>
      <c r="K107" s="100"/>
    </row>
    <row r="108" spans="1:11" x14ac:dyDescent="0.25">
      <c r="A108" s="383"/>
      <c r="B108" s="365" t="s">
        <v>365</v>
      </c>
      <c r="C108" s="365" t="s">
        <v>539</v>
      </c>
      <c r="D108" s="365"/>
      <c r="E108" s="365"/>
      <c r="F108" s="354" t="s">
        <v>1605</v>
      </c>
      <c r="G108" s="363" t="s">
        <v>1662</v>
      </c>
      <c r="H108" s="354"/>
      <c r="I108" s="354"/>
      <c r="J108" s="167"/>
      <c r="K108" s="33"/>
    </row>
    <row r="109" spans="1:11" x14ac:dyDescent="0.25">
      <c r="A109" s="383"/>
      <c r="B109" s="366"/>
      <c r="C109" s="366"/>
      <c r="D109" s="366"/>
      <c r="E109" s="366"/>
      <c r="F109" s="354"/>
      <c r="G109" s="364"/>
      <c r="H109" s="354"/>
      <c r="I109" s="354"/>
      <c r="J109" s="167"/>
      <c r="K109" s="33"/>
    </row>
    <row r="110" spans="1:11" x14ac:dyDescent="0.2">
      <c r="A110" s="383"/>
      <c r="B110" s="366"/>
      <c r="C110" s="366"/>
      <c r="D110" s="366"/>
      <c r="E110" s="366"/>
      <c r="F110" s="354"/>
      <c r="G110" s="364"/>
      <c r="H110" s="354"/>
      <c r="I110" s="354"/>
      <c r="J110" s="167"/>
      <c r="K110" s="34"/>
    </row>
    <row r="111" spans="1:11" ht="15" customHeight="1" x14ac:dyDescent="0.2">
      <c r="A111" s="383"/>
      <c r="B111" s="366"/>
      <c r="C111" s="366"/>
      <c r="D111" s="366"/>
      <c r="E111" s="366"/>
      <c r="F111" s="354" t="s">
        <v>1606</v>
      </c>
      <c r="G111" s="363" t="s">
        <v>1663</v>
      </c>
      <c r="H111" s="354"/>
      <c r="I111" s="354"/>
      <c r="J111" s="167"/>
      <c r="K111" s="34"/>
    </row>
    <row r="112" spans="1:11" x14ac:dyDescent="0.2">
      <c r="A112" s="383"/>
      <c r="B112" s="366"/>
      <c r="C112" s="366"/>
      <c r="D112" s="366"/>
      <c r="E112" s="366"/>
      <c r="F112" s="354"/>
      <c r="G112" s="364"/>
      <c r="H112" s="354"/>
      <c r="I112" s="354"/>
      <c r="J112" s="167"/>
      <c r="K112" s="34"/>
    </row>
    <row r="113" spans="1:11" x14ac:dyDescent="0.2">
      <c r="A113" s="383"/>
      <c r="B113" s="366"/>
      <c r="C113" s="366"/>
      <c r="D113" s="366"/>
      <c r="E113" s="366"/>
      <c r="F113" s="354"/>
      <c r="G113" s="364"/>
      <c r="H113" s="354"/>
      <c r="I113" s="354"/>
      <c r="J113" s="167"/>
      <c r="K113" s="34"/>
    </row>
    <row r="114" spans="1:11" ht="16.350000000000001" customHeight="1" x14ac:dyDescent="0.2">
      <c r="A114" s="383"/>
      <c r="B114" s="366"/>
      <c r="C114" s="366"/>
      <c r="D114" s="366"/>
      <c r="E114" s="366"/>
      <c r="F114" s="354" t="s">
        <v>1607</v>
      </c>
      <c r="G114" s="363" t="s">
        <v>1661</v>
      </c>
      <c r="H114" s="354"/>
      <c r="I114" s="354"/>
      <c r="J114" s="167"/>
      <c r="K114" s="34"/>
    </row>
    <row r="115" spans="1:11" ht="16.350000000000001" customHeight="1" x14ac:dyDescent="0.2">
      <c r="A115" s="383"/>
      <c r="B115" s="366"/>
      <c r="C115" s="366"/>
      <c r="D115" s="366"/>
      <c r="E115" s="366"/>
      <c r="F115" s="354"/>
      <c r="G115" s="364"/>
      <c r="H115" s="354"/>
      <c r="I115" s="354"/>
      <c r="J115" s="167"/>
      <c r="K115" s="34"/>
    </row>
    <row r="116" spans="1:11" x14ac:dyDescent="0.2">
      <c r="A116" s="383"/>
      <c r="B116" s="366"/>
      <c r="C116" s="366"/>
      <c r="D116" s="366"/>
      <c r="E116" s="366"/>
      <c r="F116" s="354"/>
      <c r="G116" s="364"/>
      <c r="H116" s="354"/>
      <c r="I116" s="354"/>
      <c r="J116" s="167"/>
      <c r="K116" s="34"/>
    </row>
    <row r="117" spans="1:11" ht="16.350000000000001" customHeight="1" x14ac:dyDescent="0.2">
      <c r="A117" s="383"/>
      <c r="B117" s="366"/>
      <c r="C117" s="366"/>
      <c r="D117" s="366"/>
      <c r="E117" s="366"/>
      <c r="F117" s="354" t="s">
        <v>1608</v>
      </c>
      <c r="G117" s="363" t="s">
        <v>1664</v>
      </c>
      <c r="H117" s="354"/>
      <c r="I117" s="354"/>
      <c r="J117" s="167"/>
      <c r="K117" s="34"/>
    </row>
    <row r="118" spans="1:11" ht="16.350000000000001" customHeight="1" x14ac:dyDescent="0.2">
      <c r="A118" s="383"/>
      <c r="B118" s="366"/>
      <c r="C118" s="366"/>
      <c r="D118" s="366"/>
      <c r="E118" s="366"/>
      <c r="F118" s="354"/>
      <c r="G118" s="364"/>
      <c r="H118" s="354"/>
      <c r="I118" s="354"/>
      <c r="J118" s="167"/>
      <c r="K118" s="34"/>
    </row>
    <row r="119" spans="1:11" x14ac:dyDescent="0.2">
      <c r="A119" s="383"/>
      <c r="B119" s="366"/>
      <c r="C119" s="366"/>
      <c r="D119" s="366"/>
      <c r="E119" s="366"/>
      <c r="F119" s="354"/>
      <c r="G119" s="364"/>
      <c r="H119" s="354"/>
      <c r="I119" s="354"/>
      <c r="J119" s="167"/>
      <c r="K119" s="100"/>
    </row>
    <row r="120" spans="1:11" ht="16.350000000000001" customHeight="1" x14ac:dyDescent="0.2">
      <c r="A120" s="383"/>
      <c r="B120" s="366"/>
      <c r="C120" s="366"/>
      <c r="D120" s="366"/>
      <c r="E120" s="366"/>
      <c r="F120" s="354" t="s">
        <v>1609</v>
      </c>
      <c r="G120" s="363" t="s">
        <v>1660</v>
      </c>
      <c r="H120" s="354"/>
      <c r="I120" s="354"/>
      <c r="J120" s="167"/>
      <c r="K120" s="100"/>
    </row>
    <row r="121" spans="1:11" ht="16.350000000000001" customHeight="1" x14ac:dyDescent="0.2">
      <c r="A121" s="383"/>
      <c r="B121" s="366"/>
      <c r="C121" s="366"/>
      <c r="D121" s="366"/>
      <c r="E121" s="366"/>
      <c r="F121" s="354"/>
      <c r="G121" s="364"/>
      <c r="H121" s="354"/>
      <c r="I121" s="354"/>
      <c r="J121" s="167"/>
      <c r="K121" s="100"/>
    </row>
    <row r="122" spans="1:11" x14ac:dyDescent="0.2">
      <c r="A122" s="383"/>
      <c r="B122" s="366"/>
      <c r="C122" s="366"/>
      <c r="D122" s="366"/>
      <c r="E122" s="366"/>
      <c r="F122" s="354"/>
      <c r="G122" s="364"/>
      <c r="H122" s="354"/>
      <c r="I122" s="354"/>
      <c r="J122" s="167"/>
      <c r="K122" s="37"/>
    </row>
    <row r="123" spans="1:11" ht="16.350000000000001" customHeight="1" x14ac:dyDescent="0.2">
      <c r="A123" s="383"/>
      <c r="B123" s="366"/>
      <c r="C123" s="366"/>
      <c r="D123" s="366"/>
      <c r="E123" s="366"/>
      <c r="F123" s="354" t="s">
        <v>1610</v>
      </c>
      <c r="G123" s="354"/>
      <c r="H123" s="354"/>
      <c r="I123" s="354"/>
      <c r="J123" s="167"/>
      <c r="K123" s="34"/>
    </row>
    <row r="124" spans="1:11" ht="16.350000000000001" customHeight="1" x14ac:dyDescent="0.2">
      <c r="A124" s="383"/>
      <c r="B124" s="366"/>
      <c r="C124" s="366"/>
      <c r="D124" s="366"/>
      <c r="E124" s="366"/>
      <c r="F124" s="354"/>
      <c r="G124" s="354"/>
      <c r="H124" s="354"/>
      <c r="I124" s="354"/>
      <c r="J124" s="167"/>
      <c r="K124" s="34"/>
    </row>
    <row r="125" spans="1:11" x14ac:dyDescent="0.2">
      <c r="A125" s="383"/>
      <c r="B125" s="366"/>
      <c r="C125" s="366"/>
      <c r="D125" s="366"/>
      <c r="E125" s="366"/>
      <c r="F125" s="354"/>
      <c r="G125" s="354"/>
      <c r="H125" s="354"/>
      <c r="I125" s="354"/>
      <c r="J125" s="167"/>
      <c r="K125" s="100"/>
    </row>
    <row r="126" spans="1:11" x14ac:dyDescent="0.25">
      <c r="A126" s="383"/>
      <c r="B126" s="365" t="s">
        <v>366</v>
      </c>
      <c r="C126" s="365" t="s">
        <v>1557</v>
      </c>
      <c r="D126" s="365"/>
      <c r="E126" s="365"/>
      <c r="F126" s="354" t="s">
        <v>1611</v>
      </c>
      <c r="G126" s="354" t="s">
        <v>1558</v>
      </c>
      <c r="H126" s="354"/>
      <c r="I126" s="354"/>
      <c r="J126" s="167"/>
      <c r="K126" s="33"/>
    </row>
    <row r="127" spans="1:11" x14ac:dyDescent="0.25">
      <c r="A127" s="383"/>
      <c r="B127" s="366"/>
      <c r="C127" s="366"/>
      <c r="D127" s="366"/>
      <c r="E127" s="366"/>
      <c r="F127" s="354"/>
      <c r="G127" s="354"/>
      <c r="H127" s="354"/>
      <c r="I127" s="354"/>
      <c r="J127" s="167"/>
      <c r="K127" s="33"/>
    </row>
    <row r="128" spans="1:11" x14ac:dyDescent="0.2">
      <c r="A128" s="383"/>
      <c r="B128" s="366"/>
      <c r="C128" s="366"/>
      <c r="D128" s="366"/>
      <c r="E128" s="366"/>
      <c r="F128" s="354"/>
      <c r="G128" s="354"/>
      <c r="H128" s="354"/>
      <c r="I128" s="354"/>
      <c r="J128" s="167"/>
      <c r="K128" s="34"/>
    </row>
    <row r="129" spans="1:11" ht="15" customHeight="1" x14ac:dyDescent="0.2">
      <c r="A129" s="383"/>
      <c r="B129" s="366"/>
      <c r="C129" s="366"/>
      <c r="D129" s="366"/>
      <c r="E129" s="366"/>
      <c r="F129" s="354" t="s">
        <v>1612</v>
      </c>
      <c r="G129" s="354" t="s">
        <v>1559</v>
      </c>
      <c r="H129" s="354"/>
      <c r="I129" s="354"/>
      <c r="J129" s="167"/>
      <c r="K129" s="34"/>
    </row>
    <row r="130" spans="1:11" x14ac:dyDescent="0.2">
      <c r="A130" s="383"/>
      <c r="B130" s="366"/>
      <c r="C130" s="366"/>
      <c r="D130" s="366"/>
      <c r="E130" s="366"/>
      <c r="F130" s="354"/>
      <c r="G130" s="354"/>
      <c r="H130" s="354"/>
      <c r="I130" s="354"/>
      <c r="J130" s="167"/>
      <c r="K130" s="34"/>
    </row>
    <row r="131" spans="1:11" x14ac:dyDescent="0.2">
      <c r="A131" s="383"/>
      <c r="B131" s="366"/>
      <c r="C131" s="366"/>
      <c r="D131" s="366"/>
      <c r="E131" s="366"/>
      <c r="F131" s="354"/>
      <c r="G131" s="354"/>
      <c r="H131" s="354"/>
      <c r="I131" s="354"/>
      <c r="J131" s="167"/>
      <c r="K131" s="34"/>
    </row>
    <row r="132" spans="1:11" ht="16.350000000000001" customHeight="1" x14ac:dyDescent="0.2">
      <c r="A132" s="383"/>
      <c r="B132" s="366"/>
      <c r="C132" s="366"/>
      <c r="D132" s="366"/>
      <c r="E132" s="366"/>
      <c r="F132" s="354" t="s">
        <v>1613</v>
      </c>
      <c r="G132" s="354" t="s">
        <v>1560</v>
      </c>
      <c r="H132" s="354"/>
      <c r="I132" s="354"/>
      <c r="J132" s="167"/>
      <c r="K132" s="34"/>
    </row>
    <row r="133" spans="1:11" ht="16.350000000000001" customHeight="1" x14ac:dyDescent="0.2">
      <c r="A133" s="383"/>
      <c r="B133" s="366"/>
      <c r="C133" s="366"/>
      <c r="D133" s="366"/>
      <c r="E133" s="366"/>
      <c r="F133" s="354"/>
      <c r="G133" s="354"/>
      <c r="H133" s="354"/>
      <c r="I133" s="354"/>
      <c r="J133" s="167"/>
      <c r="K133" s="34"/>
    </row>
    <row r="134" spans="1:11" x14ac:dyDescent="0.2">
      <c r="A134" s="383"/>
      <c r="B134" s="366"/>
      <c r="C134" s="366"/>
      <c r="D134" s="366"/>
      <c r="E134" s="366"/>
      <c r="F134" s="354"/>
      <c r="G134" s="354"/>
      <c r="H134" s="354"/>
      <c r="I134" s="354"/>
      <c r="J134" s="167"/>
      <c r="K134" s="34"/>
    </row>
    <row r="135" spans="1:11" ht="16.350000000000001" customHeight="1" x14ac:dyDescent="0.2">
      <c r="A135" s="383"/>
      <c r="B135" s="366"/>
      <c r="C135" s="366"/>
      <c r="D135" s="366"/>
      <c r="E135" s="366"/>
      <c r="F135" s="354" t="s">
        <v>1614</v>
      </c>
      <c r="G135" s="354" t="s">
        <v>1561</v>
      </c>
      <c r="H135" s="354"/>
      <c r="I135" s="354"/>
      <c r="J135" s="167"/>
      <c r="K135" s="34"/>
    </row>
    <row r="136" spans="1:11" ht="16.350000000000001" customHeight="1" x14ac:dyDescent="0.2">
      <c r="A136" s="383"/>
      <c r="B136" s="366"/>
      <c r="C136" s="366"/>
      <c r="D136" s="366"/>
      <c r="E136" s="366"/>
      <c r="F136" s="354"/>
      <c r="G136" s="354"/>
      <c r="H136" s="354"/>
      <c r="I136" s="354"/>
      <c r="J136" s="167"/>
      <c r="K136" s="34"/>
    </row>
    <row r="137" spans="1:11" x14ac:dyDescent="0.2">
      <c r="A137" s="383"/>
      <c r="B137" s="366"/>
      <c r="C137" s="366"/>
      <c r="D137" s="366"/>
      <c r="E137" s="366"/>
      <c r="F137" s="354"/>
      <c r="G137" s="354"/>
      <c r="H137" s="354"/>
      <c r="I137" s="354"/>
      <c r="J137" s="167"/>
      <c r="K137" s="100"/>
    </row>
    <row r="138" spans="1:11" ht="16.350000000000001" customHeight="1" x14ac:dyDescent="0.2">
      <c r="A138" s="383"/>
      <c r="B138" s="366"/>
      <c r="C138" s="366"/>
      <c r="D138" s="366"/>
      <c r="E138" s="366"/>
      <c r="F138" s="354" t="s">
        <v>1615</v>
      </c>
      <c r="G138" s="354" t="s">
        <v>1562</v>
      </c>
      <c r="H138" s="354"/>
      <c r="I138" s="354"/>
      <c r="J138" s="167"/>
      <c r="K138" s="100"/>
    </row>
    <row r="139" spans="1:11" ht="16.350000000000001" customHeight="1" x14ac:dyDescent="0.2">
      <c r="A139" s="383"/>
      <c r="B139" s="366"/>
      <c r="C139" s="366"/>
      <c r="D139" s="366"/>
      <c r="E139" s="366"/>
      <c r="F139" s="354"/>
      <c r="G139" s="354"/>
      <c r="H139" s="354"/>
      <c r="I139" s="354"/>
      <c r="J139" s="167"/>
      <c r="K139" s="100"/>
    </row>
    <row r="140" spans="1:11" x14ac:dyDescent="0.2">
      <c r="A140" s="383"/>
      <c r="B140" s="366"/>
      <c r="C140" s="366"/>
      <c r="D140" s="366"/>
      <c r="E140" s="366"/>
      <c r="F140" s="354"/>
      <c r="G140" s="354"/>
      <c r="H140" s="354"/>
      <c r="I140" s="354"/>
      <c r="J140" s="167"/>
      <c r="K140" s="37"/>
    </row>
    <row r="141" spans="1:11" ht="16.350000000000001" customHeight="1" x14ac:dyDescent="0.2">
      <c r="A141" s="383"/>
      <c r="B141" s="366"/>
      <c r="C141" s="366"/>
      <c r="D141" s="366"/>
      <c r="E141" s="366"/>
      <c r="F141" s="354" t="s">
        <v>1616</v>
      </c>
      <c r="G141" s="354" t="s">
        <v>1563</v>
      </c>
      <c r="H141" s="354"/>
      <c r="I141" s="354"/>
      <c r="J141" s="167"/>
      <c r="K141" s="34"/>
    </row>
    <row r="142" spans="1:11" ht="16.350000000000001" customHeight="1" x14ac:dyDescent="0.2">
      <c r="A142" s="383"/>
      <c r="B142" s="366"/>
      <c r="C142" s="366"/>
      <c r="D142" s="366"/>
      <c r="E142" s="366"/>
      <c r="F142" s="354"/>
      <c r="G142" s="354"/>
      <c r="H142" s="354"/>
      <c r="I142" s="354"/>
      <c r="J142" s="167"/>
      <c r="K142" s="34"/>
    </row>
    <row r="143" spans="1:11" x14ac:dyDescent="0.2">
      <c r="A143" s="383"/>
      <c r="B143" s="366"/>
      <c r="C143" s="366"/>
      <c r="D143" s="366"/>
      <c r="E143" s="366"/>
      <c r="F143" s="354"/>
      <c r="G143" s="354"/>
      <c r="H143" s="354"/>
      <c r="I143" s="354"/>
      <c r="J143" s="167"/>
      <c r="K143" s="100"/>
    </row>
    <row r="144" spans="1:11" x14ac:dyDescent="0.2">
      <c r="A144" s="383"/>
      <c r="B144" s="361" t="s">
        <v>541</v>
      </c>
      <c r="C144" s="361" t="s">
        <v>542</v>
      </c>
      <c r="D144" s="362"/>
      <c r="E144" s="362"/>
      <c r="F144" s="354" t="s">
        <v>1617</v>
      </c>
      <c r="G144" s="354" t="s">
        <v>1568</v>
      </c>
      <c r="H144" s="354"/>
      <c r="I144" s="354"/>
      <c r="J144" s="167"/>
      <c r="K144" s="37"/>
    </row>
    <row r="145" spans="1:11" x14ac:dyDescent="0.2">
      <c r="A145" s="383"/>
      <c r="B145" s="361"/>
      <c r="C145" s="361"/>
      <c r="D145" s="362"/>
      <c r="E145" s="362"/>
      <c r="F145" s="354"/>
      <c r="G145" s="354"/>
      <c r="H145" s="354"/>
      <c r="I145" s="354"/>
      <c r="J145" s="167"/>
      <c r="K145" s="37"/>
    </row>
    <row r="146" spans="1:11" x14ac:dyDescent="0.2">
      <c r="A146" s="383"/>
      <c r="B146" s="361"/>
      <c r="C146" s="361"/>
      <c r="D146" s="362"/>
      <c r="E146" s="362"/>
      <c r="F146" s="354"/>
      <c r="G146" s="354"/>
      <c r="H146" s="354"/>
      <c r="I146" s="354"/>
      <c r="J146" s="167"/>
      <c r="K146" s="37"/>
    </row>
    <row r="147" spans="1:11" ht="15" customHeight="1" x14ac:dyDescent="0.2">
      <c r="A147" s="383"/>
      <c r="B147" s="361"/>
      <c r="C147" s="361"/>
      <c r="D147" s="362"/>
      <c r="E147" s="362"/>
      <c r="F147" s="354" t="s">
        <v>1618</v>
      </c>
      <c r="G147" s="354" t="s">
        <v>1564</v>
      </c>
      <c r="H147" s="354"/>
      <c r="I147" s="354"/>
      <c r="J147" s="167"/>
      <c r="K147" s="7"/>
    </row>
    <row r="148" spans="1:11" x14ac:dyDescent="0.2">
      <c r="A148" s="383"/>
      <c r="B148" s="361"/>
      <c r="C148" s="361"/>
      <c r="D148" s="362"/>
      <c r="E148" s="362"/>
      <c r="F148" s="354"/>
      <c r="G148" s="354"/>
      <c r="H148" s="354"/>
      <c r="I148" s="354"/>
      <c r="J148" s="167"/>
      <c r="K148" s="7"/>
    </row>
    <row r="149" spans="1:11" x14ac:dyDescent="0.2">
      <c r="A149" s="383"/>
      <c r="B149" s="361"/>
      <c r="C149" s="361"/>
      <c r="D149" s="362"/>
      <c r="E149" s="362"/>
      <c r="F149" s="354"/>
      <c r="G149" s="354"/>
      <c r="H149" s="354"/>
      <c r="I149" s="354"/>
      <c r="J149" s="167"/>
      <c r="K149" s="7"/>
    </row>
    <row r="150" spans="1:11" ht="16.350000000000001" customHeight="1" x14ac:dyDescent="0.2">
      <c r="A150" s="383"/>
      <c r="B150" s="361"/>
      <c r="C150" s="361"/>
      <c r="D150" s="362"/>
      <c r="E150" s="362"/>
      <c r="F150" s="354" t="s">
        <v>1619</v>
      </c>
      <c r="G150" s="354" t="s">
        <v>1565</v>
      </c>
      <c r="H150" s="354"/>
      <c r="I150" s="354"/>
      <c r="J150" s="167"/>
      <c r="K150" s="7"/>
    </row>
    <row r="151" spans="1:11" x14ac:dyDescent="0.2">
      <c r="A151" s="383"/>
      <c r="B151" s="361"/>
      <c r="C151" s="361"/>
      <c r="D151" s="362"/>
      <c r="E151" s="362"/>
      <c r="F151" s="354"/>
      <c r="G151" s="354"/>
      <c r="H151" s="354"/>
      <c r="I151" s="354"/>
      <c r="J151" s="167"/>
      <c r="K151" s="7"/>
    </row>
    <row r="152" spans="1:11" x14ac:dyDescent="0.2">
      <c r="A152" s="383"/>
      <c r="B152" s="361"/>
      <c r="C152" s="361"/>
      <c r="D152" s="362"/>
      <c r="E152" s="362"/>
      <c r="F152" s="354"/>
      <c r="G152" s="354"/>
      <c r="H152" s="354"/>
      <c r="I152" s="354"/>
      <c r="J152" s="167"/>
      <c r="K152" s="7"/>
    </row>
    <row r="153" spans="1:11" ht="16.350000000000001" customHeight="1" x14ac:dyDescent="0.2">
      <c r="A153" s="383"/>
      <c r="B153" s="361"/>
      <c r="C153" s="361"/>
      <c r="D153" s="362"/>
      <c r="E153" s="362"/>
      <c r="F153" s="354" t="s">
        <v>1620</v>
      </c>
      <c r="G153" s="354" t="s">
        <v>1566</v>
      </c>
      <c r="H153" s="354"/>
      <c r="I153" s="354"/>
      <c r="J153" s="167"/>
      <c r="K153" s="6"/>
    </row>
    <row r="154" spans="1:11" x14ac:dyDescent="0.2">
      <c r="A154" s="383"/>
      <c r="B154" s="361"/>
      <c r="C154" s="361"/>
      <c r="D154" s="362"/>
      <c r="E154" s="362"/>
      <c r="F154" s="354"/>
      <c r="G154" s="354"/>
      <c r="H154" s="354"/>
      <c r="I154" s="354"/>
      <c r="J154" s="167"/>
      <c r="K154" s="7"/>
    </row>
    <row r="155" spans="1:11" x14ac:dyDescent="0.2">
      <c r="A155" s="383"/>
      <c r="B155" s="361"/>
      <c r="C155" s="361"/>
      <c r="D155" s="362"/>
      <c r="E155" s="362"/>
      <c r="F155" s="354"/>
      <c r="G155" s="354"/>
      <c r="H155" s="354"/>
      <c r="I155" s="354"/>
      <c r="J155" s="167"/>
      <c r="K155" s="7"/>
    </row>
    <row r="156" spans="1:11" ht="16.350000000000001" customHeight="1" x14ac:dyDescent="0.2">
      <c r="A156" s="383"/>
      <c r="B156" s="361"/>
      <c r="C156" s="361"/>
      <c r="D156" s="362"/>
      <c r="E156" s="362"/>
      <c r="F156" s="354" t="s">
        <v>1621</v>
      </c>
      <c r="G156" s="354" t="s">
        <v>1567</v>
      </c>
      <c r="H156" s="354"/>
      <c r="I156" s="354"/>
      <c r="J156" s="167"/>
      <c r="K156" s="6"/>
    </row>
    <row r="157" spans="1:11" x14ac:dyDescent="0.2">
      <c r="A157" s="383"/>
      <c r="B157" s="361"/>
      <c r="C157" s="361"/>
      <c r="D157" s="362"/>
      <c r="E157" s="362"/>
      <c r="F157" s="354"/>
      <c r="G157" s="354"/>
      <c r="H157" s="354"/>
      <c r="I157" s="354"/>
      <c r="J157" s="167"/>
      <c r="K157" s="7"/>
    </row>
    <row r="158" spans="1:11" x14ac:dyDescent="0.2">
      <c r="A158" s="383"/>
      <c r="B158" s="361"/>
      <c r="C158" s="361"/>
      <c r="D158" s="362"/>
      <c r="E158" s="362"/>
      <c r="F158" s="354"/>
      <c r="G158" s="354"/>
      <c r="H158" s="354"/>
      <c r="I158" s="354"/>
      <c r="J158" s="167"/>
      <c r="K158" s="7"/>
    </row>
    <row r="159" spans="1:11" ht="16.350000000000001" customHeight="1" x14ac:dyDescent="0.2">
      <c r="A159" s="383"/>
      <c r="B159" s="361"/>
      <c r="C159" s="361"/>
      <c r="D159" s="362"/>
      <c r="E159" s="362"/>
      <c r="F159" s="354" t="s">
        <v>1622</v>
      </c>
      <c r="G159" s="354"/>
      <c r="H159" s="354"/>
      <c r="I159" s="354"/>
      <c r="J159" s="167"/>
      <c r="K159" s="6"/>
    </row>
    <row r="160" spans="1:11" x14ac:dyDescent="0.2">
      <c r="A160" s="383"/>
      <c r="B160" s="361"/>
      <c r="C160" s="361"/>
      <c r="D160" s="362"/>
      <c r="E160" s="362"/>
      <c r="F160" s="354"/>
      <c r="G160" s="354"/>
      <c r="H160" s="354"/>
      <c r="I160" s="354"/>
      <c r="J160" s="167"/>
      <c r="K160" s="7"/>
    </row>
    <row r="161" spans="1:11" x14ac:dyDescent="0.2">
      <c r="A161" s="383"/>
      <c r="B161" s="361"/>
      <c r="C161" s="361"/>
      <c r="D161" s="362"/>
      <c r="E161" s="362"/>
      <c r="F161" s="354"/>
      <c r="G161" s="354"/>
      <c r="H161" s="354"/>
      <c r="I161" s="354"/>
      <c r="J161" s="167"/>
      <c r="K161" s="7"/>
    </row>
    <row r="162" spans="1:11" ht="15" customHeight="1" x14ac:dyDescent="0.2">
      <c r="A162" s="383"/>
      <c r="B162" s="361" t="s">
        <v>544</v>
      </c>
      <c r="C162" s="361" t="s">
        <v>545</v>
      </c>
      <c r="D162" s="362" t="s">
        <v>1520</v>
      </c>
      <c r="E162" s="362"/>
      <c r="F162" s="354" t="s">
        <v>1623</v>
      </c>
      <c r="G162" s="358" t="s">
        <v>1521</v>
      </c>
      <c r="H162" s="354"/>
      <c r="I162" s="354"/>
      <c r="J162" s="167"/>
      <c r="K162" s="37"/>
    </row>
    <row r="163" spans="1:11" x14ac:dyDescent="0.2">
      <c r="A163" s="383"/>
      <c r="B163" s="361"/>
      <c r="C163" s="361"/>
      <c r="D163" s="362"/>
      <c r="E163" s="362"/>
      <c r="F163" s="354"/>
      <c r="G163" s="359"/>
      <c r="H163" s="354"/>
      <c r="I163" s="354"/>
      <c r="J163" s="167"/>
      <c r="K163" s="37"/>
    </row>
    <row r="164" spans="1:11" x14ac:dyDescent="0.2">
      <c r="A164" s="383"/>
      <c r="B164" s="361"/>
      <c r="C164" s="361"/>
      <c r="D164" s="362"/>
      <c r="E164" s="362"/>
      <c r="F164" s="354"/>
      <c r="G164" s="360"/>
      <c r="H164" s="354"/>
      <c r="I164" s="354"/>
      <c r="J164" s="167"/>
      <c r="K164" s="37"/>
    </row>
    <row r="165" spans="1:11" ht="15" customHeight="1" x14ac:dyDescent="0.2">
      <c r="A165" s="383"/>
      <c r="B165" s="361"/>
      <c r="C165" s="361"/>
      <c r="D165" s="362"/>
      <c r="E165" s="362"/>
      <c r="F165" s="354" t="s">
        <v>1624</v>
      </c>
      <c r="G165" s="358" t="s">
        <v>1522</v>
      </c>
      <c r="H165" s="354"/>
      <c r="I165" s="354"/>
      <c r="J165" s="167"/>
      <c r="K165" s="7"/>
    </row>
    <row r="166" spans="1:11" x14ac:dyDescent="0.2">
      <c r="A166" s="383"/>
      <c r="B166" s="361"/>
      <c r="C166" s="361"/>
      <c r="D166" s="362"/>
      <c r="E166" s="362"/>
      <c r="F166" s="354"/>
      <c r="G166" s="359"/>
      <c r="H166" s="354"/>
      <c r="I166" s="354"/>
      <c r="J166" s="167"/>
      <c r="K166" s="7"/>
    </row>
    <row r="167" spans="1:11" x14ac:dyDescent="0.2">
      <c r="A167" s="383"/>
      <c r="B167" s="361"/>
      <c r="C167" s="361"/>
      <c r="D167" s="362"/>
      <c r="E167" s="362"/>
      <c r="F167" s="354"/>
      <c r="G167" s="360"/>
      <c r="H167" s="354"/>
      <c r="I167" s="354"/>
      <c r="J167" s="167"/>
      <c r="K167" s="7"/>
    </row>
    <row r="168" spans="1:11" ht="16.350000000000001" customHeight="1" x14ac:dyDescent="0.2">
      <c r="A168" s="383"/>
      <c r="B168" s="361"/>
      <c r="C168" s="361"/>
      <c r="D168" s="362"/>
      <c r="E168" s="362"/>
      <c r="F168" s="354" t="s">
        <v>1625</v>
      </c>
      <c r="G168" s="358" t="s">
        <v>1523</v>
      </c>
      <c r="H168" s="354"/>
      <c r="I168" s="354"/>
      <c r="J168" s="167"/>
      <c r="K168" s="7"/>
    </row>
    <row r="169" spans="1:11" x14ac:dyDescent="0.2">
      <c r="A169" s="383"/>
      <c r="B169" s="361"/>
      <c r="C169" s="361"/>
      <c r="D169" s="362"/>
      <c r="E169" s="362"/>
      <c r="F169" s="354"/>
      <c r="G169" s="359"/>
      <c r="H169" s="354"/>
      <c r="I169" s="354"/>
      <c r="J169" s="167"/>
      <c r="K169" s="7"/>
    </row>
    <row r="170" spans="1:11" x14ac:dyDescent="0.2">
      <c r="A170" s="383"/>
      <c r="B170" s="361"/>
      <c r="C170" s="361"/>
      <c r="D170" s="362"/>
      <c r="E170" s="362"/>
      <c r="F170" s="354"/>
      <c r="G170" s="360"/>
      <c r="H170" s="354"/>
      <c r="I170" s="354"/>
      <c r="J170" s="167"/>
      <c r="K170" s="7"/>
    </row>
    <row r="171" spans="1:11" ht="16.350000000000001" customHeight="1" x14ac:dyDescent="0.2">
      <c r="A171" s="383"/>
      <c r="B171" s="361"/>
      <c r="C171" s="361"/>
      <c r="D171" s="362"/>
      <c r="E171" s="362"/>
      <c r="F171" s="354" t="s">
        <v>1626</v>
      </c>
      <c r="G171" s="358" t="s">
        <v>1524</v>
      </c>
      <c r="H171" s="354"/>
      <c r="I171" s="354"/>
      <c r="J171" s="167"/>
      <c r="K171" s="6"/>
    </row>
    <row r="172" spans="1:11" x14ac:dyDescent="0.2">
      <c r="A172" s="383"/>
      <c r="B172" s="361"/>
      <c r="C172" s="361"/>
      <c r="D172" s="362"/>
      <c r="E172" s="362"/>
      <c r="F172" s="354"/>
      <c r="G172" s="359"/>
      <c r="H172" s="354"/>
      <c r="I172" s="354"/>
      <c r="J172" s="167"/>
      <c r="K172" s="7"/>
    </row>
    <row r="173" spans="1:11" x14ac:dyDescent="0.2">
      <c r="A173" s="383"/>
      <c r="B173" s="361"/>
      <c r="C173" s="361"/>
      <c r="D173" s="362"/>
      <c r="E173" s="362"/>
      <c r="F173" s="354"/>
      <c r="G173" s="360"/>
      <c r="H173" s="354"/>
      <c r="I173" s="354"/>
      <c r="J173" s="167"/>
      <c r="K173" s="7"/>
    </row>
    <row r="174" spans="1:11" ht="16.350000000000001" customHeight="1" x14ac:dyDescent="0.2">
      <c r="A174" s="383"/>
      <c r="B174" s="361"/>
      <c r="C174" s="361"/>
      <c r="D174" s="362"/>
      <c r="E174" s="362"/>
      <c r="F174" s="354" t="s">
        <v>1627</v>
      </c>
      <c r="G174" s="358" t="s">
        <v>1525</v>
      </c>
      <c r="H174" s="354"/>
      <c r="I174" s="354"/>
      <c r="J174" s="167"/>
      <c r="K174" s="6"/>
    </row>
    <row r="175" spans="1:11" x14ac:dyDescent="0.2">
      <c r="A175" s="383"/>
      <c r="B175" s="361"/>
      <c r="C175" s="361"/>
      <c r="D175" s="362"/>
      <c r="E175" s="362"/>
      <c r="F175" s="354"/>
      <c r="G175" s="359"/>
      <c r="H175" s="354"/>
      <c r="I175" s="354"/>
      <c r="J175" s="167"/>
      <c r="K175" s="7"/>
    </row>
    <row r="176" spans="1:11" x14ac:dyDescent="0.2">
      <c r="A176" s="383"/>
      <c r="B176" s="361"/>
      <c r="C176" s="361"/>
      <c r="D176" s="362"/>
      <c r="E176" s="362"/>
      <c r="F176" s="354"/>
      <c r="G176" s="360"/>
      <c r="H176" s="354"/>
      <c r="I176" s="354"/>
      <c r="J176" s="167"/>
      <c r="K176" s="7"/>
    </row>
    <row r="177" spans="1:11" ht="16.350000000000001" customHeight="1" x14ac:dyDescent="0.2">
      <c r="A177" s="383"/>
      <c r="B177" s="361"/>
      <c r="C177" s="361"/>
      <c r="D177" s="362"/>
      <c r="E177" s="362"/>
      <c r="F177" s="354" t="s">
        <v>1628</v>
      </c>
      <c r="G177" s="358" t="s">
        <v>1526</v>
      </c>
      <c r="H177" s="354"/>
      <c r="I177" s="354"/>
      <c r="J177" s="167"/>
      <c r="K177" s="6"/>
    </row>
    <row r="178" spans="1:11" x14ac:dyDescent="0.2">
      <c r="A178" s="383"/>
      <c r="B178" s="361"/>
      <c r="C178" s="361"/>
      <c r="D178" s="362"/>
      <c r="E178" s="362"/>
      <c r="F178" s="354"/>
      <c r="G178" s="359"/>
      <c r="H178" s="354"/>
      <c r="I178" s="354"/>
      <c r="J178" s="167"/>
      <c r="K178" s="7"/>
    </row>
    <row r="179" spans="1:11" x14ac:dyDescent="0.2">
      <c r="A179" s="383"/>
      <c r="B179" s="361"/>
      <c r="C179" s="361"/>
      <c r="D179" s="362"/>
      <c r="E179" s="362"/>
      <c r="F179" s="354"/>
      <c r="G179" s="360"/>
      <c r="H179" s="354"/>
      <c r="I179" s="354"/>
      <c r="J179" s="167"/>
      <c r="K179" s="7"/>
    </row>
    <row r="180" spans="1:11" ht="16.350000000000001" customHeight="1" x14ac:dyDescent="0.2">
      <c r="A180" s="383"/>
      <c r="B180" s="361"/>
      <c r="C180" s="361"/>
      <c r="D180" s="362"/>
      <c r="E180" s="362"/>
      <c r="F180" s="354" t="s">
        <v>1629</v>
      </c>
      <c r="G180" s="358" t="s">
        <v>1527</v>
      </c>
      <c r="H180" s="354"/>
      <c r="I180" s="354"/>
      <c r="J180" s="167"/>
      <c r="K180" s="6"/>
    </row>
    <row r="181" spans="1:11" x14ac:dyDescent="0.2">
      <c r="A181" s="383"/>
      <c r="B181" s="361"/>
      <c r="C181" s="361"/>
      <c r="D181" s="362"/>
      <c r="E181" s="362"/>
      <c r="F181" s="354"/>
      <c r="G181" s="359"/>
      <c r="H181" s="354"/>
      <c r="I181" s="354"/>
      <c r="J181" s="167"/>
      <c r="K181" s="7"/>
    </row>
    <row r="182" spans="1:11" x14ac:dyDescent="0.2">
      <c r="A182" s="383"/>
      <c r="B182" s="361"/>
      <c r="C182" s="361"/>
      <c r="D182" s="362"/>
      <c r="E182" s="362"/>
      <c r="F182" s="354"/>
      <c r="G182" s="360"/>
      <c r="H182" s="354"/>
      <c r="I182" s="354"/>
      <c r="J182" s="167"/>
      <c r="K182" s="7"/>
    </row>
    <row r="183" spans="1:11" ht="16.350000000000001" customHeight="1" x14ac:dyDescent="0.2">
      <c r="A183" s="383"/>
      <c r="B183" s="361"/>
      <c r="C183" s="361"/>
      <c r="D183" s="362"/>
      <c r="E183" s="362"/>
      <c r="F183" s="354" t="s">
        <v>1630</v>
      </c>
      <c r="G183" s="358" t="s">
        <v>1528</v>
      </c>
      <c r="H183" s="354"/>
      <c r="I183" s="354"/>
      <c r="J183" s="167"/>
      <c r="K183" s="6"/>
    </row>
    <row r="184" spans="1:11" x14ac:dyDescent="0.2">
      <c r="A184" s="383"/>
      <c r="B184" s="361"/>
      <c r="C184" s="361"/>
      <c r="D184" s="362"/>
      <c r="E184" s="362"/>
      <c r="F184" s="354"/>
      <c r="G184" s="359"/>
      <c r="H184" s="354"/>
      <c r="I184" s="354"/>
      <c r="J184" s="167"/>
      <c r="K184" s="7"/>
    </row>
    <row r="185" spans="1:11" x14ac:dyDescent="0.2">
      <c r="A185" s="383"/>
      <c r="B185" s="361"/>
      <c r="C185" s="361"/>
      <c r="D185" s="362"/>
      <c r="E185" s="362"/>
      <c r="F185" s="354"/>
      <c r="G185" s="360"/>
      <c r="H185" s="354"/>
      <c r="I185" s="354"/>
      <c r="J185" s="167"/>
      <c r="K185" s="7"/>
    </row>
    <row r="186" spans="1:11" ht="16.350000000000001" customHeight="1" x14ac:dyDescent="0.2">
      <c r="A186" s="383"/>
      <c r="B186" s="361"/>
      <c r="C186" s="361"/>
      <c r="D186" s="362"/>
      <c r="E186" s="362"/>
      <c r="F186" s="354" t="s">
        <v>1631</v>
      </c>
      <c r="G186" s="358" t="s">
        <v>1529</v>
      </c>
      <c r="H186" s="354"/>
      <c r="I186" s="354"/>
      <c r="J186" s="167"/>
      <c r="K186" s="6"/>
    </row>
    <row r="187" spans="1:11" x14ac:dyDescent="0.2">
      <c r="A187" s="383"/>
      <c r="B187" s="361"/>
      <c r="C187" s="361"/>
      <c r="D187" s="362"/>
      <c r="E187" s="362"/>
      <c r="F187" s="354"/>
      <c r="G187" s="359"/>
      <c r="H187" s="354"/>
      <c r="I187" s="354"/>
      <c r="J187" s="167"/>
      <c r="K187" s="7"/>
    </row>
    <row r="188" spans="1:11" x14ac:dyDescent="0.2">
      <c r="A188" s="383"/>
      <c r="B188" s="361"/>
      <c r="C188" s="361"/>
      <c r="D188" s="362"/>
      <c r="E188" s="362"/>
      <c r="F188" s="354"/>
      <c r="G188" s="360"/>
      <c r="H188" s="354"/>
      <c r="I188" s="354"/>
      <c r="J188" s="167"/>
      <c r="K188" s="7"/>
    </row>
    <row r="189" spans="1:11" ht="16.350000000000001" customHeight="1" x14ac:dyDescent="0.2">
      <c r="A189" s="383"/>
      <c r="B189" s="361"/>
      <c r="C189" s="361"/>
      <c r="D189" s="362"/>
      <c r="E189" s="362"/>
      <c r="F189" s="354" t="s">
        <v>1632</v>
      </c>
      <c r="G189" s="358" t="s">
        <v>1530</v>
      </c>
      <c r="H189" s="354"/>
      <c r="I189" s="354"/>
      <c r="J189" s="167"/>
      <c r="K189" s="6"/>
    </row>
    <row r="190" spans="1:11" x14ac:dyDescent="0.2">
      <c r="A190" s="383"/>
      <c r="B190" s="361"/>
      <c r="C190" s="361"/>
      <c r="D190" s="362"/>
      <c r="E190" s="362"/>
      <c r="F190" s="354"/>
      <c r="G190" s="359"/>
      <c r="H190" s="354"/>
      <c r="I190" s="354"/>
      <c r="J190" s="167"/>
      <c r="K190" s="7"/>
    </row>
    <row r="191" spans="1:11" x14ac:dyDescent="0.2">
      <c r="A191" s="383"/>
      <c r="B191" s="361"/>
      <c r="C191" s="361"/>
      <c r="D191" s="362"/>
      <c r="E191" s="362"/>
      <c r="F191" s="354"/>
      <c r="G191" s="360"/>
      <c r="H191" s="354"/>
      <c r="I191" s="354"/>
      <c r="J191" s="167"/>
      <c r="K191" s="7"/>
    </row>
    <row r="192" spans="1:11" ht="15" customHeight="1" x14ac:dyDescent="0.2">
      <c r="A192" s="383"/>
      <c r="B192" s="362" t="s">
        <v>547</v>
      </c>
      <c r="C192" s="362" t="s">
        <v>3627</v>
      </c>
      <c r="D192" s="362"/>
      <c r="E192" s="362"/>
      <c r="F192" s="354" t="s">
        <v>1633</v>
      </c>
      <c r="G192" s="355" t="s">
        <v>1429</v>
      </c>
      <c r="H192" s="354"/>
      <c r="I192" s="354"/>
      <c r="J192" s="167"/>
      <c r="K192" s="37"/>
    </row>
    <row r="193" spans="1:11" ht="15" customHeight="1" x14ac:dyDescent="0.2">
      <c r="A193" s="383"/>
      <c r="B193" s="362"/>
      <c r="C193" s="362"/>
      <c r="D193" s="362"/>
      <c r="E193" s="362"/>
      <c r="F193" s="354"/>
      <c r="G193" s="356"/>
      <c r="H193" s="354"/>
      <c r="I193" s="354"/>
      <c r="J193" s="167"/>
      <c r="K193" s="37"/>
    </row>
    <row r="194" spans="1:11" ht="15" customHeight="1" x14ac:dyDescent="0.2">
      <c r="A194" s="383"/>
      <c r="B194" s="362"/>
      <c r="C194" s="362"/>
      <c r="D194" s="362"/>
      <c r="E194" s="362"/>
      <c r="F194" s="354"/>
      <c r="G194" s="357"/>
      <c r="H194" s="354"/>
      <c r="I194" s="354"/>
      <c r="J194" s="167"/>
      <c r="K194" s="37"/>
    </row>
    <row r="195" spans="1:11" ht="15" customHeight="1" x14ac:dyDescent="0.2">
      <c r="A195" s="383"/>
      <c r="B195" s="362"/>
      <c r="C195" s="362"/>
      <c r="D195" s="362"/>
      <c r="E195" s="362"/>
      <c r="F195" s="354" t="s">
        <v>1634</v>
      </c>
      <c r="G195" s="355" t="s">
        <v>1430</v>
      </c>
      <c r="H195" s="354"/>
      <c r="I195" s="354"/>
      <c r="J195" s="167"/>
      <c r="K195" s="7"/>
    </row>
    <row r="196" spans="1:11" ht="15" customHeight="1" x14ac:dyDescent="0.2">
      <c r="A196" s="383"/>
      <c r="B196" s="362"/>
      <c r="C196" s="362"/>
      <c r="D196" s="362"/>
      <c r="E196" s="362"/>
      <c r="F196" s="354"/>
      <c r="G196" s="356"/>
      <c r="H196" s="354"/>
      <c r="I196" s="354"/>
      <c r="J196" s="167"/>
      <c r="K196" s="7"/>
    </row>
    <row r="197" spans="1:11" ht="15" customHeight="1" x14ac:dyDescent="0.2">
      <c r="A197" s="383"/>
      <c r="B197" s="362"/>
      <c r="C197" s="362"/>
      <c r="D197" s="362"/>
      <c r="E197" s="362"/>
      <c r="F197" s="354"/>
      <c r="G197" s="357"/>
      <c r="H197" s="354"/>
      <c r="I197" s="354"/>
      <c r="J197" s="167"/>
      <c r="K197" s="7"/>
    </row>
    <row r="198" spans="1:11" ht="16.350000000000001" customHeight="1" x14ac:dyDescent="0.2">
      <c r="A198" s="383"/>
      <c r="B198" s="362"/>
      <c r="C198" s="362"/>
      <c r="D198" s="362"/>
      <c r="E198" s="362"/>
      <c r="F198" s="354" t="s">
        <v>1635</v>
      </c>
      <c r="G198" s="355" t="s">
        <v>1431</v>
      </c>
      <c r="H198" s="354"/>
      <c r="I198" s="354"/>
      <c r="J198" s="167"/>
      <c r="K198" s="7"/>
    </row>
    <row r="199" spans="1:11" ht="15" customHeight="1" x14ac:dyDescent="0.2">
      <c r="A199" s="383"/>
      <c r="B199" s="362"/>
      <c r="C199" s="362"/>
      <c r="D199" s="362"/>
      <c r="E199" s="362"/>
      <c r="F199" s="354"/>
      <c r="G199" s="356"/>
      <c r="H199" s="354"/>
      <c r="I199" s="354"/>
      <c r="J199" s="167"/>
      <c r="K199" s="7"/>
    </row>
    <row r="200" spans="1:11" ht="15" customHeight="1" x14ac:dyDescent="0.2">
      <c r="A200" s="383"/>
      <c r="B200" s="362"/>
      <c r="C200" s="362"/>
      <c r="D200" s="362"/>
      <c r="E200" s="362"/>
      <c r="F200" s="354"/>
      <c r="G200" s="357"/>
      <c r="H200" s="354"/>
      <c r="I200" s="354"/>
      <c r="J200" s="167"/>
      <c r="K200" s="7"/>
    </row>
    <row r="201" spans="1:11" ht="16.350000000000001" customHeight="1" x14ac:dyDescent="0.2">
      <c r="A201" s="383"/>
      <c r="B201" s="362"/>
      <c r="C201" s="362"/>
      <c r="D201" s="362"/>
      <c r="E201" s="362"/>
      <c r="F201" s="354" t="s">
        <v>1636</v>
      </c>
      <c r="G201" s="355" t="s">
        <v>3628</v>
      </c>
      <c r="H201" s="354"/>
      <c r="I201" s="354"/>
      <c r="J201" s="167"/>
      <c r="K201" s="6"/>
    </row>
    <row r="202" spans="1:11" ht="15" customHeight="1" x14ac:dyDescent="0.2">
      <c r="A202" s="383"/>
      <c r="B202" s="362"/>
      <c r="C202" s="362"/>
      <c r="D202" s="362"/>
      <c r="E202" s="362"/>
      <c r="F202" s="354"/>
      <c r="G202" s="356"/>
      <c r="H202" s="354"/>
      <c r="I202" s="354"/>
      <c r="J202" s="167"/>
      <c r="K202" s="7"/>
    </row>
    <row r="203" spans="1:11" ht="15" customHeight="1" x14ac:dyDescent="0.2">
      <c r="A203" s="383"/>
      <c r="B203" s="362"/>
      <c r="C203" s="362"/>
      <c r="D203" s="362"/>
      <c r="E203" s="362"/>
      <c r="F203" s="354"/>
      <c r="G203" s="357"/>
      <c r="H203" s="354"/>
      <c r="I203" s="354"/>
      <c r="J203" s="167"/>
      <c r="K203" s="7"/>
    </row>
    <row r="204" spans="1:11" ht="16.350000000000001" customHeight="1" x14ac:dyDescent="0.2">
      <c r="A204" s="383"/>
      <c r="B204" s="362"/>
      <c r="C204" s="362"/>
      <c r="D204" s="362"/>
      <c r="E204" s="362"/>
      <c r="F204" s="354" t="s">
        <v>1637</v>
      </c>
      <c r="G204" s="355" t="s">
        <v>1432</v>
      </c>
      <c r="H204" s="354"/>
      <c r="I204" s="354"/>
      <c r="J204" s="167"/>
      <c r="K204" s="6"/>
    </row>
    <row r="205" spans="1:11" ht="15" customHeight="1" x14ac:dyDescent="0.2">
      <c r="A205" s="383"/>
      <c r="B205" s="362"/>
      <c r="C205" s="362"/>
      <c r="D205" s="362"/>
      <c r="E205" s="362"/>
      <c r="F205" s="354"/>
      <c r="G205" s="356"/>
      <c r="H205" s="354"/>
      <c r="I205" s="354"/>
      <c r="J205" s="167"/>
      <c r="K205" s="7"/>
    </row>
    <row r="206" spans="1:11" ht="15" customHeight="1" x14ac:dyDescent="0.2">
      <c r="A206" s="383"/>
      <c r="B206" s="362"/>
      <c r="C206" s="362"/>
      <c r="D206" s="362"/>
      <c r="E206" s="362"/>
      <c r="F206" s="354"/>
      <c r="G206" s="357"/>
      <c r="H206" s="354"/>
      <c r="I206" s="354"/>
      <c r="J206" s="167"/>
      <c r="K206" s="7"/>
    </row>
    <row r="207" spans="1:11" ht="16.350000000000001" customHeight="1" x14ac:dyDescent="0.2">
      <c r="A207" s="383"/>
      <c r="B207" s="362"/>
      <c r="C207" s="362"/>
      <c r="D207" s="362"/>
      <c r="E207" s="362"/>
      <c r="F207" s="354" t="s">
        <v>1638</v>
      </c>
      <c r="G207" s="355" t="s">
        <v>1433</v>
      </c>
      <c r="H207" s="354"/>
      <c r="I207" s="354"/>
      <c r="J207" s="167"/>
      <c r="K207" s="6"/>
    </row>
    <row r="208" spans="1:11" ht="15" customHeight="1" x14ac:dyDescent="0.2">
      <c r="A208" s="383"/>
      <c r="B208" s="362"/>
      <c r="C208" s="362"/>
      <c r="D208" s="362"/>
      <c r="E208" s="362"/>
      <c r="F208" s="354"/>
      <c r="G208" s="356"/>
      <c r="H208" s="354"/>
      <c r="I208" s="354"/>
      <c r="J208" s="167"/>
      <c r="K208" s="7"/>
    </row>
    <row r="209" spans="1:11" ht="15" customHeight="1" x14ac:dyDescent="0.2">
      <c r="A209" s="383"/>
      <c r="B209" s="362"/>
      <c r="C209" s="362"/>
      <c r="D209" s="362"/>
      <c r="E209" s="362"/>
      <c r="F209" s="354"/>
      <c r="G209" s="357"/>
      <c r="H209" s="354"/>
      <c r="I209" s="354"/>
      <c r="J209" s="167"/>
      <c r="K209" s="7"/>
    </row>
    <row r="210" spans="1:11" ht="16.350000000000001" customHeight="1" x14ac:dyDescent="0.2">
      <c r="A210" s="383"/>
      <c r="B210" s="362"/>
      <c r="C210" s="362"/>
      <c r="D210" s="362"/>
      <c r="E210" s="362"/>
      <c r="F210" s="354" t="s">
        <v>1639</v>
      </c>
      <c r="G210" s="355" t="s">
        <v>1434</v>
      </c>
      <c r="H210" s="354"/>
      <c r="I210" s="354"/>
      <c r="J210" s="167"/>
      <c r="K210" s="6"/>
    </row>
    <row r="211" spans="1:11" ht="15" customHeight="1" x14ac:dyDescent="0.2">
      <c r="A211" s="383"/>
      <c r="B211" s="362"/>
      <c r="C211" s="362"/>
      <c r="D211" s="362"/>
      <c r="E211" s="362"/>
      <c r="F211" s="354"/>
      <c r="G211" s="356"/>
      <c r="H211" s="354"/>
      <c r="I211" s="354"/>
      <c r="J211" s="167"/>
      <c r="K211" s="7"/>
    </row>
    <row r="212" spans="1:11" ht="15" customHeight="1" x14ac:dyDescent="0.2">
      <c r="A212" s="383"/>
      <c r="B212" s="362"/>
      <c r="C212" s="362"/>
      <c r="D212" s="362"/>
      <c r="E212" s="362"/>
      <c r="F212" s="354"/>
      <c r="G212" s="357"/>
      <c r="H212" s="354"/>
      <c r="I212" s="354"/>
      <c r="J212" s="167"/>
      <c r="K212" s="7"/>
    </row>
    <row r="213" spans="1:11" ht="16.350000000000001" customHeight="1" x14ac:dyDescent="0.2">
      <c r="A213" s="383"/>
      <c r="B213" s="362"/>
      <c r="C213" s="362"/>
      <c r="D213" s="362"/>
      <c r="E213" s="362"/>
      <c r="F213" s="354" t="s">
        <v>1640</v>
      </c>
      <c r="G213" s="355" t="s">
        <v>3629</v>
      </c>
      <c r="H213" s="354"/>
      <c r="I213" s="354"/>
      <c r="J213" s="167"/>
      <c r="K213" s="6"/>
    </row>
    <row r="214" spans="1:11" ht="15" customHeight="1" x14ac:dyDescent="0.2">
      <c r="A214" s="383"/>
      <c r="B214" s="362"/>
      <c r="C214" s="362"/>
      <c r="D214" s="362"/>
      <c r="E214" s="362"/>
      <c r="F214" s="354"/>
      <c r="G214" s="356"/>
      <c r="H214" s="354"/>
      <c r="I214" s="354"/>
      <c r="J214" s="167"/>
      <c r="K214" s="7"/>
    </row>
    <row r="215" spans="1:11" ht="15" customHeight="1" x14ac:dyDescent="0.2">
      <c r="A215" s="383"/>
      <c r="B215" s="362"/>
      <c r="C215" s="362"/>
      <c r="D215" s="362"/>
      <c r="E215" s="362"/>
      <c r="F215" s="354"/>
      <c r="G215" s="357"/>
      <c r="H215" s="354"/>
      <c r="I215" s="354"/>
      <c r="J215" s="167"/>
      <c r="K215" s="7"/>
    </row>
    <row r="216" spans="1:11" ht="15" customHeight="1" x14ac:dyDescent="0.2">
      <c r="A216" s="383"/>
      <c r="B216" s="361" t="s">
        <v>548</v>
      </c>
      <c r="C216" s="361" t="s">
        <v>3631</v>
      </c>
      <c r="D216" s="362"/>
      <c r="E216" s="362"/>
      <c r="F216" s="354" t="s">
        <v>1641</v>
      </c>
      <c r="G216" s="355" t="s">
        <v>1569</v>
      </c>
      <c r="H216" s="354"/>
      <c r="I216" s="354"/>
      <c r="J216" s="167"/>
      <c r="K216" s="37"/>
    </row>
    <row r="217" spans="1:11" ht="15" customHeight="1" x14ac:dyDescent="0.2">
      <c r="A217" s="383"/>
      <c r="B217" s="361"/>
      <c r="C217" s="361"/>
      <c r="D217" s="362"/>
      <c r="E217" s="362"/>
      <c r="F217" s="354"/>
      <c r="G217" s="356"/>
      <c r="H217" s="354"/>
      <c r="I217" s="354"/>
      <c r="J217" s="167"/>
      <c r="K217" s="37"/>
    </row>
    <row r="218" spans="1:11" ht="15" customHeight="1" x14ac:dyDescent="0.2">
      <c r="A218" s="383"/>
      <c r="B218" s="361"/>
      <c r="C218" s="361"/>
      <c r="D218" s="362"/>
      <c r="E218" s="362"/>
      <c r="F218" s="354"/>
      <c r="G218" s="357"/>
      <c r="H218" s="354"/>
      <c r="I218" s="354"/>
      <c r="J218" s="167"/>
      <c r="K218" s="37"/>
    </row>
    <row r="219" spans="1:11" ht="15" customHeight="1" x14ac:dyDescent="0.2">
      <c r="A219" s="383"/>
      <c r="B219" s="361"/>
      <c r="C219" s="361"/>
      <c r="D219" s="362"/>
      <c r="E219" s="362"/>
      <c r="F219" s="354" t="s">
        <v>1642</v>
      </c>
      <c r="G219" s="355" t="s">
        <v>1575</v>
      </c>
      <c r="H219" s="354"/>
      <c r="I219" s="354"/>
      <c r="J219" s="167"/>
      <c r="K219" s="7"/>
    </row>
    <row r="220" spans="1:11" ht="15" customHeight="1" x14ac:dyDescent="0.2">
      <c r="A220" s="383"/>
      <c r="B220" s="361"/>
      <c r="C220" s="361"/>
      <c r="D220" s="362"/>
      <c r="E220" s="362"/>
      <c r="F220" s="354"/>
      <c r="G220" s="356"/>
      <c r="H220" s="354"/>
      <c r="I220" s="354"/>
      <c r="J220" s="167"/>
      <c r="K220" s="7"/>
    </row>
    <row r="221" spans="1:11" ht="15" customHeight="1" x14ac:dyDescent="0.2">
      <c r="A221" s="383"/>
      <c r="B221" s="361"/>
      <c r="C221" s="361"/>
      <c r="D221" s="362"/>
      <c r="E221" s="362"/>
      <c r="F221" s="354"/>
      <c r="G221" s="357"/>
      <c r="H221" s="354"/>
      <c r="I221" s="354"/>
      <c r="J221" s="167"/>
      <c r="K221" s="7"/>
    </row>
    <row r="222" spans="1:11" ht="16.350000000000001" customHeight="1" x14ac:dyDescent="0.2">
      <c r="A222" s="383"/>
      <c r="B222" s="361"/>
      <c r="C222" s="361"/>
      <c r="D222" s="362"/>
      <c r="E222" s="362"/>
      <c r="F222" s="354" t="s">
        <v>1643</v>
      </c>
      <c r="G222" s="355" t="s">
        <v>1570</v>
      </c>
      <c r="H222" s="354"/>
      <c r="I222" s="354"/>
      <c r="J222" s="167"/>
      <c r="K222" s="7"/>
    </row>
    <row r="223" spans="1:11" ht="15" customHeight="1" x14ac:dyDescent="0.2">
      <c r="A223" s="383"/>
      <c r="B223" s="361"/>
      <c r="C223" s="361"/>
      <c r="D223" s="362"/>
      <c r="E223" s="362"/>
      <c r="F223" s="354"/>
      <c r="G223" s="356"/>
      <c r="H223" s="354"/>
      <c r="I223" s="354"/>
      <c r="J223" s="167"/>
      <c r="K223" s="7"/>
    </row>
    <row r="224" spans="1:11" ht="15" customHeight="1" x14ac:dyDescent="0.2">
      <c r="A224" s="383"/>
      <c r="B224" s="361"/>
      <c r="C224" s="361"/>
      <c r="D224" s="362"/>
      <c r="E224" s="362"/>
      <c r="F224" s="354"/>
      <c r="G224" s="357"/>
      <c r="H224" s="354"/>
      <c r="I224" s="354"/>
      <c r="J224" s="167"/>
      <c r="K224" s="7"/>
    </row>
    <row r="225" spans="1:11" ht="16.350000000000001" customHeight="1" x14ac:dyDescent="0.2">
      <c r="A225" s="383"/>
      <c r="B225" s="361"/>
      <c r="C225" s="361"/>
      <c r="D225" s="362"/>
      <c r="E225" s="362"/>
      <c r="F225" s="354" t="s">
        <v>1644</v>
      </c>
      <c r="G225" s="355" t="s">
        <v>1571</v>
      </c>
      <c r="H225" s="354"/>
      <c r="I225" s="354"/>
      <c r="J225" s="167"/>
      <c r="K225" s="6"/>
    </row>
    <row r="226" spans="1:11" ht="15" customHeight="1" x14ac:dyDescent="0.2">
      <c r="A226" s="383"/>
      <c r="B226" s="361"/>
      <c r="C226" s="361"/>
      <c r="D226" s="362"/>
      <c r="E226" s="362"/>
      <c r="F226" s="354"/>
      <c r="G226" s="356"/>
      <c r="H226" s="354"/>
      <c r="I226" s="354"/>
      <c r="J226" s="167"/>
      <c r="K226" s="7"/>
    </row>
    <row r="227" spans="1:11" ht="15" customHeight="1" x14ac:dyDescent="0.2">
      <c r="A227" s="383"/>
      <c r="B227" s="361"/>
      <c r="C227" s="361"/>
      <c r="D227" s="362"/>
      <c r="E227" s="362"/>
      <c r="F227" s="354"/>
      <c r="G227" s="357"/>
      <c r="H227" s="354"/>
      <c r="I227" s="354"/>
      <c r="J227" s="167"/>
      <c r="K227" s="7"/>
    </row>
    <row r="228" spans="1:11" ht="16.350000000000001" customHeight="1" x14ac:dyDescent="0.2">
      <c r="A228" s="383"/>
      <c r="B228" s="361"/>
      <c r="C228" s="361"/>
      <c r="D228" s="362"/>
      <c r="E228" s="362"/>
      <c r="F228" s="354" t="s">
        <v>1645</v>
      </c>
      <c r="G228" s="355" t="s">
        <v>1572</v>
      </c>
      <c r="H228" s="354"/>
      <c r="I228" s="354"/>
      <c r="J228" s="167"/>
      <c r="K228" s="6"/>
    </row>
    <row r="229" spans="1:11" ht="15" customHeight="1" x14ac:dyDescent="0.2">
      <c r="A229" s="383"/>
      <c r="B229" s="361"/>
      <c r="C229" s="361"/>
      <c r="D229" s="362"/>
      <c r="E229" s="362"/>
      <c r="F229" s="354"/>
      <c r="G229" s="356"/>
      <c r="H229" s="354"/>
      <c r="I229" s="354"/>
      <c r="J229" s="167"/>
      <c r="K229" s="7"/>
    </row>
    <row r="230" spans="1:11" ht="15" customHeight="1" x14ac:dyDescent="0.2">
      <c r="A230" s="383"/>
      <c r="B230" s="361"/>
      <c r="C230" s="361"/>
      <c r="D230" s="362"/>
      <c r="E230" s="362"/>
      <c r="F230" s="354"/>
      <c r="G230" s="357"/>
      <c r="H230" s="354"/>
      <c r="I230" s="354"/>
      <c r="J230" s="167"/>
      <c r="K230" s="7"/>
    </row>
    <row r="231" spans="1:11" ht="16.350000000000001" customHeight="1" x14ac:dyDescent="0.2">
      <c r="A231" s="383"/>
      <c r="B231" s="361"/>
      <c r="C231" s="361"/>
      <c r="D231" s="362"/>
      <c r="E231" s="362"/>
      <c r="F231" s="354" t="s">
        <v>1646</v>
      </c>
      <c r="G231" s="355" t="s">
        <v>1573</v>
      </c>
      <c r="H231" s="354"/>
      <c r="I231" s="354"/>
      <c r="J231" s="167"/>
      <c r="K231" s="6"/>
    </row>
    <row r="232" spans="1:11" ht="15" customHeight="1" x14ac:dyDescent="0.2">
      <c r="A232" s="383"/>
      <c r="B232" s="361"/>
      <c r="C232" s="361"/>
      <c r="D232" s="362"/>
      <c r="E232" s="362"/>
      <c r="F232" s="354"/>
      <c r="G232" s="356"/>
      <c r="H232" s="354"/>
      <c r="I232" s="354"/>
      <c r="J232" s="167"/>
      <c r="K232" s="7"/>
    </row>
    <row r="233" spans="1:11" ht="15" customHeight="1" x14ac:dyDescent="0.2">
      <c r="A233" s="383"/>
      <c r="B233" s="361"/>
      <c r="C233" s="361"/>
      <c r="D233" s="362"/>
      <c r="E233" s="362"/>
      <c r="F233" s="354"/>
      <c r="G233" s="357"/>
      <c r="H233" s="354"/>
      <c r="I233" s="354"/>
      <c r="J233" s="167"/>
      <c r="K233" s="7"/>
    </row>
    <row r="234" spans="1:11" ht="16.350000000000001" customHeight="1" x14ac:dyDescent="0.2">
      <c r="A234" s="383"/>
      <c r="B234" s="361"/>
      <c r="C234" s="361"/>
      <c r="D234" s="362"/>
      <c r="E234" s="362"/>
      <c r="F234" s="354" t="s">
        <v>1647</v>
      </c>
      <c r="G234" s="355" t="s">
        <v>1574</v>
      </c>
      <c r="H234" s="354"/>
      <c r="I234" s="354"/>
      <c r="J234" s="167"/>
      <c r="K234" s="6"/>
    </row>
    <row r="235" spans="1:11" ht="15" customHeight="1" x14ac:dyDescent="0.2">
      <c r="A235" s="383"/>
      <c r="B235" s="361"/>
      <c r="C235" s="361"/>
      <c r="D235" s="362"/>
      <c r="E235" s="362"/>
      <c r="F235" s="354"/>
      <c r="G235" s="356"/>
      <c r="H235" s="354"/>
      <c r="I235" s="354"/>
      <c r="J235" s="167"/>
      <c r="K235" s="7"/>
    </row>
    <row r="236" spans="1:11" ht="15" customHeight="1" x14ac:dyDescent="0.2">
      <c r="A236" s="383"/>
      <c r="B236" s="361"/>
      <c r="C236" s="361"/>
      <c r="D236" s="362"/>
      <c r="E236" s="362"/>
      <c r="F236" s="354"/>
      <c r="G236" s="357"/>
      <c r="H236" s="354"/>
      <c r="I236" s="354"/>
      <c r="J236" s="167"/>
      <c r="K236" s="7"/>
    </row>
    <row r="237" spans="1:11" ht="16.350000000000001" customHeight="1" x14ac:dyDescent="0.2">
      <c r="A237" s="383"/>
      <c r="B237" s="361"/>
      <c r="C237" s="361"/>
      <c r="D237" s="362"/>
      <c r="E237" s="362"/>
      <c r="F237" s="354" t="s">
        <v>1648</v>
      </c>
      <c r="G237" s="355"/>
      <c r="H237" s="354"/>
      <c r="I237" s="354"/>
      <c r="J237" s="167"/>
      <c r="K237" s="6"/>
    </row>
    <row r="238" spans="1:11" ht="15" customHeight="1" x14ac:dyDescent="0.2">
      <c r="A238" s="383"/>
      <c r="B238" s="361"/>
      <c r="C238" s="361"/>
      <c r="D238" s="362"/>
      <c r="E238" s="362"/>
      <c r="F238" s="354"/>
      <c r="G238" s="356"/>
      <c r="H238" s="354"/>
      <c r="I238" s="354"/>
      <c r="J238" s="167"/>
      <c r="K238" s="7"/>
    </row>
    <row r="239" spans="1:11" ht="15" customHeight="1" x14ac:dyDescent="0.2">
      <c r="A239" s="383"/>
      <c r="B239" s="361"/>
      <c r="C239" s="361"/>
      <c r="D239" s="362"/>
      <c r="E239" s="362"/>
      <c r="F239" s="354"/>
      <c r="G239" s="357"/>
      <c r="H239" s="354"/>
      <c r="I239" s="354"/>
      <c r="J239" s="167"/>
      <c r="K239" s="7"/>
    </row>
    <row r="240" spans="1:11" ht="15" customHeight="1" x14ac:dyDescent="0.2">
      <c r="A240" s="383"/>
      <c r="B240" s="361" t="s">
        <v>1518</v>
      </c>
      <c r="C240" s="361" t="s">
        <v>3630</v>
      </c>
      <c r="D240" s="362"/>
      <c r="E240" s="362"/>
      <c r="F240" s="354" t="s">
        <v>1649</v>
      </c>
      <c r="G240" s="355"/>
      <c r="H240" s="354"/>
      <c r="I240" s="354"/>
      <c r="J240" s="167"/>
      <c r="K240" s="37"/>
    </row>
    <row r="241" spans="1:11" ht="15" customHeight="1" x14ac:dyDescent="0.2">
      <c r="A241" s="383"/>
      <c r="B241" s="361"/>
      <c r="C241" s="361"/>
      <c r="D241" s="362"/>
      <c r="E241" s="362"/>
      <c r="F241" s="354"/>
      <c r="G241" s="356"/>
      <c r="H241" s="354"/>
      <c r="I241" s="354"/>
      <c r="J241" s="167"/>
      <c r="K241" s="37"/>
    </row>
    <row r="242" spans="1:11" ht="16.350000000000001" customHeight="1" x14ac:dyDescent="0.2">
      <c r="A242" s="383"/>
      <c r="B242" s="361"/>
      <c r="C242" s="361"/>
      <c r="D242" s="362"/>
      <c r="E242" s="362"/>
      <c r="F242" s="354"/>
      <c r="G242" s="357"/>
      <c r="H242" s="354"/>
      <c r="I242" s="354"/>
      <c r="J242" s="167"/>
      <c r="K242" s="37"/>
    </row>
    <row r="243" spans="1:11" ht="15" customHeight="1" x14ac:dyDescent="0.2">
      <c r="A243" s="383"/>
      <c r="B243" s="361"/>
      <c r="C243" s="361"/>
      <c r="D243" s="362"/>
      <c r="E243" s="362"/>
      <c r="F243" s="354" t="s">
        <v>1650</v>
      </c>
      <c r="G243" s="355"/>
      <c r="H243" s="354"/>
      <c r="I243" s="354"/>
      <c r="J243" s="167"/>
      <c r="K243" s="7"/>
    </row>
    <row r="244" spans="1:11" ht="15" customHeight="1" x14ac:dyDescent="0.2">
      <c r="A244" s="383"/>
      <c r="B244" s="361"/>
      <c r="C244" s="361"/>
      <c r="D244" s="362"/>
      <c r="E244" s="362"/>
      <c r="F244" s="354"/>
      <c r="G244" s="356"/>
      <c r="H244" s="354"/>
      <c r="I244" s="354"/>
      <c r="J244" s="167"/>
      <c r="K244" s="7"/>
    </row>
    <row r="245" spans="1:11" ht="15" customHeight="1" x14ac:dyDescent="0.2">
      <c r="A245" s="383"/>
      <c r="B245" s="361"/>
      <c r="C245" s="361"/>
      <c r="D245" s="362"/>
      <c r="E245" s="362"/>
      <c r="F245" s="354"/>
      <c r="G245" s="357"/>
      <c r="H245" s="354"/>
      <c r="I245" s="354"/>
      <c r="J245" s="167"/>
      <c r="K245" s="7"/>
    </row>
    <row r="246" spans="1:11" x14ac:dyDescent="0.2">
      <c r="A246" s="383"/>
      <c r="B246" s="361"/>
      <c r="C246" s="361"/>
      <c r="D246" s="362"/>
      <c r="E246" s="362"/>
      <c r="F246" s="354" t="s">
        <v>1651</v>
      </c>
      <c r="G246" s="355"/>
      <c r="H246" s="354"/>
      <c r="I246" s="354"/>
      <c r="J246" s="167"/>
      <c r="K246" s="7"/>
    </row>
    <row r="247" spans="1:11" ht="15" customHeight="1" x14ac:dyDescent="0.2">
      <c r="A247" s="383"/>
      <c r="B247" s="361"/>
      <c r="C247" s="361"/>
      <c r="D247" s="362"/>
      <c r="E247" s="362"/>
      <c r="F247" s="354"/>
      <c r="G247" s="356"/>
      <c r="H247" s="354"/>
      <c r="I247" s="354"/>
      <c r="J247" s="167"/>
      <c r="K247" s="7"/>
    </row>
    <row r="248" spans="1:11" ht="15" customHeight="1" x14ac:dyDescent="0.2">
      <c r="A248" s="383"/>
      <c r="B248" s="361"/>
      <c r="C248" s="361"/>
      <c r="D248" s="362"/>
      <c r="E248" s="362"/>
      <c r="F248" s="354"/>
      <c r="G248" s="357"/>
      <c r="H248" s="354"/>
      <c r="I248" s="354"/>
      <c r="J248" s="167"/>
      <c r="K248" s="7"/>
    </row>
    <row r="249" spans="1:11" x14ac:dyDescent="0.2">
      <c r="A249" s="383"/>
      <c r="B249" s="361"/>
      <c r="C249" s="361"/>
      <c r="D249" s="362"/>
      <c r="E249" s="362"/>
      <c r="F249" s="354" t="s">
        <v>1652</v>
      </c>
      <c r="G249" s="355"/>
      <c r="H249" s="354"/>
      <c r="I249" s="354"/>
      <c r="J249" s="167"/>
      <c r="K249" s="6"/>
    </row>
    <row r="250" spans="1:11" ht="15" customHeight="1" x14ac:dyDescent="0.2">
      <c r="A250" s="383"/>
      <c r="B250" s="361"/>
      <c r="C250" s="361"/>
      <c r="D250" s="362"/>
      <c r="E250" s="362"/>
      <c r="F250" s="354"/>
      <c r="G250" s="356"/>
      <c r="H250" s="354"/>
      <c r="I250" s="354"/>
      <c r="J250" s="167"/>
      <c r="K250" s="7"/>
    </row>
    <row r="251" spans="1:11" ht="16.350000000000001" customHeight="1" x14ac:dyDescent="0.2">
      <c r="A251" s="383"/>
      <c r="B251" s="361"/>
      <c r="C251" s="361"/>
      <c r="D251" s="362"/>
      <c r="E251" s="362"/>
      <c r="F251" s="354"/>
      <c r="G251" s="357"/>
      <c r="H251" s="354"/>
      <c r="I251" s="354"/>
      <c r="J251" s="167"/>
      <c r="K251" s="7"/>
    </row>
    <row r="252" spans="1:11" x14ac:dyDescent="0.2">
      <c r="A252" s="383"/>
      <c r="B252" s="361"/>
      <c r="C252" s="361"/>
      <c r="D252" s="362"/>
      <c r="E252" s="362"/>
      <c r="F252" s="354" t="s">
        <v>1653</v>
      </c>
      <c r="G252" s="355"/>
      <c r="H252" s="354"/>
      <c r="I252" s="354"/>
      <c r="J252" s="167"/>
      <c r="K252" s="6"/>
    </row>
    <row r="253" spans="1:11" ht="15" customHeight="1" x14ac:dyDescent="0.2">
      <c r="A253" s="383"/>
      <c r="B253" s="361"/>
      <c r="C253" s="361"/>
      <c r="D253" s="362"/>
      <c r="E253" s="362"/>
      <c r="F253" s="354"/>
      <c r="G253" s="356"/>
      <c r="H253" s="354"/>
      <c r="I253" s="354"/>
      <c r="J253" s="167"/>
      <c r="K253" s="7"/>
    </row>
    <row r="254" spans="1:11" ht="16.350000000000001" customHeight="1" x14ac:dyDescent="0.2">
      <c r="A254" s="383"/>
      <c r="B254" s="361"/>
      <c r="C254" s="361"/>
      <c r="D254" s="362"/>
      <c r="E254" s="362"/>
      <c r="F254" s="354"/>
      <c r="G254" s="357"/>
      <c r="H254" s="354"/>
      <c r="I254" s="354"/>
      <c r="J254" s="167"/>
      <c r="K254" s="7"/>
    </row>
    <row r="255" spans="1:11" x14ac:dyDescent="0.2">
      <c r="A255" s="383"/>
      <c r="B255" s="361"/>
      <c r="C255" s="361"/>
      <c r="D255" s="362"/>
      <c r="E255" s="362"/>
      <c r="F255" s="354" t="s">
        <v>1654</v>
      </c>
      <c r="G255" s="355"/>
      <c r="H255" s="354"/>
      <c r="I255" s="354"/>
      <c r="J255" s="167"/>
      <c r="K255" s="6"/>
    </row>
    <row r="256" spans="1:11" ht="15" customHeight="1" x14ac:dyDescent="0.2">
      <c r="A256" s="383"/>
      <c r="B256" s="361"/>
      <c r="C256" s="361"/>
      <c r="D256" s="362"/>
      <c r="E256" s="362"/>
      <c r="F256" s="354"/>
      <c r="G256" s="356"/>
      <c r="H256" s="354"/>
      <c r="I256" s="354"/>
      <c r="J256" s="167"/>
      <c r="K256" s="7"/>
    </row>
    <row r="257" spans="1:11" ht="16.350000000000001" customHeight="1" x14ac:dyDescent="0.2">
      <c r="A257" s="383"/>
      <c r="B257" s="361"/>
      <c r="C257" s="361"/>
      <c r="D257" s="362"/>
      <c r="E257" s="362"/>
      <c r="F257" s="354"/>
      <c r="G257" s="357"/>
      <c r="H257" s="354"/>
      <c r="I257" s="354"/>
      <c r="J257" s="167"/>
      <c r="K257" s="7"/>
    </row>
    <row r="258" spans="1:11" x14ac:dyDescent="0.2">
      <c r="A258" s="383"/>
      <c r="B258" s="361"/>
      <c r="C258" s="361"/>
      <c r="D258" s="362"/>
      <c r="E258" s="362"/>
      <c r="F258" s="354" t="s">
        <v>1655</v>
      </c>
      <c r="G258" s="355"/>
      <c r="H258" s="354"/>
      <c r="I258" s="354"/>
      <c r="J258" s="167"/>
      <c r="K258" s="6"/>
    </row>
    <row r="259" spans="1:11" ht="15" customHeight="1" x14ac:dyDescent="0.2">
      <c r="A259" s="383"/>
      <c r="B259" s="361"/>
      <c r="C259" s="361"/>
      <c r="D259" s="362"/>
      <c r="E259" s="362"/>
      <c r="F259" s="354"/>
      <c r="G259" s="356"/>
      <c r="H259" s="354"/>
      <c r="I259" s="354"/>
      <c r="J259" s="167"/>
      <c r="K259" s="7"/>
    </row>
    <row r="260" spans="1:11" ht="16.350000000000001" customHeight="1" x14ac:dyDescent="0.2">
      <c r="A260" s="383"/>
      <c r="B260" s="361"/>
      <c r="C260" s="361"/>
      <c r="D260" s="362"/>
      <c r="E260" s="362"/>
      <c r="F260" s="354"/>
      <c r="G260" s="357"/>
      <c r="H260" s="354"/>
      <c r="I260" s="354"/>
      <c r="J260" s="167"/>
      <c r="K260" s="7"/>
    </row>
    <row r="261" spans="1:11" x14ac:dyDescent="0.2">
      <c r="A261" s="383"/>
      <c r="B261" s="361"/>
      <c r="C261" s="361"/>
      <c r="D261" s="362"/>
      <c r="E261" s="362"/>
      <c r="F261" s="354" t="s">
        <v>1656</v>
      </c>
      <c r="G261" s="355"/>
      <c r="H261" s="354"/>
      <c r="I261" s="354"/>
      <c r="J261" s="167"/>
      <c r="K261" s="6"/>
    </row>
    <row r="262" spans="1:11" ht="15" customHeight="1" x14ac:dyDescent="0.2">
      <c r="A262" s="383"/>
      <c r="B262" s="361"/>
      <c r="C262" s="361"/>
      <c r="D262" s="362"/>
      <c r="E262" s="362"/>
      <c r="F262" s="354"/>
      <c r="G262" s="356"/>
      <c r="H262" s="354"/>
      <c r="I262" s="354"/>
      <c r="J262" s="167"/>
      <c r="K262" s="7"/>
    </row>
    <row r="263" spans="1:11" ht="16.350000000000001" customHeight="1" x14ac:dyDescent="0.2">
      <c r="A263" s="383"/>
      <c r="B263" s="361"/>
      <c r="C263" s="361"/>
      <c r="D263" s="362"/>
      <c r="E263" s="362"/>
      <c r="F263" s="354"/>
      <c r="G263" s="357"/>
      <c r="H263" s="354"/>
      <c r="I263" s="354"/>
      <c r="J263" s="167"/>
      <c r="K263" s="7"/>
    </row>
    <row r="266" spans="1:11" ht="16.350000000000001" customHeight="1" x14ac:dyDescent="0.2"/>
    <row r="274" spans="5:5" x14ac:dyDescent="0.2">
      <c r="E274" s="92" t="s">
        <v>528</v>
      </c>
    </row>
    <row r="275" spans="5:5" x14ac:dyDescent="0.2">
      <c r="E275" s="92" t="s">
        <v>511</v>
      </c>
    </row>
    <row r="276" spans="5:5" x14ac:dyDescent="0.2">
      <c r="E276" s="92" t="s">
        <v>515</v>
      </c>
    </row>
    <row r="277" spans="5:5" x14ac:dyDescent="0.2">
      <c r="E277" s="92" t="s">
        <v>505</v>
      </c>
    </row>
    <row r="278" spans="5:5" x14ac:dyDescent="0.2">
      <c r="E278" s="92" t="s">
        <v>507</v>
      </c>
    </row>
  </sheetData>
  <mergeCells count="397">
    <mergeCell ref="I39:I41"/>
    <mergeCell ref="F102:F104"/>
    <mergeCell ref="G102:G104"/>
    <mergeCell ref="H102:H104"/>
    <mergeCell ref="I102:I104"/>
    <mergeCell ref="F99:F101"/>
    <mergeCell ref="G99:G101"/>
    <mergeCell ref="H99:H101"/>
    <mergeCell ref="I99:I101"/>
    <mergeCell ref="F96:F98"/>
    <mergeCell ref="G96:G98"/>
    <mergeCell ref="H96:H98"/>
    <mergeCell ref="I96:I98"/>
    <mergeCell ref="I42:I44"/>
    <mergeCell ref="H54:H56"/>
    <mergeCell ref="H57:H59"/>
    <mergeCell ref="H63:H65"/>
    <mergeCell ref="H66:H68"/>
    <mergeCell ref="H93:H95"/>
    <mergeCell ref="I66:I68"/>
    <mergeCell ref="I63:I65"/>
    <mergeCell ref="I54:I56"/>
    <mergeCell ref="I51:I53"/>
    <mergeCell ref="I60:I62"/>
    <mergeCell ref="I201:I203"/>
    <mergeCell ref="F204:F206"/>
    <mergeCell ref="B240:B263"/>
    <mergeCell ref="C240:C263"/>
    <mergeCell ref="D240:D263"/>
    <mergeCell ref="E240:E263"/>
    <mergeCell ref="F240:F242"/>
    <mergeCell ref="G240:G242"/>
    <mergeCell ref="H240:H242"/>
    <mergeCell ref="I240:I242"/>
    <mergeCell ref="F243:F245"/>
    <mergeCell ref="G243:G245"/>
    <mergeCell ref="H243:H245"/>
    <mergeCell ref="I243:I245"/>
    <mergeCell ref="F246:F248"/>
    <mergeCell ref="G246:G248"/>
    <mergeCell ref="H246:H248"/>
    <mergeCell ref="I246:I248"/>
    <mergeCell ref="F231:F233"/>
    <mergeCell ref="G231:G233"/>
    <mergeCell ref="H231:H233"/>
    <mergeCell ref="I231:I233"/>
    <mergeCell ref="F234:F236"/>
    <mergeCell ref="G234:G236"/>
    <mergeCell ref="I192:I194"/>
    <mergeCell ref="F195:F197"/>
    <mergeCell ref="G195:G197"/>
    <mergeCell ref="H195:H197"/>
    <mergeCell ref="I195:I197"/>
    <mergeCell ref="F198:F200"/>
    <mergeCell ref="G198:G200"/>
    <mergeCell ref="H198:H200"/>
    <mergeCell ref="I198:I200"/>
    <mergeCell ref="H153:H155"/>
    <mergeCell ref="H156:H158"/>
    <mergeCell ref="H162:H164"/>
    <mergeCell ref="G171:G173"/>
    <mergeCell ref="H186:H188"/>
    <mergeCell ref="B192:B215"/>
    <mergeCell ref="C192:C215"/>
    <mergeCell ref="D192:D215"/>
    <mergeCell ref="E192:E215"/>
    <mergeCell ref="F192:F194"/>
    <mergeCell ref="G192:G194"/>
    <mergeCell ref="H192:H194"/>
    <mergeCell ref="F201:F203"/>
    <mergeCell ref="G201:G203"/>
    <mergeCell ref="H201:H203"/>
    <mergeCell ref="F189:F191"/>
    <mergeCell ref="G189:G191"/>
    <mergeCell ref="H189:H191"/>
    <mergeCell ref="B126:B143"/>
    <mergeCell ref="C126:C143"/>
    <mergeCell ref="D126:D143"/>
    <mergeCell ref="E126:E143"/>
    <mergeCell ref="F126:F128"/>
    <mergeCell ref="G126:G128"/>
    <mergeCell ref="H126:H128"/>
    <mergeCell ref="H138:H140"/>
    <mergeCell ref="H144:H146"/>
    <mergeCell ref="B21:B44"/>
    <mergeCell ref="C21:C44"/>
    <mergeCell ref="D21:D44"/>
    <mergeCell ref="E21:E44"/>
    <mergeCell ref="H21:H23"/>
    <mergeCell ref="H24:H26"/>
    <mergeCell ref="H27:H29"/>
    <mergeCell ref="H33:H35"/>
    <mergeCell ref="H36:H38"/>
    <mergeCell ref="H42:H44"/>
    <mergeCell ref="F39:F41"/>
    <mergeCell ref="G39:G41"/>
    <mergeCell ref="H39:H41"/>
    <mergeCell ref="F36:F38"/>
    <mergeCell ref="G36:G38"/>
    <mergeCell ref="F30:F32"/>
    <mergeCell ref="G30:G32"/>
    <mergeCell ref="F21:F23"/>
    <mergeCell ref="G21:G23"/>
    <mergeCell ref="F24:F26"/>
    <mergeCell ref="G24:G26"/>
    <mergeCell ref="F42:F44"/>
    <mergeCell ref="G42:G44"/>
    <mergeCell ref="F27:F29"/>
    <mergeCell ref="I6:I8"/>
    <mergeCell ref="I3:I5"/>
    <mergeCell ref="I36:I38"/>
    <mergeCell ref="H3:H5"/>
    <mergeCell ref="H6:H8"/>
    <mergeCell ref="H9:H11"/>
    <mergeCell ref="H12:H14"/>
    <mergeCell ref="H15:H17"/>
    <mergeCell ref="H18:H20"/>
    <mergeCell ref="I30:I32"/>
    <mergeCell ref="I27:I29"/>
    <mergeCell ref="I33:I35"/>
    <mergeCell ref="I24:I26"/>
    <mergeCell ref="I21:I23"/>
    <mergeCell ref="I12:I14"/>
    <mergeCell ref="I9:I11"/>
    <mergeCell ref="I18:I20"/>
    <mergeCell ref="I15:I17"/>
    <mergeCell ref="I57:I59"/>
    <mergeCell ref="I48:I50"/>
    <mergeCell ref="I45:I47"/>
    <mergeCell ref="B81:B107"/>
    <mergeCell ref="C81:C107"/>
    <mergeCell ref="D81:D107"/>
    <mergeCell ref="E81:E107"/>
    <mergeCell ref="B108:B125"/>
    <mergeCell ref="C108:C125"/>
    <mergeCell ref="H108:H110"/>
    <mergeCell ref="F117:F119"/>
    <mergeCell ref="G117:G119"/>
    <mergeCell ref="H117:H119"/>
    <mergeCell ref="H120:H122"/>
    <mergeCell ref="B45:B62"/>
    <mergeCell ref="C45:C62"/>
    <mergeCell ref="D45:D62"/>
    <mergeCell ref="E45:E62"/>
    <mergeCell ref="F57:F59"/>
    <mergeCell ref="G57:G59"/>
    <mergeCell ref="F60:F62"/>
    <mergeCell ref="G60:G62"/>
    <mergeCell ref="H60:H62"/>
    <mergeCell ref="F54:F56"/>
    <mergeCell ref="H234:H236"/>
    <mergeCell ref="I234:I236"/>
    <mergeCell ref="F237:F239"/>
    <mergeCell ref="G237:G239"/>
    <mergeCell ref="H237:H239"/>
    <mergeCell ref="I237:I239"/>
    <mergeCell ref="I222:I224"/>
    <mergeCell ref="F225:F227"/>
    <mergeCell ref="G225:G227"/>
    <mergeCell ref="H225:H227"/>
    <mergeCell ref="I225:I227"/>
    <mergeCell ref="F228:F230"/>
    <mergeCell ref="G228:G230"/>
    <mergeCell ref="H228:H230"/>
    <mergeCell ref="I228:I230"/>
    <mergeCell ref="F258:F260"/>
    <mergeCell ref="G258:G260"/>
    <mergeCell ref="H258:H260"/>
    <mergeCell ref="I258:I260"/>
    <mergeCell ref="F261:F263"/>
    <mergeCell ref="G261:G263"/>
    <mergeCell ref="H261:H263"/>
    <mergeCell ref="I261:I263"/>
    <mergeCell ref="A3:A263"/>
    <mergeCell ref="B216:B239"/>
    <mergeCell ref="C216:C239"/>
    <mergeCell ref="D216:D239"/>
    <mergeCell ref="E216:E239"/>
    <mergeCell ref="F216:F218"/>
    <mergeCell ref="G216:G218"/>
    <mergeCell ref="H216:H218"/>
    <mergeCell ref="I216:I218"/>
    <mergeCell ref="F219:F221"/>
    <mergeCell ref="G219:G221"/>
    <mergeCell ref="H219:H221"/>
    <mergeCell ref="I219:I221"/>
    <mergeCell ref="F222:F224"/>
    <mergeCell ref="G222:G224"/>
    <mergeCell ref="H222:H224"/>
    <mergeCell ref="F249:F251"/>
    <mergeCell ref="G249:G251"/>
    <mergeCell ref="H249:H251"/>
    <mergeCell ref="I249:I251"/>
    <mergeCell ref="F252:F254"/>
    <mergeCell ref="G252:G254"/>
    <mergeCell ref="H252:H254"/>
    <mergeCell ref="I252:I254"/>
    <mergeCell ref="F255:F257"/>
    <mergeCell ref="G255:G257"/>
    <mergeCell ref="H255:H257"/>
    <mergeCell ref="I255:I257"/>
    <mergeCell ref="G3:G5"/>
    <mergeCell ref="F6:F8"/>
    <mergeCell ref="G6:G8"/>
    <mergeCell ref="B3:B20"/>
    <mergeCell ref="C3:C20"/>
    <mergeCell ref="D3:D20"/>
    <mergeCell ref="E3:E20"/>
    <mergeCell ref="F3:F5"/>
    <mergeCell ref="F9:F11"/>
    <mergeCell ref="F15:F17"/>
    <mergeCell ref="G15:G17"/>
    <mergeCell ref="F18:F20"/>
    <mergeCell ref="G18:G20"/>
    <mergeCell ref="G9:G11"/>
    <mergeCell ref="F12:F14"/>
    <mergeCell ref="G12:G14"/>
    <mergeCell ref="G27:G29"/>
    <mergeCell ref="H30:H32"/>
    <mergeCell ref="F48:F50"/>
    <mergeCell ref="G48:G50"/>
    <mergeCell ref="H48:H50"/>
    <mergeCell ref="F45:F47"/>
    <mergeCell ref="G45:G47"/>
    <mergeCell ref="F51:F53"/>
    <mergeCell ref="G51:G53"/>
    <mergeCell ref="H51:H53"/>
    <mergeCell ref="H45:H47"/>
    <mergeCell ref="F33:F35"/>
    <mergeCell ref="G33:G35"/>
    <mergeCell ref="G54:G56"/>
    <mergeCell ref="F66:F68"/>
    <mergeCell ref="G66:G68"/>
    <mergeCell ref="B63:B80"/>
    <mergeCell ref="C63:C80"/>
    <mergeCell ref="D63:D80"/>
    <mergeCell ref="E63:E80"/>
    <mergeCell ref="F63:F65"/>
    <mergeCell ref="G63:G65"/>
    <mergeCell ref="F69:F71"/>
    <mergeCell ref="G69:G71"/>
    <mergeCell ref="F75:F77"/>
    <mergeCell ref="G75:G77"/>
    <mergeCell ref="I75:I77"/>
    <mergeCell ref="F78:F80"/>
    <mergeCell ref="G78:G80"/>
    <mergeCell ref="H78:H80"/>
    <mergeCell ref="I78:I80"/>
    <mergeCell ref="H69:H71"/>
    <mergeCell ref="I69:I71"/>
    <mergeCell ref="F72:F74"/>
    <mergeCell ref="G72:G74"/>
    <mergeCell ref="H72:H74"/>
    <mergeCell ref="I72:I74"/>
    <mergeCell ref="H75:H77"/>
    <mergeCell ref="H87:H89"/>
    <mergeCell ref="I87:I89"/>
    <mergeCell ref="F90:F92"/>
    <mergeCell ref="G90:G92"/>
    <mergeCell ref="I81:I83"/>
    <mergeCell ref="F84:F86"/>
    <mergeCell ref="G84:G86"/>
    <mergeCell ref="H84:H86"/>
    <mergeCell ref="I84:I86"/>
    <mergeCell ref="F81:F83"/>
    <mergeCell ref="G81:G83"/>
    <mergeCell ref="F87:F89"/>
    <mergeCell ref="G87:G89"/>
    <mergeCell ref="H81:H83"/>
    <mergeCell ref="D108:D125"/>
    <mergeCell ref="E108:E125"/>
    <mergeCell ref="F108:F110"/>
    <mergeCell ref="G108:G110"/>
    <mergeCell ref="F114:F116"/>
    <mergeCell ref="G114:G116"/>
    <mergeCell ref="F120:F122"/>
    <mergeCell ref="G120:G122"/>
    <mergeCell ref="I120:I122"/>
    <mergeCell ref="F123:F125"/>
    <mergeCell ref="G123:G125"/>
    <mergeCell ref="H123:H125"/>
    <mergeCell ref="I123:I125"/>
    <mergeCell ref="H114:H116"/>
    <mergeCell ref="I114:I116"/>
    <mergeCell ref="I117:I119"/>
    <mergeCell ref="I126:I128"/>
    <mergeCell ref="F129:F131"/>
    <mergeCell ref="G129:G131"/>
    <mergeCell ref="H129:H131"/>
    <mergeCell ref="I129:I131"/>
    <mergeCell ref="H90:H92"/>
    <mergeCell ref="I90:I92"/>
    <mergeCell ref="I108:I110"/>
    <mergeCell ref="F111:F113"/>
    <mergeCell ref="G111:G113"/>
    <mergeCell ref="H111:H113"/>
    <mergeCell ref="I111:I113"/>
    <mergeCell ref="F93:F95"/>
    <mergeCell ref="G93:G95"/>
    <mergeCell ref="I93:I95"/>
    <mergeCell ref="F105:F107"/>
    <mergeCell ref="G105:G107"/>
    <mergeCell ref="H105:H107"/>
    <mergeCell ref="I105:I107"/>
    <mergeCell ref="I138:I140"/>
    <mergeCell ref="F141:F143"/>
    <mergeCell ref="G141:G143"/>
    <mergeCell ref="H141:H143"/>
    <mergeCell ref="I141:I143"/>
    <mergeCell ref="H132:H134"/>
    <mergeCell ref="I132:I134"/>
    <mergeCell ref="F135:F137"/>
    <mergeCell ref="G135:G137"/>
    <mergeCell ref="H135:H137"/>
    <mergeCell ref="I135:I137"/>
    <mergeCell ref="F132:F134"/>
    <mergeCell ref="G132:G134"/>
    <mergeCell ref="F138:F140"/>
    <mergeCell ref="G138:G140"/>
    <mergeCell ref="I144:I146"/>
    <mergeCell ref="F147:F149"/>
    <mergeCell ref="G147:G149"/>
    <mergeCell ref="H147:H149"/>
    <mergeCell ref="I147:I149"/>
    <mergeCell ref="B144:B161"/>
    <mergeCell ref="C144:C161"/>
    <mergeCell ref="D144:D161"/>
    <mergeCell ref="E144:E161"/>
    <mergeCell ref="F144:F146"/>
    <mergeCell ref="G144:G146"/>
    <mergeCell ref="F150:F152"/>
    <mergeCell ref="G150:G152"/>
    <mergeCell ref="F156:F158"/>
    <mergeCell ref="G156:G158"/>
    <mergeCell ref="I156:I158"/>
    <mergeCell ref="F159:F161"/>
    <mergeCell ref="G159:G161"/>
    <mergeCell ref="H159:H161"/>
    <mergeCell ref="I159:I161"/>
    <mergeCell ref="H150:H152"/>
    <mergeCell ref="I150:I152"/>
    <mergeCell ref="F153:F155"/>
    <mergeCell ref="G153:G155"/>
    <mergeCell ref="I153:I155"/>
    <mergeCell ref="I162:I164"/>
    <mergeCell ref="F165:F167"/>
    <mergeCell ref="G165:G167"/>
    <mergeCell ref="H165:H167"/>
    <mergeCell ref="I165:I167"/>
    <mergeCell ref="B162:B191"/>
    <mergeCell ref="C162:C191"/>
    <mergeCell ref="D162:D191"/>
    <mergeCell ref="E162:E191"/>
    <mergeCell ref="F162:F164"/>
    <mergeCell ref="G162:G164"/>
    <mergeCell ref="F168:F170"/>
    <mergeCell ref="G168:G170"/>
    <mergeCell ref="F186:F188"/>
    <mergeCell ref="G186:G188"/>
    <mergeCell ref="F180:F182"/>
    <mergeCell ref="G180:G182"/>
    <mergeCell ref="F177:F179"/>
    <mergeCell ref="G177:G179"/>
    <mergeCell ref="F174:F176"/>
    <mergeCell ref="G174:G176"/>
    <mergeCell ref="F171:F173"/>
    <mergeCell ref="I186:I188"/>
    <mergeCell ref="I189:I191"/>
    <mergeCell ref="H168:H170"/>
    <mergeCell ref="I168:I170"/>
    <mergeCell ref="F183:F185"/>
    <mergeCell ref="G183:G185"/>
    <mergeCell ref="H183:H185"/>
    <mergeCell ref="I183:I185"/>
    <mergeCell ref="H180:H182"/>
    <mergeCell ref="I180:I182"/>
    <mergeCell ref="H177:H179"/>
    <mergeCell ref="I177:I179"/>
    <mergeCell ref="H174:H176"/>
    <mergeCell ref="I174:I176"/>
    <mergeCell ref="H171:H173"/>
    <mergeCell ref="I171:I173"/>
    <mergeCell ref="I210:I212"/>
    <mergeCell ref="F207:F209"/>
    <mergeCell ref="G207:G209"/>
    <mergeCell ref="H207:H209"/>
    <mergeCell ref="I207:I209"/>
    <mergeCell ref="G204:G206"/>
    <mergeCell ref="H204:H206"/>
    <mergeCell ref="I204:I206"/>
    <mergeCell ref="F213:F215"/>
    <mergeCell ref="G213:G215"/>
    <mergeCell ref="H213:H215"/>
    <mergeCell ref="I213:I215"/>
    <mergeCell ref="F210:F212"/>
    <mergeCell ref="G210:G212"/>
    <mergeCell ref="H210:H212"/>
  </mergeCells>
  <phoneticPr fontId="14" type="noConversion"/>
  <dataValidations count="1">
    <dataValidation type="list" allowBlank="1" showInputMessage="1" showErrorMessage="1" sqref="E3:E263 H3:H263" xr:uid="{205765FF-0567-614D-AA7C-9FE6DA2AB5E4}">
      <formula1>$E$274:$E$278</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C69D-0B65-5F42-BC40-BB807FF1CF77}">
  <sheetPr>
    <tabColor theme="9"/>
  </sheetPr>
  <dimension ref="A1:K161"/>
  <sheetViews>
    <sheetView showGridLines="0" topLeftCell="A45" zoomScale="109" zoomScaleNormal="81" workbookViewId="0">
      <selection activeCell="C57" sqref="C57:C74"/>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32.28515625" style="15" customWidth="1"/>
    <col min="10" max="10" width="9.7109375" style="15" customWidth="1"/>
    <col min="11" max="11" width="45.140625" style="3" customWidth="1"/>
    <col min="12"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1" ht="30"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337" t="s">
        <v>1691</v>
      </c>
      <c r="B3" s="275" t="s">
        <v>1692</v>
      </c>
      <c r="C3" s="275" t="s">
        <v>551</v>
      </c>
      <c r="D3" s="275"/>
      <c r="E3" s="275"/>
      <c r="F3" s="288" t="s">
        <v>1693</v>
      </c>
      <c r="G3" s="337" t="s">
        <v>1665</v>
      </c>
      <c r="H3" s="272" t="s">
        <v>528</v>
      </c>
      <c r="I3" s="354" t="s">
        <v>4148</v>
      </c>
      <c r="J3" s="109" t="s">
        <v>1694</v>
      </c>
      <c r="K3" s="7"/>
    </row>
    <row r="4" spans="1:11" x14ac:dyDescent="0.2">
      <c r="A4" s="288"/>
      <c r="B4" s="275"/>
      <c r="C4" s="275"/>
      <c r="D4" s="275"/>
      <c r="E4" s="275"/>
      <c r="F4" s="288"/>
      <c r="G4" s="272"/>
      <c r="H4" s="272"/>
      <c r="I4" s="272"/>
      <c r="J4" s="109" t="s">
        <v>1695</v>
      </c>
      <c r="K4" s="7"/>
    </row>
    <row r="5" spans="1:11" x14ac:dyDescent="0.2">
      <c r="A5" s="273"/>
      <c r="B5" s="276"/>
      <c r="C5" s="276"/>
      <c r="D5" s="276"/>
      <c r="E5" s="276"/>
      <c r="F5" s="273"/>
      <c r="G5" s="273"/>
      <c r="H5" s="273"/>
      <c r="I5" s="273"/>
      <c r="J5" s="109" t="s">
        <v>1696</v>
      </c>
      <c r="K5" s="7"/>
    </row>
    <row r="6" spans="1:11" x14ac:dyDescent="0.2">
      <c r="A6" s="273"/>
      <c r="B6" s="276"/>
      <c r="C6" s="276"/>
      <c r="D6" s="276"/>
      <c r="E6" s="276"/>
      <c r="F6" s="288" t="s">
        <v>1697</v>
      </c>
      <c r="G6" s="337" t="s">
        <v>1667</v>
      </c>
      <c r="H6" s="272" t="s">
        <v>528</v>
      </c>
      <c r="I6" s="289"/>
      <c r="J6" s="109" t="s">
        <v>1698</v>
      </c>
      <c r="K6" s="7"/>
    </row>
    <row r="7" spans="1:11" x14ac:dyDescent="0.2">
      <c r="A7" s="273"/>
      <c r="B7" s="276"/>
      <c r="C7" s="276"/>
      <c r="D7" s="276"/>
      <c r="E7" s="276"/>
      <c r="F7" s="288"/>
      <c r="G7" s="289"/>
      <c r="H7" s="272"/>
      <c r="I7" s="289"/>
      <c r="J7" s="109" t="s">
        <v>1699</v>
      </c>
      <c r="K7" s="7"/>
    </row>
    <row r="8" spans="1:11" x14ac:dyDescent="0.2">
      <c r="A8" s="273"/>
      <c r="B8" s="276"/>
      <c r="C8" s="276"/>
      <c r="D8" s="276"/>
      <c r="E8" s="276"/>
      <c r="F8" s="273"/>
      <c r="G8" s="273"/>
      <c r="H8" s="273"/>
      <c r="I8" s="273"/>
      <c r="J8" s="109" t="s">
        <v>1700</v>
      </c>
      <c r="K8" s="7"/>
    </row>
    <row r="9" spans="1:11" x14ac:dyDescent="0.2">
      <c r="A9" s="273"/>
      <c r="B9" s="276"/>
      <c r="C9" s="276"/>
      <c r="D9" s="276"/>
      <c r="E9" s="276"/>
      <c r="F9" s="288" t="s">
        <v>1701</v>
      </c>
      <c r="G9" s="337" t="s">
        <v>1666</v>
      </c>
      <c r="H9" s="272" t="s">
        <v>528</v>
      </c>
      <c r="I9" s="354" t="s">
        <v>4147</v>
      </c>
      <c r="J9" s="26"/>
      <c r="K9" s="7"/>
    </row>
    <row r="10" spans="1:1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x14ac:dyDescent="0.2">
      <c r="A12" s="273"/>
      <c r="B12" s="276"/>
      <c r="C12" s="276"/>
      <c r="D12" s="276"/>
      <c r="E12" s="276"/>
      <c r="F12" s="288" t="s">
        <v>1702</v>
      </c>
      <c r="G12" s="337" t="s">
        <v>1669</v>
      </c>
      <c r="H12" s="272" t="s">
        <v>528</v>
      </c>
      <c r="I12" s="354" t="s">
        <v>4147</v>
      </c>
      <c r="J12" s="26"/>
      <c r="K12" s="7"/>
    </row>
    <row r="13" spans="1:1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x14ac:dyDescent="0.2">
      <c r="A15" s="273"/>
      <c r="B15" s="276"/>
      <c r="C15" s="276"/>
      <c r="D15" s="276"/>
      <c r="E15" s="276"/>
      <c r="F15" s="288" t="s">
        <v>1703</v>
      </c>
      <c r="G15" s="354" t="s">
        <v>4150</v>
      </c>
      <c r="H15" s="272" t="s">
        <v>528</v>
      </c>
      <c r="I15" s="354" t="s">
        <v>4151</v>
      </c>
      <c r="J15" s="26"/>
      <c r="K15" s="7"/>
    </row>
    <row r="16" spans="1:1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x14ac:dyDescent="0.2">
      <c r="A18" s="273"/>
      <c r="B18" s="276"/>
      <c r="C18" s="276"/>
      <c r="D18" s="276"/>
      <c r="E18" s="276"/>
      <c r="F18" s="288" t="s">
        <v>1704</v>
      </c>
      <c r="G18" s="337" t="s">
        <v>1668</v>
      </c>
      <c r="H18" s="272" t="s">
        <v>528</v>
      </c>
      <c r="I18" s="354" t="s">
        <v>4149</v>
      </c>
      <c r="J18" s="26"/>
      <c r="K18" s="7"/>
    </row>
    <row r="19" spans="1:1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1705</v>
      </c>
      <c r="C21" s="277" t="s">
        <v>552</v>
      </c>
      <c r="D21" s="277"/>
      <c r="E21" s="277"/>
      <c r="F21" s="288" t="s">
        <v>1706</v>
      </c>
      <c r="G21" s="337" t="s">
        <v>1670</v>
      </c>
      <c r="H21" s="272" t="s">
        <v>528</v>
      </c>
      <c r="I21" s="354" t="s">
        <v>4152</v>
      </c>
      <c r="J21" s="39"/>
      <c r="K21" s="7"/>
    </row>
    <row r="22" spans="1:11" x14ac:dyDescent="0.2">
      <c r="A22" s="273"/>
      <c r="B22" s="278"/>
      <c r="C22" s="278"/>
      <c r="D22" s="278"/>
      <c r="E22" s="278"/>
      <c r="F22" s="288"/>
      <c r="G22" s="289"/>
      <c r="H22" s="272"/>
      <c r="I22" s="289"/>
      <c r="J22" s="39"/>
      <c r="K22" s="7"/>
    </row>
    <row r="23" spans="1:11" x14ac:dyDescent="0.2">
      <c r="A23" s="273"/>
      <c r="B23" s="279"/>
      <c r="C23" s="279"/>
      <c r="D23" s="279"/>
      <c r="E23" s="279"/>
      <c r="F23" s="273"/>
      <c r="G23" s="273"/>
      <c r="H23" s="273"/>
      <c r="I23" s="273"/>
      <c r="J23" s="89"/>
      <c r="K23" s="7"/>
    </row>
    <row r="24" spans="1:11" x14ac:dyDescent="0.2">
      <c r="A24" s="273"/>
      <c r="B24" s="279"/>
      <c r="C24" s="279"/>
      <c r="D24" s="279"/>
      <c r="E24" s="279"/>
      <c r="F24" s="288" t="s">
        <v>1707</v>
      </c>
      <c r="G24" s="337" t="s">
        <v>1671</v>
      </c>
      <c r="H24" s="272" t="s">
        <v>528</v>
      </c>
      <c r="I24" s="272"/>
      <c r="J24" s="26"/>
      <c r="K24" s="7"/>
    </row>
    <row r="25" spans="1:11" x14ac:dyDescent="0.2">
      <c r="A25" s="273"/>
      <c r="B25" s="279"/>
      <c r="C25" s="279"/>
      <c r="D25" s="279"/>
      <c r="E25" s="279"/>
      <c r="F25" s="288"/>
      <c r="G25" s="272"/>
      <c r="H25" s="272"/>
      <c r="I25" s="272"/>
      <c r="J25" s="26"/>
      <c r="K25" s="7"/>
    </row>
    <row r="26" spans="1:11" x14ac:dyDescent="0.2">
      <c r="A26" s="273"/>
      <c r="B26" s="279"/>
      <c r="C26" s="279"/>
      <c r="D26" s="279"/>
      <c r="E26" s="279"/>
      <c r="F26" s="273"/>
      <c r="G26" s="273"/>
      <c r="H26" s="273"/>
      <c r="I26" s="273"/>
      <c r="J26" s="89"/>
      <c r="K26" s="7"/>
    </row>
    <row r="27" spans="1:11" x14ac:dyDescent="0.2">
      <c r="A27" s="273"/>
      <c r="B27" s="279"/>
      <c r="C27" s="279"/>
      <c r="D27" s="279"/>
      <c r="E27" s="279"/>
      <c r="F27" s="288" t="s">
        <v>1708</v>
      </c>
      <c r="G27" s="337" t="s">
        <v>1672</v>
      </c>
      <c r="H27" s="272" t="s">
        <v>528</v>
      </c>
      <c r="I27" s="272"/>
      <c r="J27" s="26"/>
      <c r="K27" s="7"/>
    </row>
    <row r="28" spans="1:11" x14ac:dyDescent="0.2">
      <c r="A28" s="273"/>
      <c r="B28" s="279"/>
      <c r="C28" s="279"/>
      <c r="D28" s="279"/>
      <c r="E28" s="279"/>
      <c r="F28" s="288"/>
      <c r="G28" s="272"/>
      <c r="H28" s="272"/>
      <c r="I28" s="272"/>
      <c r="J28" s="26"/>
      <c r="K28" s="7"/>
    </row>
    <row r="29" spans="1:11" x14ac:dyDescent="0.2">
      <c r="A29" s="273"/>
      <c r="B29" s="279"/>
      <c r="C29" s="279"/>
      <c r="D29" s="279"/>
      <c r="E29" s="279"/>
      <c r="F29" s="273"/>
      <c r="G29" s="273"/>
      <c r="H29" s="273"/>
      <c r="I29" s="273"/>
      <c r="J29" s="89"/>
      <c r="K29" s="7"/>
    </row>
    <row r="30" spans="1:11" x14ac:dyDescent="0.2">
      <c r="A30" s="273"/>
      <c r="B30" s="279"/>
      <c r="C30" s="279"/>
      <c r="D30" s="279"/>
      <c r="E30" s="279"/>
      <c r="F30" s="288" t="s">
        <v>1709</v>
      </c>
      <c r="G30" s="337" t="s">
        <v>1674</v>
      </c>
      <c r="H30" s="272" t="s">
        <v>528</v>
      </c>
      <c r="I30" s="289"/>
      <c r="J30" s="39"/>
      <c r="K30" s="7"/>
    </row>
    <row r="31" spans="1:11" x14ac:dyDescent="0.2">
      <c r="A31" s="273"/>
      <c r="B31" s="279"/>
      <c r="C31" s="279"/>
      <c r="D31" s="279"/>
      <c r="E31" s="279"/>
      <c r="F31" s="288"/>
      <c r="G31" s="289"/>
      <c r="H31" s="272"/>
      <c r="I31" s="289"/>
      <c r="J31" s="39"/>
      <c r="K31" s="7"/>
    </row>
    <row r="32" spans="1:11" x14ac:dyDescent="0.2">
      <c r="A32" s="273"/>
      <c r="B32" s="279"/>
      <c r="C32" s="279"/>
      <c r="D32" s="279"/>
      <c r="E32" s="279"/>
      <c r="F32" s="273"/>
      <c r="G32" s="273"/>
      <c r="H32" s="273"/>
      <c r="I32" s="273"/>
      <c r="J32" s="89"/>
      <c r="K32" s="37"/>
    </row>
    <row r="33" spans="1:11" x14ac:dyDescent="0.2">
      <c r="A33" s="273"/>
      <c r="B33" s="279"/>
      <c r="C33" s="279"/>
      <c r="D33" s="279"/>
      <c r="E33" s="279"/>
      <c r="F33" s="288" t="s">
        <v>1710</v>
      </c>
      <c r="G33" s="337" t="s">
        <v>1675</v>
      </c>
      <c r="H33" s="272" t="s">
        <v>528</v>
      </c>
      <c r="I33" s="272"/>
      <c r="J33" s="26"/>
      <c r="K33" s="37"/>
    </row>
    <row r="34" spans="1:11" x14ac:dyDescent="0.2">
      <c r="A34" s="273"/>
      <c r="B34" s="279"/>
      <c r="C34" s="279"/>
      <c r="D34" s="279"/>
      <c r="E34" s="279"/>
      <c r="F34" s="288"/>
      <c r="G34" s="272"/>
      <c r="H34" s="272"/>
      <c r="I34" s="272"/>
      <c r="J34" s="26"/>
      <c r="K34" s="37"/>
    </row>
    <row r="35" spans="1:11" x14ac:dyDescent="0.2">
      <c r="A35" s="273"/>
      <c r="B35" s="279"/>
      <c r="C35" s="279"/>
      <c r="D35" s="279"/>
      <c r="E35" s="279"/>
      <c r="F35" s="273"/>
      <c r="G35" s="273"/>
      <c r="H35" s="273"/>
      <c r="I35" s="273"/>
      <c r="J35" s="89"/>
      <c r="K35" s="37"/>
    </row>
    <row r="36" spans="1:11" x14ac:dyDescent="0.25">
      <c r="A36" s="273"/>
      <c r="B36" s="279"/>
      <c r="C36" s="279"/>
      <c r="D36" s="279"/>
      <c r="E36" s="279"/>
      <c r="F36" s="288" t="s">
        <v>1711</v>
      </c>
      <c r="G36" s="272"/>
      <c r="H36" s="272"/>
      <c r="I36" s="272"/>
      <c r="J36" s="26"/>
      <c r="K36" s="104"/>
    </row>
    <row r="37" spans="1:11" x14ac:dyDescent="0.25">
      <c r="A37" s="273"/>
      <c r="B37" s="279"/>
      <c r="C37" s="279"/>
      <c r="D37" s="279"/>
      <c r="E37" s="279"/>
      <c r="F37" s="288"/>
      <c r="G37" s="272"/>
      <c r="H37" s="272"/>
      <c r="I37" s="272"/>
      <c r="J37" s="26"/>
      <c r="K37" s="104"/>
    </row>
    <row r="38" spans="1:11" x14ac:dyDescent="0.25">
      <c r="A38" s="273"/>
      <c r="B38" s="279"/>
      <c r="C38" s="279"/>
      <c r="D38" s="279"/>
      <c r="E38" s="279"/>
      <c r="F38" s="273"/>
      <c r="G38" s="273"/>
      <c r="H38" s="273"/>
      <c r="I38" s="273"/>
      <c r="J38" s="89"/>
      <c r="K38" s="33"/>
    </row>
    <row r="39" spans="1:11" x14ac:dyDescent="0.25">
      <c r="A39" s="276"/>
      <c r="B39" s="280" t="s">
        <v>1712</v>
      </c>
      <c r="C39" s="280" t="s">
        <v>554</v>
      </c>
      <c r="D39" s="280"/>
      <c r="E39" s="280"/>
      <c r="F39" s="288" t="s">
        <v>1713</v>
      </c>
      <c r="G39" s="337" t="s">
        <v>1673</v>
      </c>
      <c r="H39" s="272" t="s">
        <v>528</v>
      </c>
      <c r="I39" s="354" t="s">
        <v>4155</v>
      </c>
      <c r="J39" s="26"/>
      <c r="K39" s="33"/>
    </row>
    <row r="40" spans="1:11" x14ac:dyDescent="0.25">
      <c r="A40" s="276"/>
      <c r="B40" s="280"/>
      <c r="C40" s="280"/>
      <c r="D40" s="280"/>
      <c r="E40" s="280"/>
      <c r="F40" s="288"/>
      <c r="G40" s="272"/>
      <c r="H40" s="272"/>
      <c r="I40" s="272"/>
      <c r="J40" s="26"/>
      <c r="K40" s="33"/>
    </row>
    <row r="41" spans="1:11" x14ac:dyDescent="0.25">
      <c r="A41" s="276"/>
      <c r="B41" s="281"/>
      <c r="C41" s="281"/>
      <c r="D41" s="281"/>
      <c r="E41" s="281"/>
      <c r="F41" s="273"/>
      <c r="G41" s="273"/>
      <c r="H41" s="273"/>
      <c r="I41" s="273"/>
      <c r="J41" s="89"/>
      <c r="K41" s="33"/>
    </row>
    <row r="42" spans="1:11" x14ac:dyDescent="0.25">
      <c r="A42" s="276"/>
      <c r="B42" s="281"/>
      <c r="C42" s="281"/>
      <c r="D42" s="281"/>
      <c r="E42" s="281"/>
      <c r="F42" s="288" t="s">
        <v>1714</v>
      </c>
      <c r="G42" s="337" t="s">
        <v>1676</v>
      </c>
      <c r="H42" s="272" t="s">
        <v>528</v>
      </c>
      <c r="I42" s="354" t="s">
        <v>4154</v>
      </c>
      <c r="J42" s="26"/>
      <c r="K42" s="33"/>
    </row>
    <row r="43" spans="1:11" x14ac:dyDescent="0.25">
      <c r="A43" s="276"/>
      <c r="B43" s="281"/>
      <c r="C43" s="281"/>
      <c r="D43" s="281"/>
      <c r="E43" s="281"/>
      <c r="F43" s="288"/>
      <c r="G43" s="272"/>
      <c r="H43" s="272"/>
      <c r="I43" s="272"/>
      <c r="J43" s="26"/>
      <c r="K43" s="33"/>
    </row>
    <row r="44" spans="1:11" x14ac:dyDescent="0.25">
      <c r="A44" s="276"/>
      <c r="B44" s="281"/>
      <c r="C44" s="281"/>
      <c r="D44" s="281"/>
      <c r="E44" s="281"/>
      <c r="F44" s="273"/>
      <c r="G44" s="273"/>
      <c r="H44" s="273"/>
      <c r="I44" s="273"/>
      <c r="J44" s="89"/>
      <c r="K44" s="33"/>
    </row>
    <row r="45" spans="1:11" x14ac:dyDescent="0.25">
      <c r="A45" s="276"/>
      <c r="B45" s="281"/>
      <c r="C45" s="281"/>
      <c r="D45" s="281"/>
      <c r="E45" s="281"/>
      <c r="F45" s="288" t="s">
        <v>1715</v>
      </c>
      <c r="G45" s="337" t="s">
        <v>1677</v>
      </c>
      <c r="H45" s="272" t="s">
        <v>528</v>
      </c>
      <c r="I45" s="354" t="s">
        <v>4156</v>
      </c>
      <c r="J45" s="26"/>
      <c r="K45" s="33"/>
    </row>
    <row r="46" spans="1:11" x14ac:dyDescent="0.25">
      <c r="A46" s="276"/>
      <c r="B46" s="281"/>
      <c r="C46" s="281"/>
      <c r="D46" s="281"/>
      <c r="E46" s="281"/>
      <c r="F46" s="288"/>
      <c r="G46" s="272"/>
      <c r="H46" s="272"/>
      <c r="I46" s="272"/>
      <c r="J46" s="26"/>
      <c r="K46" s="33"/>
    </row>
    <row r="47" spans="1:11" x14ac:dyDescent="0.25">
      <c r="A47" s="276"/>
      <c r="B47" s="281"/>
      <c r="C47" s="281"/>
      <c r="D47" s="281"/>
      <c r="E47" s="281"/>
      <c r="F47" s="273"/>
      <c r="G47" s="273"/>
      <c r="H47" s="273"/>
      <c r="I47" s="273"/>
      <c r="J47" s="89"/>
      <c r="K47" s="33"/>
    </row>
    <row r="48" spans="1:11" x14ac:dyDescent="0.25">
      <c r="A48" s="276"/>
      <c r="B48" s="281"/>
      <c r="C48" s="281"/>
      <c r="D48" s="281"/>
      <c r="E48" s="281"/>
      <c r="F48" s="288" t="s">
        <v>1716</v>
      </c>
      <c r="G48" s="337" t="s">
        <v>1678</v>
      </c>
      <c r="H48" s="272" t="s">
        <v>511</v>
      </c>
      <c r="I48" s="354" t="s">
        <v>4153</v>
      </c>
      <c r="J48" s="26"/>
      <c r="K48" s="33"/>
    </row>
    <row r="49" spans="1:11" x14ac:dyDescent="0.25">
      <c r="A49" s="276"/>
      <c r="B49" s="281"/>
      <c r="C49" s="281"/>
      <c r="D49" s="281"/>
      <c r="E49" s="281"/>
      <c r="F49" s="288"/>
      <c r="G49" s="272"/>
      <c r="H49" s="272"/>
      <c r="I49" s="272"/>
      <c r="J49" s="26"/>
      <c r="K49" s="33"/>
    </row>
    <row r="50" spans="1:11" x14ac:dyDescent="0.25">
      <c r="A50" s="276"/>
      <c r="B50" s="281"/>
      <c r="C50" s="281"/>
      <c r="D50" s="281"/>
      <c r="E50" s="281"/>
      <c r="F50" s="273"/>
      <c r="G50" s="273"/>
      <c r="H50" s="273"/>
      <c r="I50" s="273"/>
      <c r="J50" s="89"/>
      <c r="K50" s="33"/>
    </row>
    <row r="51" spans="1:11" x14ac:dyDescent="0.25">
      <c r="A51" s="276"/>
      <c r="B51" s="281"/>
      <c r="C51" s="281"/>
      <c r="D51" s="281"/>
      <c r="E51" s="281"/>
      <c r="F51" s="288" t="s">
        <v>1717</v>
      </c>
      <c r="G51" s="272"/>
      <c r="H51" s="272"/>
      <c r="I51" s="272"/>
      <c r="J51" s="26"/>
      <c r="K51" s="33"/>
    </row>
    <row r="52" spans="1:11" x14ac:dyDescent="0.25">
      <c r="A52" s="276"/>
      <c r="B52" s="281"/>
      <c r="C52" s="281"/>
      <c r="D52" s="281"/>
      <c r="E52" s="281"/>
      <c r="F52" s="288"/>
      <c r="G52" s="272"/>
      <c r="H52" s="272"/>
      <c r="I52" s="272"/>
      <c r="J52" s="26"/>
      <c r="K52" s="33"/>
    </row>
    <row r="53" spans="1:11" x14ac:dyDescent="0.25">
      <c r="A53" s="276"/>
      <c r="B53" s="281"/>
      <c r="C53" s="281"/>
      <c r="D53" s="281"/>
      <c r="E53" s="281"/>
      <c r="F53" s="273"/>
      <c r="G53" s="273"/>
      <c r="H53" s="273"/>
      <c r="I53" s="273"/>
      <c r="J53" s="89"/>
      <c r="K53" s="33"/>
    </row>
    <row r="54" spans="1:11" x14ac:dyDescent="0.25">
      <c r="A54" s="276"/>
      <c r="B54" s="281"/>
      <c r="C54" s="281"/>
      <c r="D54" s="281"/>
      <c r="E54" s="281"/>
      <c r="F54" s="288" t="s">
        <v>1718</v>
      </c>
      <c r="G54" s="272"/>
      <c r="H54" s="272"/>
      <c r="I54" s="272"/>
      <c r="J54" s="26"/>
      <c r="K54" s="33"/>
    </row>
    <row r="55" spans="1:11" x14ac:dyDescent="0.25">
      <c r="A55" s="276"/>
      <c r="B55" s="281"/>
      <c r="C55" s="281"/>
      <c r="D55" s="281"/>
      <c r="E55" s="281"/>
      <c r="F55" s="288"/>
      <c r="G55" s="272"/>
      <c r="H55" s="272"/>
      <c r="I55" s="272"/>
      <c r="J55" s="26"/>
      <c r="K55" s="33"/>
    </row>
    <row r="56" spans="1:11" x14ac:dyDescent="0.25">
      <c r="A56" s="276"/>
      <c r="B56" s="281"/>
      <c r="C56" s="281"/>
      <c r="D56" s="281"/>
      <c r="E56" s="281"/>
      <c r="F56" s="273"/>
      <c r="G56" s="273"/>
      <c r="H56" s="273"/>
      <c r="I56" s="273"/>
      <c r="J56" s="89"/>
      <c r="K56" s="33"/>
    </row>
    <row r="57" spans="1:11" x14ac:dyDescent="0.25">
      <c r="A57" s="276"/>
      <c r="B57" s="282" t="s">
        <v>1719</v>
      </c>
      <c r="C57" s="347" t="s">
        <v>555</v>
      </c>
      <c r="D57" s="282"/>
      <c r="E57" s="282"/>
      <c r="F57" s="288" t="s">
        <v>1720</v>
      </c>
      <c r="G57" s="387" t="s">
        <v>4157</v>
      </c>
      <c r="H57" s="272"/>
      <c r="I57" s="272"/>
      <c r="J57" s="26"/>
      <c r="K57" s="33"/>
    </row>
    <row r="58" spans="1:11" x14ac:dyDescent="0.25">
      <c r="A58" s="276"/>
      <c r="B58" s="283"/>
      <c r="C58" s="283"/>
      <c r="D58" s="283"/>
      <c r="E58" s="283"/>
      <c r="F58" s="288"/>
      <c r="G58" s="388"/>
      <c r="H58" s="272"/>
      <c r="I58" s="272"/>
      <c r="J58" s="26"/>
      <c r="K58" s="33"/>
    </row>
    <row r="59" spans="1:11" x14ac:dyDescent="0.2">
      <c r="A59" s="276"/>
      <c r="B59" s="284"/>
      <c r="C59" s="284"/>
      <c r="D59" s="284"/>
      <c r="E59" s="284"/>
      <c r="F59" s="273"/>
      <c r="G59" s="389"/>
      <c r="H59" s="273"/>
      <c r="I59" s="273"/>
      <c r="J59" s="89"/>
      <c r="K59" s="34"/>
    </row>
    <row r="60" spans="1:11" x14ac:dyDescent="0.2">
      <c r="A60" s="276"/>
      <c r="B60" s="285"/>
      <c r="C60" s="285"/>
      <c r="D60" s="285"/>
      <c r="E60" s="285"/>
      <c r="F60" s="288" t="s">
        <v>1721</v>
      </c>
      <c r="G60" s="387" t="s">
        <v>4158</v>
      </c>
      <c r="H60" s="272"/>
      <c r="I60" s="272"/>
      <c r="J60" s="26"/>
      <c r="K60" s="34"/>
    </row>
    <row r="61" spans="1:11" x14ac:dyDescent="0.2">
      <c r="A61" s="276"/>
      <c r="B61" s="285"/>
      <c r="C61" s="285"/>
      <c r="D61" s="285"/>
      <c r="E61" s="285"/>
      <c r="F61" s="288"/>
      <c r="G61" s="388"/>
      <c r="H61" s="272"/>
      <c r="I61" s="272"/>
      <c r="J61" s="26"/>
      <c r="K61" s="34"/>
    </row>
    <row r="62" spans="1:11" x14ac:dyDescent="0.2">
      <c r="A62" s="276"/>
      <c r="B62" s="285"/>
      <c r="C62" s="285"/>
      <c r="D62" s="285"/>
      <c r="E62" s="285"/>
      <c r="F62" s="273"/>
      <c r="G62" s="389"/>
      <c r="H62" s="273"/>
      <c r="I62" s="273"/>
      <c r="J62" s="89"/>
      <c r="K62" s="34"/>
    </row>
    <row r="63" spans="1:11" x14ac:dyDescent="0.2">
      <c r="A63" s="276"/>
      <c r="B63" s="285"/>
      <c r="C63" s="285"/>
      <c r="D63" s="285"/>
      <c r="E63" s="285"/>
      <c r="F63" s="288" t="s">
        <v>1722</v>
      </c>
      <c r="G63" s="387" t="s">
        <v>4159</v>
      </c>
      <c r="H63" s="272"/>
      <c r="I63" s="272"/>
      <c r="J63" s="26"/>
      <c r="K63" s="34"/>
    </row>
    <row r="64" spans="1:11" x14ac:dyDescent="0.2">
      <c r="A64" s="276"/>
      <c r="B64" s="285"/>
      <c r="C64" s="285"/>
      <c r="D64" s="285"/>
      <c r="E64" s="285"/>
      <c r="F64" s="288"/>
      <c r="G64" s="388"/>
      <c r="H64" s="272"/>
      <c r="I64" s="272"/>
      <c r="J64" s="26"/>
      <c r="K64" s="34"/>
    </row>
    <row r="65" spans="1:11" x14ac:dyDescent="0.2">
      <c r="A65" s="276"/>
      <c r="B65" s="285"/>
      <c r="C65" s="285"/>
      <c r="D65" s="285"/>
      <c r="E65" s="285"/>
      <c r="F65" s="273"/>
      <c r="G65" s="389"/>
      <c r="H65" s="273"/>
      <c r="I65" s="273"/>
      <c r="J65" s="89"/>
      <c r="K65" s="34"/>
    </row>
    <row r="66" spans="1:11" x14ac:dyDescent="0.2">
      <c r="A66" s="276"/>
      <c r="B66" s="285"/>
      <c r="C66" s="285"/>
      <c r="D66" s="285"/>
      <c r="E66" s="285"/>
      <c r="F66" s="288" t="s">
        <v>1723</v>
      </c>
      <c r="G66" s="272"/>
      <c r="H66" s="272"/>
      <c r="I66" s="272"/>
      <c r="J66" s="26"/>
      <c r="K66" s="34"/>
    </row>
    <row r="67" spans="1:11" x14ac:dyDescent="0.2">
      <c r="A67" s="276"/>
      <c r="B67" s="285"/>
      <c r="C67" s="285"/>
      <c r="D67" s="285"/>
      <c r="E67" s="285"/>
      <c r="F67" s="288"/>
      <c r="G67" s="272"/>
      <c r="H67" s="272"/>
      <c r="I67" s="272"/>
      <c r="J67" s="26"/>
      <c r="K67" s="34"/>
    </row>
    <row r="68" spans="1:11" x14ac:dyDescent="0.2">
      <c r="A68" s="276"/>
      <c r="B68" s="285"/>
      <c r="C68" s="285"/>
      <c r="D68" s="285"/>
      <c r="E68" s="285"/>
      <c r="F68" s="273"/>
      <c r="G68" s="273"/>
      <c r="H68" s="273"/>
      <c r="I68" s="273"/>
      <c r="J68" s="89"/>
      <c r="K68" s="100"/>
    </row>
    <row r="69" spans="1:11" x14ac:dyDescent="0.2">
      <c r="A69" s="276"/>
      <c r="B69" s="285"/>
      <c r="C69" s="285"/>
      <c r="D69" s="285"/>
      <c r="E69" s="285"/>
      <c r="F69" s="288" t="s">
        <v>1724</v>
      </c>
      <c r="G69" s="272"/>
      <c r="H69" s="272"/>
      <c r="I69" s="272"/>
      <c r="J69" s="26"/>
      <c r="K69" s="100"/>
    </row>
    <row r="70" spans="1:11" x14ac:dyDescent="0.2">
      <c r="A70" s="276"/>
      <c r="B70" s="285"/>
      <c r="C70" s="285"/>
      <c r="D70" s="285"/>
      <c r="E70" s="285"/>
      <c r="F70" s="288"/>
      <c r="G70" s="272"/>
      <c r="H70" s="272"/>
      <c r="I70" s="272"/>
      <c r="J70" s="26"/>
      <c r="K70" s="100"/>
    </row>
    <row r="71" spans="1:11" x14ac:dyDescent="0.2">
      <c r="A71" s="276"/>
      <c r="B71" s="285"/>
      <c r="C71" s="285"/>
      <c r="D71" s="285"/>
      <c r="E71" s="285"/>
      <c r="F71" s="273"/>
      <c r="G71" s="273"/>
      <c r="H71" s="273"/>
      <c r="I71" s="273"/>
      <c r="J71" s="89"/>
      <c r="K71" s="37"/>
    </row>
    <row r="72" spans="1:11" x14ac:dyDescent="0.2">
      <c r="A72" s="276"/>
      <c r="B72" s="285"/>
      <c r="C72" s="285"/>
      <c r="D72" s="285"/>
      <c r="E72" s="285"/>
      <c r="F72" s="288" t="s">
        <v>1725</v>
      </c>
      <c r="G72" s="272"/>
      <c r="H72" s="272"/>
      <c r="I72" s="272"/>
      <c r="J72" s="26"/>
      <c r="K72" s="34"/>
    </row>
    <row r="73" spans="1:11" x14ac:dyDescent="0.2">
      <c r="A73" s="276"/>
      <c r="B73" s="285"/>
      <c r="C73" s="285"/>
      <c r="D73" s="285"/>
      <c r="E73" s="285"/>
      <c r="F73" s="288"/>
      <c r="G73" s="272"/>
      <c r="H73" s="272"/>
      <c r="I73" s="272"/>
      <c r="J73" s="26"/>
      <c r="K73" s="34"/>
    </row>
    <row r="74" spans="1:11" x14ac:dyDescent="0.2">
      <c r="A74" s="276"/>
      <c r="B74" s="285"/>
      <c r="C74" s="285"/>
      <c r="D74" s="285"/>
      <c r="E74" s="285"/>
      <c r="F74" s="273"/>
      <c r="G74" s="273"/>
      <c r="H74" s="273"/>
      <c r="I74" s="273"/>
      <c r="J74" s="89"/>
      <c r="K74" s="100"/>
    </row>
    <row r="75" spans="1:11" x14ac:dyDescent="0.25">
      <c r="A75" s="276"/>
      <c r="B75" s="282" t="s">
        <v>1726</v>
      </c>
      <c r="C75" s="282" t="s">
        <v>556</v>
      </c>
      <c r="D75" s="282"/>
      <c r="E75" s="282"/>
      <c r="F75" s="288" t="s">
        <v>1727</v>
      </c>
      <c r="G75" s="337" t="s">
        <v>1679</v>
      </c>
      <c r="H75" s="272" t="s">
        <v>528</v>
      </c>
      <c r="I75" s="272"/>
      <c r="J75" s="26"/>
      <c r="K75" s="33"/>
    </row>
    <row r="76" spans="1:11" x14ac:dyDescent="0.25">
      <c r="A76" s="276"/>
      <c r="B76" s="283"/>
      <c r="C76" s="283"/>
      <c r="D76" s="283"/>
      <c r="E76" s="283"/>
      <c r="F76" s="288"/>
      <c r="G76" s="272"/>
      <c r="H76" s="272"/>
      <c r="I76" s="272"/>
      <c r="J76" s="26"/>
      <c r="K76" s="33"/>
    </row>
    <row r="77" spans="1:11" x14ac:dyDescent="0.2">
      <c r="A77" s="276"/>
      <c r="B77" s="284"/>
      <c r="C77" s="284"/>
      <c r="D77" s="284"/>
      <c r="E77" s="284"/>
      <c r="F77" s="273"/>
      <c r="G77" s="273"/>
      <c r="H77" s="273"/>
      <c r="I77" s="273"/>
      <c r="J77" s="89"/>
      <c r="K77" s="34"/>
    </row>
    <row r="78" spans="1:11" x14ac:dyDescent="0.2">
      <c r="A78" s="276"/>
      <c r="B78" s="285"/>
      <c r="C78" s="285"/>
      <c r="D78" s="285"/>
      <c r="E78" s="285"/>
      <c r="F78" s="288" t="s">
        <v>1728</v>
      </c>
      <c r="G78" s="337" t="s">
        <v>1680</v>
      </c>
      <c r="H78" s="272" t="s">
        <v>528</v>
      </c>
      <c r="I78" s="272"/>
      <c r="J78" s="26"/>
      <c r="K78" s="34"/>
    </row>
    <row r="79" spans="1:11" x14ac:dyDescent="0.2">
      <c r="A79" s="276"/>
      <c r="B79" s="285"/>
      <c r="C79" s="285"/>
      <c r="D79" s="285"/>
      <c r="E79" s="285"/>
      <c r="F79" s="288"/>
      <c r="G79" s="272"/>
      <c r="H79" s="272"/>
      <c r="I79" s="272"/>
      <c r="J79" s="26"/>
      <c r="K79" s="34"/>
    </row>
    <row r="80" spans="1:11" x14ac:dyDescent="0.2">
      <c r="A80" s="276"/>
      <c r="B80" s="285"/>
      <c r="C80" s="285"/>
      <c r="D80" s="285"/>
      <c r="E80" s="285"/>
      <c r="F80" s="273"/>
      <c r="G80" s="273"/>
      <c r="H80" s="273"/>
      <c r="I80" s="273"/>
      <c r="J80" s="89"/>
      <c r="K80" s="34"/>
    </row>
    <row r="81" spans="1:11" x14ac:dyDescent="0.2">
      <c r="A81" s="276"/>
      <c r="B81" s="285"/>
      <c r="C81" s="285"/>
      <c r="D81" s="285"/>
      <c r="E81" s="285"/>
      <c r="F81" s="288" t="s">
        <v>1729</v>
      </c>
      <c r="G81" s="337" t="s">
        <v>1681</v>
      </c>
      <c r="H81" s="272" t="s">
        <v>528</v>
      </c>
      <c r="I81" s="272"/>
      <c r="J81" s="26"/>
      <c r="K81" s="34"/>
    </row>
    <row r="82" spans="1:11" x14ac:dyDescent="0.2">
      <c r="A82" s="276"/>
      <c r="B82" s="285"/>
      <c r="C82" s="285"/>
      <c r="D82" s="285"/>
      <c r="E82" s="285"/>
      <c r="F82" s="288"/>
      <c r="G82" s="272"/>
      <c r="H82" s="272"/>
      <c r="I82" s="272"/>
      <c r="J82" s="26"/>
      <c r="K82" s="34"/>
    </row>
    <row r="83" spans="1:11" x14ac:dyDescent="0.2">
      <c r="A83" s="276"/>
      <c r="B83" s="285"/>
      <c r="C83" s="285"/>
      <c r="D83" s="285"/>
      <c r="E83" s="285"/>
      <c r="F83" s="273"/>
      <c r="G83" s="273"/>
      <c r="H83" s="273"/>
      <c r="I83" s="273"/>
      <c r="J83" s="89"/>
      <c r="K83" s="34"/>
    </row>
    <row r="84" spans="1:11" x14ac:dyDescent="0.2">
      <c r="A84" s="276"/>
      <c r="B84" s="285"/>
      <c r="C84" s="285"/>
      <c r="D84" s="285"/>
      <c r="E84" s="285"/>
      <c r="F84" s="288" t="s">
        <v>1730</v>
      </c>
      <c r="G84" s="337" t="s">
        <v>1684</v>
      </c>
      <c r="H84" s="272" t="s">
        <v>528</v>
      </c>
      <c r="I84" s="272"/>
      <c r="J84" s="26"/>
      <c r="K84" s="34"/>
    </row>
    <row r="85" spans="1:11" x14ac:dyDescent="0.2">
      <c r="A85" s="276"/>
      <c r="B85" s="285"/>
      <c r="C85" s="285"/>
      <c r="D85" s="285"/>
      <c r="E85" s="285"/>
      <c r="F85" s="288"/>
      <c r="G85" s="272"/>
      <c r="H85" s="272"/>
      <c r="I85" s="272"/>
      <c r="J85" s="26"/>
      <c r="K85" s="34"/>
    </row>
    <row r="86" spans="1:11" x14ac:dyDescent="0.2">
      <c r="A86" s="276"/>
      <c r="B86" s="285"/>
      <c r="C86" s="285"/>
      <c r="D86" s="285"/>
      <c r="E86" s="285"/>
      <c r="F86" s="273"/>
      <c r="G86" s="273"/>
      <c r="H86" s="273"/>
      <c r="I86" s="273"/>
      <c r="J86" s="89"/>
      <c r="K86" s="100"/>
    </row>
    <row r="87" spans="1:11" ht="15" customHeight="1" x14ac:dyDescent="0.2">
      <c r="A87" s="276"/>
      <c r="B87" s="285"/>
      <c r="C87" s="285"/>
      <c r="D87" s="285"/>
      <c r="E87" s="285"/>
      <c r="F87" s="288" t="s">
        <v>1731</v>
      </c>
      <c r="G87" s="337" t="s">
        <v>1682</v>
      </c>
      <c r="H87" s="272" t="s">
        <v>528</v>
      </c>
      <c r="I87" s="272"/>
      <c r="J87" s="26"/>
      <c r="K87" s="100"/>
    </row>
    <row r="88" spans="1:11" x14ac:dyDescent="0.2">
      <c r="A88" s="276"/>
      <c r="B88" s="285"/>
      <c r="C88" s="285"/>
      <c r="D88" s="285"/>
      <c r="E88" s="285"/>
      <c r="F88" s="288"/>
      <c r="G88" s="272"/>
      <c r="H88" s="272"/>
      <c r="I88" s="272"/>
      <c r="J88" s="26"/>
      <c r="K88" s="100"/>
    </row>
    <row r="89" spans="1:11" x14ac:dyDescent="0.2">
      <c r="A89" s="276"/>
      <c r="B89" s="285"/>
      <c r="C89" s="285"/>
      <c r="D89" s="285"/>
      <c r="E89" s="285"/>
      <c r="F89" s="273"/>
      <c r="G89" s="273"/>
      <c r="H89" s="273"/>
      <c r="I89" s="273"/>
      <c r="J89" s="89"/>
      <c r="K89" s="37"/>
    </row>
    <row r="90" spans="1:11" ht="15" customHeight="1" x14ac:dyDescent="0.2">
      <c r="A90" s="276"/>
      <c r="B90" s="285"/>
      <c r="C90" s="285"/>
      <c r="D90" s="285"/>
      <c r="E90" s="285"/>
      <c r="F90" s="288" t="s">
        <v>1732</v>
      </c>
      <c r="G90" s="337" t="s">
        <v>1683</v>
      </c>
      <c r="H90" s="272" t="s">
        <v>528</v>
      </c>
      <c r="I90" s="272"/>
      <c r="J90" s="26"/>
      <c r="K90" s="34"/>
    </row>
    <row r="91" spans="1:11" x14ac:dyDescent="0.2">
      <c r="A91" s="276"/>
      <c r="B91" s="285"/>
      <c r="C91" s="285"/>
      <c r="D91" s="285"/>
      <c r="E91" s="285"/>
      <c r="F91" s="288"/>
      <c r="G91" s="272"/>
      <c r="H91" s="272"/>
      <c r="I91" s="272"/>
      <c r="J91" s="26"/>
      <c r="K91" s="34"/>
    </row>
    <row r="92" spans="1:11" x14ac:dyDescent="0.2">
      <c r="A92" s="276"/>
      <c r="B92" s="285"/>
      <c r="C92" s="285"/>
      <c r="D92" s="285"/>
      <c r="E92" s="285"/>
      <c r="F92" s="273"/>
      <c r="G92" s="273"/>
      <c r="H92" s="273"/>
      <c r="I92" s="273"/>
      <c r="J92" s="89"/>
      <c r="K92" s="100"/>
    </row>
    <row r="93" spans="1:11" x14ac:dyDescent="0.25">
      <c r="A93" s="276"/>
      <c r="B93" s="282" t="s">
        <v>557</v>
      </c>
      <c r="C93" s="347" t="s">
        <v>1690</v>
      </c>
      <c r="D93" s="282"/>
      <c r="E93" s="282"/>
      <c r="F93" s="288" t="s">
        <v>1733</v>
      </c>
      <c r="G93" s="337" t="s">
        <v>1685</v>
      </c>
      <c r="H93" s="272" t="s">
        <v>528</v>
      </c>
      <c r="I93" s="272"/>
      <c r="J93" s="26"/>
      <c r="K93" s="33"/>
    </row>
    <row r="94" spans="1:11" x14ac:dyDescent="0.25">
      <c r="A94" s="276"/>
      <c r="B94" s="283"/>
      <c r="C94" s="283"/>
      <c r="D94" s="283"/>
      <c r="E94" s="283"/>
      <c r="F94" s="288"/>
      <c r="G94" s="272"/>
      <c r="H94" s="272"/>
      <c r="I94" s="272"/>
      <c r="J94" s="26"/>
      <c r="K94" s="33"/>
    </row>
    <row r="95" spans="1:11" x14ac:dyDescent="0.2">
      <c r="A95" s="276"/>
      <c r="B95" s="284"/>
      <c r="C95" s="284"/>
      <c r="D95" s="284"/>
      <c r="E95" s="284"/>
      <c r="F95" s="273"/>
      <c r="G95" s="273"/>
      <c r="H95" s="273"/>
      <c r="I95" s="273"/>
      <c r="J95" s="89"/>
      <c r="K95" s="34"/>
    </row>
    <row r="96" spans="1:11" x14ac:dyDescent="0.2">
      <c r="A96" s="276"/>
      <c r="B96" s="285"/>
      <c r="C96" s="285"/>
      <c r="D96" s="285"/>
      <c r="E96" s="285"/>
      <c r="F96" s="288" t="s">
        <v>1734</v>
      </c>
      <c r="G96" s="337" t="s">
        <v>1686</v>
      </c>
      <c r="H96" s="272" t="s">
        <v>528</v>
      </c>
      <c r="I96" s="272"/>
      <c r="J96" s="26"/>
      <c r="K96" s="34"/>
    </row>
    <row r="97" spans="1:11" x14ac:dyDescent="0.2">
      <c r="A97" s="276"/>
      <c r="B97" s="285"/>
      <c r="C97" s="285"/>
      <c r="D97" s="285"/>
      <c r="E97" s="285"/>
      <c r="F97" s="288"/>
      <c r="G97" s="272"/>
      <c r="H97" s="272"/>
      <c r="I97" s="272"/>
      <c r="J97" s="26"/>
      <c r="K97" s="34"/>
    </row>
    <row r="98" spans="1:11" x14ac:dyDescent="0.2">
      <c r="A98" s="276"/>
      <c r="B98" s="285"/>
      <c r="C98" s="285"/>
      <c r="D98" s="285"/>
      <c r="E98" s="285"/>
      <c r="F98" s="273"/>
      <c r="G98" s="273"/>
      <c r="H98" s="273"/>
      <c r="I98" s="273"/>
      <c r="J98" s="89"/>
      <c r="K98" s="34"/>
    </row>
    <row r="99" spans="1:11" x14ac:dyDescent="0.2">
      <c r="A99" s="276"/>
      <c r="B99" s="285"/>
      <c r="C99" s="285"/>
      <c r="D99" s="285"/>
      <c r="E99" s="285"/>
      <c r="F99" s="288" t="s">
        <v>1735</v>
      </c>
      <c r="G99" s="337" t="s">
        <v>1687</v>
      </c>
      <c r="H99" s="272" t="s">
        <v>528</v>
      </c>
      <c r="I99" s="272"/>
      <c r="J99" s="26"/>
      <c r="K99" s="34"/>
    </row>
    <row r="100" spans="1:1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x14ac:dyDescent="0.2">
      <c r="A102" s="276"/>
      <c r="B102" s="285"/>
      <c r="C102" s="285"/>
      <c r="D102" s="285"/>
      <c r="E102" s="285"/>
      <c r="F102" s="288" t="s">
        <v>1736</v>
      </c>
      <c r="G102" s="337" t="s">
        <v>1688</v>
      </c>
      <c r="H102" s="272" t="s">
        <v>528</v>
      </c>
      <c r="I102" s="354" t="s">
        <v>4160</v>
      </c>
      <c r="J102" s="26"/>
      <c r="K102" s="34"/>
    </row>
    <row r="103" spans="1:1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100"/>
    </row>
    <row r="105" spans="1:11" x14ac:dyDescent="0.2">
      <c r="A105" s="276"/>
      <c r="B105" s="285"/>
      <c r="C105" s="285"/>
      <c r="D105" s="285"/>
      <c r="E105" s="285"/>
      <c r="F105" s="288" t="s">
        <v>1737</v>
      </c>
      <c r="G105" s="337" t="s">
        <v>1689</v>
      </c>
      <c r="H105" s="272" t="s">
        <v>528</v>
      </c>
      <c r="I105" s="272"/>
      <c r="J105" s="26"/>
      <c r="K105" s="100"/>
    </row>
    <row r="106" spans="1:11" x14ac:dyDescent="0.2">
      <c r="A106" s="276"/>
      <c r="B106" s="285"/>
      <c r="C106" s="285"/>
      <c r="D106" s="285"/>
      <c r="E106" s="285"/>
      <c r="F106" s="288"/>
      <c r="G106" s="272"/>
      <c r="H106" s="272"/>
      <c r="I106" s="272"/>
      <c r="J106" s="26"/>
      <c r="K106" s="100"/>
    </row>
    <row r="107" spans="1:11" x14ac:dyDescent="0.2">
      <c r="A107" s="276"/>
      <c r="B107" s="285"/>
      <c r="C107" s="285"/>
      <c r="D107" s="285"/>
      <c r="E107" s="285"/>
      <c r="F107" s="273"/>
      <c r="G107" s="273"/>
      <c r="H107" s="273"/>
      <c r="I107" s="273"/>
      <c r="J107" s="89"/>
      <c r="K107" s="37"/>
    </row>
    <row r="108" spans="1:11" x14ac:dyDescent="0.2">
      <c r="A108" s="276"/>
      <c r="B108" s="285"/>
      <c r="C108" s="285"/>
      <c r="D108" s="285"/>
      <c r="E108" s="285"/>
      <c r="F108" s="288" t="s">
        <v>1738</v>
      </c>
      <c r="G108" s="272"/>
      <c r="H108" s="272"/>
      <c r="I108" s="272"/>
      <c r="J108" s="26"/>
      <c r="K108" s="34"/>
    </row>
    <row r="109" spans="1:1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x14ac:dyDescent="0.25">
      <c r="A111" s="276"/>
      <c r="B111" s="282" t="s">
        <v>558</v>
      </c>
      <c r="C111" s="282"/>
      <c r="D111" s="282"/>
      <c r="E111" s="282"/>
      <c r="F111" s="288" t="s">
        <v>1739</v>
      </c>
      <c r="G111" s="272"/>
      <c r="H111" s="272"/>
      <c r="I111" s="272"/>
      <c r="J111" s="26"/>
      <c r="K111" s="33"/>
    </row>
    <row r="112" spans="1:11" x14ac:dyDescent="0.25">
      <c r="A112" s="276"/>
      <c r="B112" s="283"/>
      <c r="C112" s="283"/>
      <c r="D112" s="283"/>
      <c r="E112" s="283"/>
      <c r="F112" s="288"/>
      <c r="G112" s="272"/>
      <c r="H112" s="272"/>
      <c r="I112" s="272"/>
      <c r="J112" s="26"/>
      <c r="K112" s="33"/>
    </row>
    <row r="113" spans="1:11" x14ac:dyDescent="0.2">
      <c r="A113" s="276"/>
      <c r="B113" s="284"/>
      <c r="C113" s="284"/>
      <c r="D113" s="284"/>
      <c r="E113" s="284"/>
      <c r="F113" s="273"/>
      <c r="G113" s="273"/>
      <c r="H113" s="273"/>
      <c r="I113" s="273"/>
      <c r="J113" s="89"/>
      <c r="K113" s="34"/>
    </row>
    <row r="114" spans="1:11" x14ac:dyDescent="0.2">
      <c r="A114" s="276"/>
      <c r="B114" s="285"/>
      <c r="C114" s="285"/>
      <c r="D114" s="285"/>
      <c r="E114" s="285"/>
      <c r="F114" s="288" t="s">
        <v>1740</v>
      </c>
      <c r="G114" s="272"/>
      <c r="H114" s="272"/>
      <c r="I114" s="272"/>
      <c r="J114" s="26"/>
      <c r="K114" s="34"/>
    </row>
    <row r="115" spans="1:1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34"/>
    </row>
    <row r="117" spans="1:11" x14ac:dyDescent="0.2">
      <c r="A117" s="276"/>
      <c r="B117" s="285"/>
      <c r="C117" s="285"/>
      <c r="D117" s="285"/>
      <c r="E117" s="285"/>
      <c r="F117" s="288" t="s">
        <v>1741</v>
      </c>
      <c r="G117" s="272"/>
      <c r="H117" s="272"/>
      <c r="I117" s="272"/>
      <c r="J117" s="26"/>
      <c r="K117" s="34"/>
    </row>
    <row r="118" spans="1:11" x14ac:dyDescent="0.2">
      <c r="A118" s="276"/>
      <c r="B118" s="285"/>
      <c r="C118" s="285"/>
      <c r="D118" s="285"/>
      <c r="E118" s="285"/>
      <c r="F118" s="288"/>
      <c r="G118" s="272"/>
      <c r="H118" s="272"/>
      <c r="I118" s="272"/>
      <c r="J118" s="26"/>
      <c r="K118" s="34"/>
    </row>
    <row r="119" spans="1:11" x14ac:dyDescent="0.2">
      <c r="A119" s="276"/>
      <c r="B119" s="285"/>
      <c r="C119" s="285"/>
      <c r="D119" s="285"/>
      <c r="E119" s="285"/>
      <c r="F119" s="273"/>
      <c r="G119" s="273"/>
      <c r="H119" s="273"/>
      <c r="I119" s="273"/>
      <c r="J119" s="89"/>
      <c r="K119" s="34"/>
    </row>
    <row r="120" spans="1:11" x14ac:dyDescent="0.2">
      <c r="A120" s="276"/>
      <c r="B120" s="285"/>
      <c r="C120" s="285"/>
      <c r="D120" s="285"/>
      <c r="E120" s="285"/>
      <c r="F120" s="288" t="s">
        <v>1742</v>
      </c>
      <c r="G120" s="272"/>
      <c r="H120" s="272"/>
      <c r="I120" s="272"/>
      <c r="J120" s="26"/>
      <c r="K120" s="34"/>
    </row>
    <row r="121" spans="1:1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100"/>
    </row>
    <row r="123" spans="1:11" x14ac:dyDescent="0.2">
      <c r="A123" s="276"/>
      <c r="B123" s="285"/>
      <c r="C123" s="285"/>
      <c r="D123" s="285"/>
      <c r="E123" s="285"/>
      <c r="F123" s="288" t="s">
        <v>1743</v>
      </c>
      <c r="G123" s="272"/>
      <c r="H123" s="272"/>
      <c r="I123" s="272"/>
      <c r="J123" s="26"/>
      <c r="K123" s="100"/>
    </row>
    <row r="124" spans="1:11" x14ac:dyDescent="0.2">
      <c r="A124" s="276"/>
      <c r="B124" s="285"/>
      <c r="C124" s="285"/>
      <c r="D124" s="285"/>
      <c r="E124" s="285"/>
      <c r="F124" s="288"/>
      <c r="G124" s="272"/>
      <c r="H124" s="272"/>
      <c r="I124" s="272"/>
      <c r="J124" s="26"/>
      <c r="K124" s="100"/>
    </row>
    <row r="125" spans="1:11" x14ac:dyDescent="0.2">
      <c r="A125" s="276"/>
      <c r="B125" s="285"/>
      <c r="C125" s="285"/>
      <c r="D125" s="285"/>
      <c r="E125" s="285"/>
      <c r="F125" s="273"/>
      <c r="G125" s="273"/>
      <c r="H125" s="273"/>
      <c r="I125" s="273"/>
      <c r="J125" s="89"/>
      <c r="K125" s="37"/>
    </row>
    <row r="126" spans="1:11" x14ac:dyDescent="0.2">
      <c r="A126" s="276"/>
      <c r="B126" s="285"/>
      <c r="C126" s="285"/>
      <c r="D126" s="285"/>
      <c r="E126" s="285"/>
      <c r="F126" s="288" t="s">
        <v>1744</v>
      </c>
      <c r="G126" s="272"/>
      <c r="H126" s="272"/>
      <c r="I126" s="272"/>
      <c r="J126" s="26"/>
      <c r="K126" s="34"/>
    </row>
    <row r="127" spans="1:1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x14ac:dyDescent="0.2">
      <c r="A129" s="276"/>
      <c r="B129" s="275" t="s">
        <v>1745</v>
      </c>
      <c r="C129" s="286"/>
      <c r="D129" s="286"/>
      <c r="E129" s="286"/>
      <c r="F129" s="288" t="s">
        <v>1746</v>
      </c>
      <c r="G129" s="272"/>
      <c r="H129" s="272"/>
      <c r="I129" s="272"/>
      <c r="J129" s="26"/>
      <c r="K129" s="37"/>
    </row>
    <row r="130" spans="1:11" x14ac:dyDescent="0.2">
      <c r="A130" s="276"/>
      <c r="B130" s="287"/>
      <c r="C130" s="287"/>
      <c r="D130" s="287"/>
      <c r="E130" s="287"/>
      <c r="F130" s="274"/>
      <c r="G130" s="274"/>
      <c r="H130" s="272"/>
      <c r="I130" s="274"/>
      <c r="J130" s="91"/>
      <c r="K130" s="37"/>
    </row>
    <row r="131" spans="1:11" x14ac:dyDescent="0.2">
      <c r="A131" s="276"/>
      <c r="B131" s="276"/>
      <c r="C131" s="276"/>
      <c r="D131" s="276"/>
      <c r="E131" s="276"/>
      <c r="F131" s="273"/>
      <c r="G131" s="273"/>
      <c r="H131" s="273"/>
      <c r="I131" s="273"/>
      <c r="J131" s="89"/>
      <c r="K131" s="37"/>
    </row>
    <row r="132" spans="1:11" x14ac:dyDescent="0.2">
      <c r="A132" s="276"/>
      <c r="B132" s="276"/>
      <c r="C132" s="276"/>
      <c r="D132" s="276"/>
      <c r="E132" s="276"/>
      <c r="F132" s="288" t="s">
        <v>1747</v>
      </c>
      <c r="G132" s="272"/>
      <c r="H132" s="272"/>
      <c r="I132" s="272"/>
      <c r="J132" s="26"/>
      <c r="K132" s="7"/>
    </row>
    <row r="133" spans="1:11" x14ac:dyDescent="0.2">
      <c r="A133" s="276"/>
      <c r="B133" s="276"/>
      <c r="C133" s="276"/>
      <c r="D133" s="276"/>
      <c r="E133" s="276"/>
      <c r="F133" s="274"/>
      <c r="G133" s="274"/>
      <c r="H133" s="272"/>
      <c r="I133" s="274"/>
      <c r="J133" s="91"/>
      <c r="K133" s="7"/>
    </row>
    <row r="134" spans="1:11" x14ac:dyDescent="0.2">
      <c r="A134" s="276"/>
      <c r="B134" s="276"/>
      <c r="C134" s="276"/>
      <c r="D134" s="276"/>
      <c r="E134" s="276"/>
      <c r="F134" s="273"/>
      <c r="G134" s="273"/>
      <c r="H134" s="273"/>
      <c r="I134" s="273"/>
      <c r="J134" s="89"/>
      <c r="K134" s="7"/>
    </row>
    <row r="135" spans="1:11" x14ac:dyDescent="0.2">
      <c r="A135" s="276"/>
      <c r="B135" s="276"/>
      <c r="C135" s="276"/>
      <c r="D135" s="276"/>
      <c r="E135" s="276"/>
      <c r="F135" s="288" t="s">
        <v>1748</v>
      </c>
      <c r="G135" s="272"/>
      <c r="H135" s="272"/>
      <c r="I135" s="272"/>
      <c r="J135" s="26"/>
      <c r="K135" s="7"/>
    </row>
    <row r="136" spans="1:11" x14ac:dyDescent="0.2">
      <c r="A136" s="276"/>
      <c r="B136" s="276"/>
      <c r="C136" s="276"/>
      <c r="D136" s="276"/>
      <c r="E136" s="276"/>
      <c r="F136" s="274"/>
      <c r="G136" s="274"/>
      <c r="H136" s="272"/>
      <c r="I136" s="274"/>
      <c r="J136" s="91"/>
      <c r="K136" s="7"/>
    </row>
    <row r="137" spans="1:11" x14ac:dyDescent="0.2">
      <c r="A137" s="276"/>
      <c r="B137" s="276"/>
      <c r="C137" s="276"/>
      <c r="D137" s="276"/>
      <c r="E137" s="276"/>
      <c r="F137" s="273"/>
      <c r="G137" s="273"/>
      <c r="H137" s="273"/>
      <c r="I137" s="273"/>
      <c r="J137" s="89"/>
      <c r="K137" s="7"/>
    </row>
    <row r="138" spans="1:11" x14ac:dyDescent="0.2">
      <c r="A138" s="276"/>
      <c r="B138" s="276"/>
      <c r="C138" s="276"/>
      <c r="D138" s="276"/>
      <c r="E138" s="276"/>
      <c r="F138" s="288" t="s">
        <v>1749</v>
      </c>
      <c r="G138" s="272"/>
      <c r="H138" s="272"/>
      <c r="I138" s="272"/>
      <c r="J138" s="26"/>
      <c r="K138" s="6"/>
    </row>
    <row r="139" spans="1:11" x14ac:dyDescent="0.2">
      <c r="A139" s="276"/>
      <c r="B139" s="276"/>
      <c r="C139" s="276"/>
      <c r="D139" s="276"/>
      <c r="E139" s="276"/>
      <c r="F139" s="274"/>
      <c r="G139" s="274"/>
      <c r="H139" s="272"/>
      <c r="I139" s="274"/>
      <c r="J139" s="91"/>
      <c r="K139" s="7"/>
    </row>
    <row r="140" spans="1:11" x14ac:dyDescent="0.2">
      <c r="A140" s="276"/>
      <c r="B140" s="276"/>
      <c r="C140" s="276"/>
      <c r="D140" s="276"/>
      <c r="E140" s="276"/>
      <c r="F140" s="273"/>
      <c r="G140" s="273"/>
      <c r="H140" s="273"/>
      <c r="I140" s="273"/>
      <c r="J140" s="89"/>
      <c r="K140" s="7"/>
    </row>
    <row r="141" spans="1:11" x14ac:dyDescent="0.2">
      <c r="A141" s="276"/>
      <c r="B141" s="276"/>
      <c r="C141" s="276"/>
      <c r="D141" s="276"/>
      <c r="E141" s="276"/>
      <c r="F141" s="288" t="s">
        <v>1750</v>
      </c>
      <c r="G141" s="272"/>
      <c r="H141" s="272"/>
      <c r="I141" s="272"/>
      <c r="J141" s="26"/>
      <c r="K141" s="6"/>
    </row>
    <row r="142" spans="1:11" x14ac:dyDescent="0.2">
      <c r="A142" s="276"/>
      <c r="B142" s="276"/>
      <c r="C142" s="276"/>
      <c r="D142" s="276"/>
      <c r="E142" s="276"/>
      <c r="F142" s="274"/>
      <c r="G142" s="274"/>
      <c r="H142" s="272"/>
      <c r="I142" s="274"/>
      <c r="J142" s="91"/>
      <c r="K142" s="7"/>
    </row>
    <row r="143" spans="1:11" x14ac:dyDescent="0.2">
      <c r="A143" s="276"/>
      <c r="B143" s="276"/>
      <c r="C143" s="276"/>
      <c r="D143" s="276"/>
      <c r="E143" s="276"/>
      <c r="F143" s="273"/>
      <c r="G143" s="273"/>
      <c r="H143" s="273"/>
      <c r="I143" s="273"/>
      <c r="J143" s="89"/>
      <c r="K143" s="7"/>
    </row>
    <row r="144" spans="1:11" x14ac:dyDescent="0.2">
      <c r="A144" s="276"/>
      <c r="B144" s="276"/>
      <c r="C144" s="276"/>
      <c r="D144" s="276"/>
      <c r="E144" s="276"/>
      <c r="F144" s="288" t="s">
        <v>1751</v>
      </c>
      <c r="G144" s="272"/>
      <c r="H144" s="272"/>
      <c r="I144" s="272"/>
      <c r="J144" s="26"/>
      <c r="K144" s="6"/>
    </row>
    <row r="145" spans="1:11" x14ac:dyDescent="0.2">
      <c r="A145" s="276"/>
      <c r="B145" s="276"/>
      <c r="C145" s="276"/>
      <c r="D145" s="276"/>
      <c r="E145" s="276"/>
      <c r="F145" s="274"/>
      <c r="G145" s="274"/>
      <c r="H145" s="272"/>
      <c r="I145" s="274"/>
      <c r="J145" s="91"/>
      <c r="K145" s="7"/>
    </row>
    <row r="146" spans="1:11" x14ac:dyDescent="0.2">
      <c r="A146" s="276"/>
      <c r="B146" s="276"/>
      <c r="C146" s="276"/>
      <c r="D146" s="276"/>
      <c r="E146" s="276"/>
      <c r="F146" s="273"/>
      <c r="G146" s="273"/>
      <c r="H146" s="273"/>
      <c r="I146" s="273"/>
      <c r="J146" s="89"/>
      <c r="K146" s="7"/>
    </row>
    <row r="157" spans="1:11" x14ac:dyDescent="0.2">
      <c r="E157" s="92" t="s">
        <v>528</v>
      </c>
    </row>
    <row r="158" spans="1:11" x14ac:dyDescent="0.2">
      <c r="E158" s="92" t="s">
        <v>511</v>
      </c>
    </row>
    <row r="159" spans="1:11" x14ac:dyDescent="0.2">
      <c r="E159" s="92" t="s">
        <v>515</v>
      </c>
    </row>
    <row r="160" spans="1:11" x14ac:dyDescent="0.2">
      <c r="E160" s="92" t="s">
        <v>505</v>
      </c>
    </row>
    <row r="161" spans="5:5" x14ac:dyDescent="0.2">
      <c r="E161" s="92" t="s">
        <v>507</v>
      </c>
    </row>
  </sheetData>
  <mergeCells count="225">
    <mergeCell ref="H141:H143"/>
    <mergeCell ref="I141:I143"/>
    <mergeCell ref="F144:F146"/>
    <mergeCell ref="G144:G146"/>
    <mergeCell ref="H144:H146"/>
    <mergeCell ref="I144:I146"/>
    <mergeCell ref="H135:H137"/>
    <mergeCell ref="I135:I137"/>
    <mergeCell ref="F138:F140"/>
    <mergeCell ref="G138:G140"/>
    <mergeCell ref="H138:H140"/>
    <mergeCell ref="I138:I140"/>
    <mergeCell ref="B129:B146"/>
    <mergeCell ref="C129:C146"/>
    <mergeCell ref="D129:D146"/>
    <mergeCell ref="E129:E146"/>
    <mergeCell ref="F129:F131"/>
    <mergeCell ref="G129:G131"/>
    <mergeCell ref="F135:F137"/>
    <mergeCell ref="G135:G137"/>
    <mergeCell ref="F141:F143"/>
    <mergeCell ref="G141:G143"/>
    <mergeCell ref="F120:F122"/>
    <mergeCell ref="G120:G122"/>
    <mergeCell ref="H120:H122"/>
    <mergeCell ref="I120:I122"/>
    <mergeCell ref="H129:H131"/>
    <mergeCell ref="I129:I131"/>
    <mergeCell ref="F132:F134"/>
    <mergeCell ref="G132:G134"/>
    <mergeCell ref="H132:H134"/>
    <mergeCell ref="I132:I134"/>
    <mergeCell ref="H111:H113"/>
    <mergeCell ref="I111:I113"/>
    <mergeCell ref="F114:F116"/>
    <mergeCell ref="G114:G116"/>
    <mergeCell ref="H114:H116"/>
    <mergeCell ref="I114:I116"/>
    <mergeCell ref="B111:B128"/>
    <mergeCell ref="C111:C128"/>
    <mergeCell ref="D111:D128"/>
    <mergeCell ref="E111:E128"/>
    <mergeCell ref="F111:F113"/>
    <mergeCell ref="G111:G113"/>
    <mergeCell ref="F117:F119"/>
    <mergeCell ref="G117:G119"/>
    <mergeCell ref="F123:F125"/>
    <mergeCell ref="G123:G125"/>
    <mergeCell ref="H123:H125"/>
    <mergeCell ref="I123:I125"/>
    <mergeCell ref="F126:F128"/>
    <mergeCell ref="G126:G128"/>
    <mergeCell ref="H126:H128"/>
    <mergeCell ref="I126:I128"/>
    <mergeCell ref="H117:H119"/>
    <mergeCell ref="I117:I119"/>
    <mergeCell ref="H105:H107"/>
    <mergeCell ref="I105:I107"/>
    <mergeCell ref="F108:F110"/>
    <mergeCell ref="G108:G110"/>
    <mergeCell ref="H108:H110"/>
    <mergeCell ref="I108:I110"/>
    <mergeCell ref="H99:H101"/>
    <mergeCell ref="I99:I101"/>
    <mergeCell ref="F102:F104"/>
    <mergeCell ref="G102:G104"/>
    <mergeCell ref="H102:H104"/>
    <mergeCell ref="I102:I104"/>
    <mergeCell ref="B93:B110"/>
    <mergeCell ref="C93:C110"/>
    <mergeCell ref="D93:D110"/>
    <mergeCell ref="E93:E110"/>
    <mergeCell ref="F93:F95"/>
    <mergeCell ref="G93:G95"/>
    <mergeCell ref="F99:F101"/>
    <mergeCell ref="G99:G101"/>
    <mergeCell ref="F105:F107"/>
    <mergeCell ref="G105:G107"/>
    <mergeCell ref="F84:F86"/>
    <mergeCell ref="G84:G86"/>
    <mergeCell ref="H84:H86"/>
    <mergeCell ref="I84:I86"/>
    <mergeCell ref="H93:H95"/>
    <mergeCell ref="I93:I95"/>
    <mergeCell ref="F96:F98"/>
    <mergeCell ref="G96:G98"/>
    <mergeCell ref="H96:H98"/>
    <mergeCell ref="I96:I98"/>
    <mergeCell ref="H75:H77"/>
    <mergeCell ref="I75:I77"/>
    <mergeCell ref="F78:F80"/>
    <mergeCell ref="G78:G80"/>
    <mergeCell ref="H78:H80"/>
    <mergeCell ref="I78:I80"/>
    <mergeCell ref="B75:B92"/>
    <mergeCell ref="C75:C92"/>
    <mergeCell ref="D75:D92"/>
    <mergeCell ref="E75:E92"/>
    <mergeCell ref="F75:F77"/>
    <mergeCell ref="G75:G77"/>
    <mergeCell ref="F81:F83"/>
    <mergeCell ref="G81:G83"/>
    <mergeCell ref="F87:F89"/>
    <mergeCell ref="G87:G89"/>
    <mergeCell ref="H87:H89"/>
    <mergeCell ref="I87:I89"/>
    <mergeCell ref="F90:F92"/>
    <mergeCell ref="G90:G92"/>
    <mergeCell ref="H90:H92"/>
    <mergeCell ref="I90:I92"/>
    <mergeCell ref="H81:H83"/>
    <mergeCell ref="I81:I83"/>
    <mergeCell ref="H69:H71"/>
    <mergeCell ref="I69:I71"/>
    <mergeCell ref="F72:F74"/>
    <mergeCell ref="G72:G74"/>
    <mergeCell ref="H72:H74"/>
    <mergeCell ref="I72:I74"/>
    <mergeCell ref="H63:H65"/>
    <mergeCell ref="I63:I65"/>
    <mergeCell ref="F66:F68"/>
    <mergeCell ref="G66:G68"/>
    <mergeCell ref="H66:H68"/>
    <mergeCell ref="I66:I68"/>
    <mergeCell ref="B57:B74"/>
    <mergeCell ref="C57:C74"/>
    <mergeCell ref="D57:D74"/>
    <mergeCell ref="E57:E74"/>
    <mergeCell ref="F57:F59"/>
    <mergeCell ref="G57:G59"/>
    <mergeCell ref="F63:F65"/>
    <mergeCell ref="G63:G65"/>
    <mergeCell ref="F69:F71"/>
    <mergeCell ref="G69:G71"/>
    <mergeCell ref="F48:F50"/>
    <mergeCell ref="G48:G50"/>
    <mergeCell ref="H48:H50"/>
    <mergeCell ref="I48:I50"/>
    <mergeCell ref="H57:H59"/>
    <mergeCell ref="I57:I59"/>
    <mergeCell ref="F60:F62"/>
    <mergeCell ref="G60:G62"/>
    <mergeCell ref="H60:H62"/>
    <mergeCell ref="I60:I62"/>
    <mergeCell ref="H39:H41"/>
    <mergeCell ref="I39:I41"/>
    <mergeCell ref="F42:F44"/>
    <mergeCell ref="G42:G44"/>
    <mergeCell ref="H42:H44"/>
    <mergeCell ref="I42:I44"/>
    <mergeCell ref="B39:B56"/>
    <mergeCell ref="C39:C56"/>
    <mergeCell ref="D39:D56"/>
    <mergeCell ref="E39:E56"/>
    <mergeCell ref="F39:F41"/>
    <mergeCell ref="G39:G41"/>
    <mergeCell ref="F45:F47"/>
    <mergeCell ref="G45:G47"/>
    <mergeCell ref="F51:F53"/>
    <mergeCell ref="G51:G53"/>
    <mergeCell ref="H51:H53"/>
    <mergeCell ref="I51:I53"/>
    <mergeCell ref="F54:F56"/>
    <mergeCell ref="G54:G56"/>
    <mergeCell ref="H54:H56"/>
    <mergeCell ref="I54:I56"/>
    <mergeCell ref="H45:H47"/>
    <mergeCell ref="I45:I47"/>
    <mergeCell ref="I36:I38"/>
    <mergeCell ref="F27:F29"/>
    <mergeCell ref="G27:G29"/>
    <mergeCell ref="H27:H29"/>
    <mergeCell ref="I27:I29"/>
    <mergeCell ref="F30:F32"/>
    <mergeCell ref="G30:G32"/>
    <mergeCell ref="H30:H32"/>
    <mergeCell ref="I30:I32"/>
    <mergeCell ref="G9:G11"/>
    <mergeCell ref="H9:H11"/>
    <mergeCell ref="I9:I11"/>
    <mergeCell ref="F12:F14"/>
    <mergeCell ref="G12:G14"/>
    <mergeCell ref="H12:H14"/>
    <mergeCell ref="I12:I14"/>
    <mergeCell ref="D21:D38"/>
    <mergeCell ref="E21:E38"/>
    <mergeCell ref="F21:F23"/>
    <mergeCell ref="G21:G23"/>
    <mergeCell ref="H21:H23"/>
    <mergeCell ref="I21:I23"/>
    <mergeCell ref="F24:F26"/>
    <mergeCell ref="G24:G26"/>
    <mergeCell ref="H24:H26"/>
    <mergeCell ref="I24:I26"/>
    <mergeCell ref="F33:F35"/>
    <mergeCell ref="G33:G35"/>
    <mergeCell ref="H33:H35"/>
    <mergeCell ref="I33:I35"/>
    <mergeCell ref="F36:F38"/>
    <mergeCell ref="G36:G38"/>
    <mergeCell ref="H36:H38"/>
    <mergeCell ref="G3:G5"/>
    <mergeCell ref="H3:H5"/>
    <mergeCell ref="I3:I5"/>
    <mergeCell ref="F6:F8"/>
    <mergeCell ref="G6:G8"/>
    <mergeCell ref="H6:H8"/>
    <mergeCell ref="I6:I8"/>
    <mergeCell ref="A3:A146"/>
    <mergeCell ref="B3:B20"/>
    <mergeCell ref="C3:C20"/>
    <mergeCell ref="D3:D20"/>
    <mergeCell ref="E3:E20"/>
    <mergeCell ref="F3:F5"/>
    <mergeCell ref="F9:F11"/>
    <mergeCell ref="F15:F17"/>
    <mergeCell ref="B21:B38"/>
    <mergeCell ref="C21:C38"/>
    <mergeCell ref="G15:G17"/>
    <mergeCell ref="H15:H17"/>
    <mergeCell ref="I15:I17"/>
    <mergeCell ref="F18:F20"/>
    <mergeCell ref="G18:G20"/>
    <mergeCell ref="H18:H20"/>
    <mergeCell ref="I18:I20"/>
  </mergeCells>
  <dataValidations count="1">
    <dataValidation type="list" allowBlank="1" showInputMessage="1" showErrorMessage="1" sqref="E3:E146 H3:H146" xr:uid="{5A8EB162-EC95-AA46-991E-B896AC65CC20}">
      <formula1>$E$157:$E$161</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FDB9-4373-3F4A-9424-4FBA66C6C65C}">
  <sheetPr>
    <tabColor theme="9"/>
  </sheetPr>
  <dimension ref="A1:K179"/>
  <sheetViews>
    <sheetView showGridLines="0" topLeftCell="A67" zoomScale="103" zoomScaleNormal="74" workbookViewId="0">
      <selection activeCell="C3" sqref="C3:C29"/>
    </sheetView>
  </sheetViews>
  <sheetFormatPr defaultColWidth="13.28515625" defaultRowHeight="15" x14ac:dyDescent="0.2"/>
  <cols>
    <col min="1" max="1" width="13" style="14" customWidth="1"/>
    <col min="2" max="2" width="7" style="14" customWidth="1"/>
    <col min="3" max="3" width="17.28515625" style="15" customWidth="1"/>
    <col min="4" max="4" width="24.85546875" style="15" customWidth="1"/>
    <col min="5" max="5" width="13.140625" style="15" customWidth="1"/>
    <col min="6" max="6" width="7" style="15" customWidth="1"/>
    <col min="7" max="7" width="46.140625" style="15" customWidth="1"/>
    <col min="8" max="8" width="18.85546875" style="15" customWidth="1"/>
    <col min="9" max="9" width="32.28515625" style="15" customWidth="1"/>
    <col min="10" max="10" width="9.7109375" style="15" customWidth="1"/>
    <col min="11" max="11" width="45.140625" style="3" customWidth="1"/>
    <col min="12" max="46" width="12" style="14" customWidth="1"/>
    <col min="47" max="254" width="13.28515625" style="14"/>
    <col min="255" max="255" width="40.28515625" style="14" customWidth="1"/>
    <col min="256" max="256" width="48.85546875" style="14" customWidth="1"/>
    <col min="257" max="257" width="53.28515625" style="14" customWidth="1"/>
    <col min="258" max="258" width="56.28515625" style="14" customWidth="1"/>
    <col min="259" max="302" width="12" style="14" customWidth="1"/>
    <col min="303" max="510" width="13.28515625" style="14"/>
    <col min="511" max="511" width="40.28515625" style="14" customWidth="1"/>
    <col min="512" max="512" width="48.85546875" style="14" customWidth="1"/>
    <col min="513" max="513" width="53.28515625" style="14" customWidth="1"/>
    <col min="514" max="514" width="56.28515625" style="14" customWidth="1"/>
    <col min="515" max="558" width="12" style="14" customWidth="1"/>
    <col min="559" max="766" width="13.28515625" style="14"/>
    <col min="767" max="767" width="40.28515625" style="14" customWidth="1"/>
    <col min="768" max="768" width="48.85546875" style="14" customWidth="1"/>
    <col min="769" max="769" width="53.28515625" style="14" customWidth="1"/>
    <col min="770" max="770" width="56.28515625" style="14" customWidth="1"/>
    <col min="771" max="814" width="12" style="14" customWidth="1"/>
    <col min="815" max="1022" width="13.28515625" style="14"/>
    <col min="1023" max="1023" width="40.28515625" style="14" customWidth="1"/>
    <col min="1024" max="1024" width="48.85546875" style="14" customWidth="1"/>
    <col min="1025" max="1025" width="53.28515625" style="14" customWidth="1"/>
    <col min="1026" max="1026" width="56.28515625" style="14" customWidth="1"/>
    <col min="1027" max="1070" width="12" style="14" customWidth="1"/>
    <col min="1071" max="1278" width="13.28515625" style="14"/>
    <col min="1279" max="1279" width="40.28515625" style="14" customWidth="1"/>
    <col min="1280" max="1280" width="48.85546875" style="14" customWidth="1"/>
    <col min="1281" max="1281" width="53.28515625" style="14" customWidth="1"/>
    <col min="1282" max="1282" width="56.28515625" style="14" customWidth="1"/>
    <col min="1283" max="1326" width="12" style="14" customWidth="1"/>
    <col min="1327" max="1534" width="13.28515625" style="14"/>
    <col min="1535" max="1535" width="40.28515625" style="14" customWidth="1"/>
    <col min="1536" max="1536" width="48.85546875" style="14" customWidth="1"/>
    <col min="1537" max="1537" width="53.28515625" style="14" customWidth="1"/>
    <col min="1538" max="1538" width="56.28515625" style="14" customWidth="1"/>
    <col min="1539" max="1582" width="12" style="14" customWidth="1"/>
    <col min="1583" max="1790" width="13.28515625" style="14"/>
    <col min="1791" max="1791" width="40.28515625" style="14" customWidth="1"/>
    <col min="1792" max="1792" width="48.85546875" style="14" customWidth="1"/>
    <col min="1793" max="1793" width="53.28515625" style="14" customWidth="1"/>
    <col min="1794" max="1794" width="56.28515625" style="14" customWidth="1"/>
    <col min="1795" max="1838" width="12" style="14" customWidth="1"/>
    <col min="1839" max="2046" width="13.28515625" style="14"/>
    <col min="2047" max="2047" width="40.28515625" style="14" customWidth="1"/>
    <col min="2048" max="2048" width="48.85546875" style="14" customWidth="1"/>
    <col min="2049" max="2049" width="53.28515625" style="14" customWidth="1"/>
    <col min="2050" max="2050" width="56.28515625" style="14" customWidth="1"/>
    <col min="2051" max="2094" width="12" style="14" customWidth="1"/>
    <col min="2095" max="2302" width="13.28515625" style="14"/>
    <col min="2303" max="2303" width="40.28515625" style="14" customWidth="1"/>
    <col min="2304" max="2304" width="48.85546875" style="14" customWidth="1"/>
    <col min="2305" max="2305" width="53.28515625" style="14" customWidth="1"/>
    <col min="2306" max="2306" width="56.28515625" style="14" customWidth="1"/>
    <col min="2307" max="2350" width="12" style="14" customWidth="1"/>
    <col min="2351" max="2558" width="13.28515625" style="14"/>
    <col min="2559" max="2559" width="40.28515625" style="14" customWidth="1"/>
    <col min="2560" max="2560" width="48.85546875" style="14" customWidth="1"/>
    <col min="2561" max="2561" width="53.28515625" style="14" customWidth="1"/>
    <col min="2562" max="2562" width="56.28515625" style="14" customWidth="1"/>
    <col min="2563" max="2606" width="12" style="14" customWidth="1"/>
    <col min="2607" max="2814" width="13.28515625" style="14"/>
    <col min="2815" max="2815" width="40.28515625" style="14" customWidth="1"/>
    <col min="2816" max="2816" width="48.85546875" style="14" customWidth="1"/>
    <col min="2817" max="2817" width="53.28515625" style="14" customWidth="1"/>
    <col min="2818" max="2818" width="56.28515625" style="14" customWidth="1"/>
    <col min="2819" max="2862" width="12" style="14" customWidth="1"/>
    <col min="2863" max="3070" width="13.28515625" style="14"/>
    <col min="3071" max="3071" width="40.28515625" style="14" customWidth="1"/>
    <col min="3072" max="3072" width="48.85546875" style="14" customWidth="1"/>
    <col min="3073" max="3073" width="53.28515625" style="14" customWidth="1"/>
    <col min="3074" max="3074" width="56.28515625" style="14" customWidth="1"/>
    <col min="3075" max="3118" width="12" style="14" customWidth="1"/>
    <col min="3119" max="3326" width="13.28515625" style="14"/>
    <col min="3327" max="3327" width="40.28515625" style="14" customWidth="1"/>
    <col min="3328" max="3328" width="48.85546875" style="14" customWidth="1"/>
    <col min="3329" max="3329" width="53.28515625" style="14" customWidth="1"/>
    <col min="3330" max="3330" width="56.28515625" style="14" customWidth="1"/>
    <col min="3331" max="3374" width="12" style="14" customWidth="1"/>
    <col min="3375" max="3582" width="13.28515625" style="14"/>
    <col min="3583" max="3583" width="40.28515625" style="14" customWidth="1"/>
    <col min="3584" max="3584" width="48.85546875" style="14" customWidth="1"/>
    <col min="3585" max="3585" width="53.28515625" style="14" customWidth="1"/>
    <col min="3586" max="3586" width="56.28515625" style="14" customWidth="1"/>
    <col min="3587" max="3630" width="12" style="14" customWidth="1"/>
    <col min="3631" max="3838" width="13.28515625" style="14"/>
    <col min="3839" max="3839" width="40.28515625" style="14" customWidth="1"/>
    <col min="3840" max="3840" width="48.85546875" style="14" customWidth="1"/>
    <col min="3841" max="3841" width="53.28515625" style="14" customWidth="1"/>
    <col min="3842" max="3842" width="56.28515625" style="14" customWidth="1"/>
    <col min="3843" max="3886" width="12" style="14" customWidth="1"/>
    <col min="3887" max="4094" width="13.28515625" style="14"/>
    <col min="4095" max="4095" width="40.28515625" style="14" customWidth="1"/>
    <col min="4096" max="4096" width="48.85546875" style="14" customWidth="1"/>
    <col min="4097" max="4097" width="53.28515625" style="14" customWidth="1"/>
    <col min="4098" max="4098" width="56.28515625" style="14" customWidth="1"/>
    <col min="4099" max="4142" width="12" style="14" customWidth="1"/>
    <col min="4143" max="4350" width="13.28515625" style="14"/>
    <col min="4351" max="4351" width="40.28515625" style="14" customWidth="1"/>
    <col min="4352" max="4352" width="48.85546875" style="14" customWidth="1"/>
    <col min="4353" max="4353" width="53.28515625" style="14" customWidth="1"/>
    <col min="4354" max="4354" width="56.28515625" style="14" customWidth="1"/>
    <col min="4355" max="4398" width="12" style="14" customWidth="1"/>
    <col min="4399" max="4606" width="13.28515625" style="14"/>
    <col min="4607" max="4607" width="40.28515625" style="14" customWidth="1"/>
    <col min="4608" max="4608" width="48.85546875" style="14" customWidth="1"/>
    <col min="4609" max="4609" width="53.28515625" style="14" customWidth="1"/>
    <col min="4610" max="4610" width="56.28515625" style="14" customWidth="1"/>
    <col min="4611" max="4654" width="12" style="14" customWidth="1"/>
    <col min="4655" max="4862" width="13.28515625" style="14"/>
    <col min="4863" max="4863" width="40.28515625" style="14" customWidth="1"/>
    <col min="4864" max="4864" width="48.85546875" style="14" customWidth="1"/>
    <col min="4865" max="4865" width="53.28515625" style="14" customWidth="1"/>
    <col min="4866" max="4866" width="56.28515625" style="14" customWidth="1"/>
    <col min="4867" max="4910" width="12" style="14" customWidth="1"/>
    <col min="4911" max="5118" width="13.28515625" style="14"/>
    <col min="5119" max="5119" width="40.28515625" style="14" customWidth="1"/>
    <col min="5120" max="5120" width="48.85546875" style="14" customWidth="1"/>
    <col min="5121" max="5121" width="53.28515625" style="14" customWidth="1"/>
    <col min="5122" max="5122" width="56.28515625" style="14" customWidth="1"/>
    <col min="5123" max="5166" width="12" style="14" customWidth="1"/>
    <col min="5167" max="5374" width="13.28515625" style="14"/>
    <col min="5375" max="5375" width="40.28515625" style="14" customWidth="1"/>
    <col min="5376" max="5376" width="48.85546875" style="14" customWidth="1"/>
    <col min="5377" max="5377" width="53.28515625" style="14" customWidth="1"/>
    <col min="5378" max="5378" width="56.28515625" style="14" customWidth="1"/>
    <col min="5379" max="5422" width="12" style="14" customWidth="1"/>
    <col min="5423" max="5630" width="13.28515625" style="14"/>
    <col min="5631" max="5631" width="40.28515625" style="14" customWidth="1"/>
    <col min="5632" max="5632" width="48.85546875" style="14" customWidth="1"/>
    <col min="5633" max="5633" width="53.28515625" style="14" customWidth="1"/>
    <col min="5634" max="5634" width="56.28515625" style="14" customWidth="1"/>
    <col min="5635" max="5678" width="12" style="14" customWidth="1"/>
    <col min="5679" max="5886" width="13.28515625" style="14"/>
    <col min="5887" max="5887" width="40.28515625" style="14" customWidth="1"/>
    <col min="5888" max="5888" width="48.85546875" style="14" customWidth="1"/>
    <col min="5889" max="5889" width="53.28515625" style="14" customWidth="1"/>
    <col min="5890" max="5890" width="56.28515625" style="14" customWidth="1"/>
    <col min="5891" max="5934" width="12" style="14" customWidth="1"/>
    <col min="5935" max="6142" width="13.28515625" style="14"/>
    <col min="6143" max="6143" width="40.28515625" style="14" customWidth="1"/>
    <col min="6144" max="6144" width="48.85546875" style="14" customWidth="1"/>
    <col min="6145" max="6145" width="53.28515625" style="14" customWidth="1"/>
    <col min="6146" max="6146" width="56.28515625" style="14" customWidth="1"/>
    <col min="6147" max="6190" width="12" style="14" customWidth="1"/>
    <col min="6191" max="6398" width="13.28515625" style="14"/>
    <col min="6399" max="6399" width="40.28515625" style="14" customWidth="1"/>
    <col min="6400" max="6400" width="48.85546875" style="14" customWidth="1"/>
    <col min="6401" max="6401" width="53.28515625" style="14" customWidth="1"/>
    <col min="6402" max="6402" width="56.28515625" style="14" customWidth="1"/>
    <col min="6403" max="6446" width="12" style="14" customWidth="1"/>
    <col min="6447" max="6654" width="13.28515625" style="14"/>
    <col min="6655" max="6655" width="40.28515625" style="14" customWidth="1"/>
    <col min="6656" max="6656" width="48.85546875" style="14" customWidth="1"/>
    <col min="6657" max="6657" width="53.28515625" style="14" customWidth="1"/>
    <col min="6658" max="6658" width="56.28515625" style="14" customWidth="1"/>
    <col min="6659" max="6702" width="12" style="14" customWidth="1"/>
    <col min="6703" max="6910" width="13.28515625" style="14"/>
    <col min="6911" max="6911" width="40.28515625" style="14" customWidth="1"/>
    <col min="6912" max="6912" width="48.85546875" style="14" customWidth="1"/>
    <col min="6913" max="6913" width="53.28515625" style="14" customWidth="1"/>
    <col min="6914" max="6914" width="56.28515625" style="14" customWidth="1"/>
    <col min="6915" max="6958" width="12" style="14" customWidth="1"/>
    <col min="6959" max="7166" width="13.28515625" style="14"/>
    <col min="7167" max="7167" width="40.28515625" style="14" customWidth="1"/>
    <col min="7168" max="7168" width="48.85546875" style="14" customWidth="1"/>
    <col min="7169" max="7169" width="53.28515625" style="14" customWidth="1"/>
    <col min="7170" max="7170" width="56.28515625" style="14" customWidth="1"/>
    <col min="7171" max="7214" width="12" style="14" customWidth="1"/>
    <col min="7215" max="7422" width="13.28515625" style="14"/>
    <col min="7423" max="7423" width="40.28515625" style="14" customWidth="1"/>
    <col min="7424" max="7424" width="48.85546875" style="14" customWidth="1"/>
    <col min="7425" max="7425" width="53.28515625" style="14" customWidth="1"/>
    <col min="7426" max="7426" width="56.28515625" style="14" customWidth="1"/>
    <col min="7427" max="7470" width="12" style="14" customWidth="1"/>
    <col min="7471" max="7678" width="13.28515625" style="14"/>
    <col min="7679" max="7679" width="40.28515625" style="14" customWidth="1"/>
    <col min="7680" max="7680" width="48.85546875" style="14" customWidth="1"/>
    <col min="7681" max="7681" width="53.28515625" style="14" customWidth="1"/>
    <col min="7682" max="7682" width="56.28515625" style="14" customWidth="1"/>
    <col min="7683" max="7726" width="12" style="14" customWidth="1"/>
    <col min="7727" max="7934" width="13.28515625" style="14"/>
    <col min="7935" max="7935" width="40.28515625" style="14" customWidth="1"/>
    <col min="7936" max="7936" width="48.85546875" style="14" customWidth="1"/>
    <col min="7937" max="7937" width="53.28515625" style="14" customWidth="1"/>
    <col min="7938" max="7938" width="56.28515625" style="14" customWidth="1"/>
    <col min="7939" max="7982" width="12" style="14" customWidth="1"/>
    <col min="7983" max="8190" width="13.28515625" style="14"/>
    <col min="8191" max="8191" width="40.28515625" style="14" customWidth="1"/>
    <col min="8192" max="8192" width="48.85546875" style="14" customWidth="1"/>
    <col min="8193" max="8193" width="53.28515625" style="14" customWidth="1"/>
    <col min="8194" max="8194" width="56.28515625" style="14" customWidth="1"/>
    <col min="8195" max="8238" width="12" style="14" customWidth="1"/>
    <col min="8239" max="8446" width="13.28515625" style="14"/>
    <col min="8447" max="8447" width="40.28515625" style="14" customWidth="1"/>
    <col min="8448" max="8448" width="48.85546875" style="14" customWidth="1"/>
    <col min="8449" max="8449" width="53.28515625" style="14" customWidth="1"/>
    <col min="8450" max="8450" width="56.28515625" style="14" customWidth="1"/>
    <col min="8451" max="8494" width="12" style="14" customWidth="1"/>
    <col min="8495" max="8702" width="13.28515625" style="14"/>
    <col min="8703" max="8703" width="40.28515625" style="14" customWidth="1"/>
    <col min="8704" max="8704" width="48.85546875" style="14" customWidth="1"/>
    <col min="8705" max="8705" width="53.28515625" style="14" customWidth="1"/>
    <col min="8706" max="8706" width="56.28515625" style="14" customWidth="1"/>
    <col min="8707" max="8750" width="12" style="14" customWidth="1"/>
    <col min="8751" max="8958" width="13.28515625" style="14"/>
    <col min="8959" max="8959" width="40.28515625" style="14" customWidth="1"/>
    <col min="8960" max="8960" width="48.85546875" style="14" customWidth="1"/>
    <col min="8961" max="8961" width="53.28515625" style="14" customWidth="1"/>
    <col min="8962" max="8962" width="56.28515625" style="14" customWidth="1"/>
    <col min="8963" max="9006" width="12" style="14" customWidth="1"/>
    <col min="9007" max="9214" width="13.28515625" style="14"/>
    <col min="9215" max="9215" width="40.28515625" style="14" customWidth="1"/>
    <col min="9216" max="9216" width="48.85546875" style="14" customWidth="1"/>
    <col min="9217" max="9217" width="53.28515625" style="14" customWidth="1"/>
    <col min="9218" max="9218" width="56.28515625" style="14" customWidth="1"/>
    <col min="9219" max="9262" width="12" style="14" customWidth="1"/>
    <col min="9263" max="9470" width="13.28515625" style="14"/>
    <col min="9471" max="9471" width="40.28515625" style="14" customWidth="1"/>
    <col min="9472" max="9472" width="48.85546875" style="14" customWidth="1"/>
    <col min="9473" max="9473" width="53.28515625" style="14" customWidth="1"/>
    <col min="9474" max="9474" width="56.28515625" style="14" customWidth="1"/>
    <col min="9475" max="9518" width="12" style="14" customWidth="1"/>
    <col min="9519" max="9726" width="13.28515625" style="14"/>
    <col min="9727" max="9727" width="40.28515625" style="14" customWidth="1"/>
    <col min="9728" max="9728" width="48.85546875" style="14" customWidth="1"/>
    <col min="9729" max="9729" width="53.28515625" style="14" customWidth="1"/>
    <col min="9730" max="9730" width="56.28515625" style="14" customWidth="1"/>
    <col min="9731" max="9774" width="12" style="14" customWidth="1"/>
    <col min="9775" max="9982" width="13.28515625" style="14"/>
    <col min="9983" max="9983" width="40.28515625" style="14" customWidth="1"/>
    <col min="9984" max="9984" width="48.85546875" style="14" customWidth="1"/>
    <col min="9985" max="9985" width="53.28515625" style="14" customWidth="1"/>
    <col min="9986" max="9986" width="56.28515625" style="14" customWidth="1"/>
    <col min="9987" max="10030" width="12" style="14" customWidth="1"/>
    <col min="10031" max="10238" width="13.28515625" style="14"/>
    <col min="10239" max="10239" width="40.28515625" style="14" customWidth="1"/>
    <col min="10240" max="10240" width="48.85546875" style="14" customWidth="1"/>
    <col min="10241" max="10241" width="53.28515625" style="14" customWidth="1"/>
    <col min="10242" max="10242" width="56.28515625" style="14" customWidth="1"/>
    <col min="10243" max="10286" width="12" style="14" customWidth="1"/>
    <col min="10287" max="10494" width="13.28515625" style="14"/>
    <col min="10495" max="10495" width="40.28515625" style="14" customWidth="1"/>
    <col min="10496" max="10496" width="48.85546875" style="14" customWidth="1"/>
    <col min="10497" max="10497" width="53.28515625" style="14" customWidth="1"/>
    <col min="10498" max="10498" width="56.28515625" style="14" customWidth="1"/>
    <col min="10499" max="10542" width="12" style="14" customWidth="1"/>
    <col min="10543" max="10750" width="13.28515625" style="14"/>
    <col min="10751" max="10751" width="40.28515625" style="14" customWidth="1"/>
    <col min="10752" max="10752" width="48.85546875" style="14" customWidth="1"/>
    <col min="10753" max="10753" width="53.28515625" style="14" customWidth="1"/>
    <col min="10754" max="10754" width="56.28515625" style="14" customWidth="1"/>
    <col min="10755" max="10798" width="12" style="14" customWidth="1"/>
    <col min="10799" max="11006" width="13.28515625" style="14"/>
    <col min="11007" max="11007" width="40.28515625" style="14" customWidth="1"/>
    <col min="11008" max="11008" width="48.85546875" style="14" customWidth="1"/>
    <col min="11009" max="11009" width="53.28515625" style="14" customWidth="1"/>
    <col min="11010" max="11010" width="56.28515625" style="14" customWidth="1"/>
    <col min="11011" max="11054" width="12" style="14" customWidth="1"/>
    <col min="11055" max="11262" width="13.28515625" style="14"/>
    <col min="11263" max="11263" width="40.28515625" style="14" customWidth="1"/>
    <col min="11264" max="11264" width="48.85546875" style="14" customWidth="1"/>
    <col min="11265" max="11265" width="53.28515625" style="14" customWidth="1"/>
    <col min="11266" max="11266" width="56.28515625" style="14" customWidth="1"/>
    <col min="11267" max="11310" width="12" style="14" customWidth="1"/>
    <col min="11311" max="11518" width="13.28515625" style="14"/>
    <col min="11519" max="11519" width="40.28515625" style="14" customWidth="1"/>
    <col min="11520" max="11520" width="48.85546875" style="14" customWidth="1"/>
    <col min="11521" max="11521" width="53.28515625" style="14" customWidth="1"/>
    <col min="11522" max="11522" width="56.28515625" style="14" customWidth="1"/>
    <col min="11523" max="11566" width="12" style="14" customWidth="1"/>
    <col min="11567" max="11774" width="13.28515625" style="14"/>
    <col min="11775" max="11775" width="40.28515625" style="14" customWidth="1"/>
    <col min="11776" max="11776" width="48.85546875" style="14" customWidth="1"/>
    <col min="11777" max="11777" width="53.28515625" style="14" customWidth="1"/>
    <col min="11778" max="11778" width="56.28515625" style="14" customWidth="1"/>
    <col min="11779" max="11822" width="12" style="14" customWidth="1"/>
    <col min="11823" max="12030" width="13.28515625" style="14"/>
    <col min="12031" max="12031" width="40.28515625" style="14" customWidth="1"/>
    <col min="12032" max="12032" width="48.85546875" style="14" customWidth="1"/>
    <col min="12033" max="12033" width="53.28515625" style="14" customWidth="1"/>
    <col min="12034" max="12034" width="56.28515625" style="14" customWidth="1"/>
    <col min="12035" max="12078" width="12" style="14" customWidth="1"/>
    <col min="12079" max="12286" width="13.28515625" style="14"/>
    <col min="12287" max="12287" width="40.28515625" style="14" customWidth="1"/>
    <col min="12288" max="12288" width="48.85546875" style="14" customWidth="1"/>
    <col min="12289" max="12289" width="53.28515625" style="14" customWidth="1"/>
    <col min="12290" max="12290" width="56.28515625" style="14" customWidth="1"/>
    <col min="12291" max="12334" width="12" style="14" customWidth="1"/>
    <col min="12335" max="12542" width="13.28515625" style="14"/>
    <col min="12543" max="12543" width="40.28515625" style="14" customWidth="1"/>
    <col min="12544" max="12544" width="48.85546875" style="14" customWidth="1"/>
    <col min="12545" max="12545" width="53.28515625" style="14" customWidth="1"/>
    <col min="12546" max="12546" width="56.28515625" style="14" customWidth="1"/>
    <col min="12547" max="12590" width="12" style="14" customWidth="1"/>
    <col min="12591" max="12798" width="13.28515625" style="14"/>
    <col min="12799" max="12799" width="40.28515625" style="14" customWidth="1"/>
    <col min="12800" max="12800" width="48.85546875" style="14" customWidth="1"/>
    <col min="12801" max="12801" width="53.28515625" style="14" customWidth="1"/>
    <col min="12802" max="12802" width="56.28515625" style="14" customWidth="1"/>
    <col min="12803" max="12846" width="12" style="14" customWidth="1"/>
    <col min="12847" max="13054" width="13.28515625" style="14"/>
    <col min="13055" max="13055" width="40.28515625" style="14" customWidth="1"/>
    <col min="13056" max="13056" width="48.85546875" style="14" customWidth="1"/>
    <col min="13057" max="13057" width="53.28515625" style="14" customWidth="1"/>
    <col min="13058" max="13058" width="56.28515625" style="14" customWidth="1"/>
    <col min="13059" max="13102" width="12" style="14" customWidth="1"/>
    <col min="13103" max="13310" width="13.28515625" style="14"/>
    <col min="13311" max="13311" width="40.28515625" style="14" customWidth="1"/>
    <col min="13312" max="13312" width="48.85546875" style="14" customWidth="1"/>
    <col min="13313" max="13313" width="53.28515625" style="14" customWidth="1"/>
    <col min="13314" max="13314" width="56.28515625" style="14" customWidth="1"/>
    <col min="13315" max="13358" width="12" style="14" customWidth="1"/>
    <col min="13359" max="13566" width="13.28515625" style="14"/>
    <col min="13567" max="13567" width="40.28515625" style="14" customWidth="1"/>
    <col min="13568" max="13568" width="48.85546875" style="14" customWidth="1"/>
    <col min="13569" max="13569" width="53.28515625" style="14" customWidth="1"/>
    <col min="13570" max="13570" width="56.28515625" style="14" customWidth="1"/>
    <col min="13571" max="13614" width="12" style="14" customWidth="1"/>
    <col min="13615" max="13822" width="13.28515625" style="14"/>
    <col min="13823" max="13823" width="40.28515625" style="14" customWidth="1"/>
    <col min="13824" max="13824" width="48.85546875" style="14" customWidth="1"/>
    <col min="13825" max="13825" width="53.28515625" style="14" customWidth="1"/>
    <col min="13826" max="13826" width="56.28515625" style="14" customWidth="1"/>
    <col min="13827" max="13870" width="12" style="14" customWidth="1"/>
    <col min="13871" max="14078" width="13.28515625" style="14"/>
    <col min="14079" max="14079" width="40.28515625" style="14" customWidth="1"/>
    <col min="14080" max="14080" width="48.85546875" style="14" customWidth="1"/>
    <col min="14081" max="14081" width="53.28515625" style="14" customWidth="1"/>
    <col min="14082" max="14082" width="56.28515625" style="14" customWidth="1"/>
    <col min="14083" max="14126" width="12" style="14" customWidth="1"/>
    <col min="14127" max="14334" width="13.28515625" style="14"/>
    <col min="14335" max="14335" width="40.28515625" style="14" customWidth="1"/>
    <col min="14336" max="14336" width="48.85546875" style="14" customWidth="1"/>
    <col min="14337" max="14337" width="53.28515625" style="14" customWidth="1"/>
    <col min="14338" max="14338" width="56.28515625" style="14" customWidth="1"/>
    <col min="14339" max="14382" width="12" style="14" customWidth="1"/>
    <col min="14383" max="14590" width="13.28515625" style="14"/>
    <col min="14591" max="14591" width="40.28515625" style="14" customWidth="1"/>
    <col min="14592" max="14592" width="48.85546875" style="14" customWidth="1"/>
    <col min="14593" max="14593" width="53.28515625" style="14" customWidth="1"/>
    <col min="14594" max="14594" width="56.28515625" style="14" customWidth="1"/>
    <col min="14595" max="14638" width="12" style="14" customWidth="1"/>
    <col min="14639" max="14846" width="13.28515625" style="14"/>
    <col min="14847" max="14847" width="40.28515625" style="14" customWidth="1"/>
    <col min="14848" max="14848" width="48.85546875" style="14" customWidth="1"/>
    <col min="14849" max="14849" width="53.28515625" style="14" customWidth="1"/>
    <col min="14850" max="14850" width="56.28515625" style="14" customWidth="1"/>
    <col min="14851" max="14894" width="12" style="14" customWidth="1"/>
    <col min="14895" max="15102" width="13.28515625" style="14"/>
    <col min="15103" max="15103" width="40.28515625" style="14" customWidth="1"/>
    <col min="15104" max="15104" width="48.85546875" style="14" customWidth="1"/>
    <col min="15105" max="15105" width="53.28515625" style="14" customWidth="1"/>
    <col min="15106" max="15106" width="56.28515625" style="14" customWidth="1"/>
    <col min="15107" max="15150" width="12" style="14" customWidth="1"/>
    <col min="15151" max="15358" width="13.28515625" style="14"/>
    <col min="15359" max="15359" width="40.28515625" style="14" customWidth="1"/>
    <col min="15360" max="15360" width="48.85546875" style="14" customWidth="1"/>
    <col min="15361" max="15361" width="53.28515625" style="14" customWidth="1"/>
    <col min="15362" max="15362" width="56.28515625" style="14" customWidth="1"/>
    <col min="15363" max="15406" width="12" style="14" customWidth="1"/>
    <col min="15407" max="15614" width="13.28515625" style="14"/>
    <col min="15615" max="15615" width="40.28515625" style="14" customWidth="1"/>
    <col min="15616" max="15616" width="48.85546875" style="14" customWidth="1"/>
    <col min="15617" max="15617" width="53.28515625" style="14" customWidth="1"/>
    <col min="15618" max="15618" width="56.28515625" style="14" customWidth="1"/>
    <col min="15619" max="15662" width="12" style="14" customWidth="1"/>
    <col min="15663" max="15870" width="13.28515625" style="14"/>
    <col min="15871" max="15871" width="40.28515625" style="14" customWidth="1"/>
    <col min="15872" max="15872" width="48.85546875" style="14" customWidth="1"/>
    <col min="15873" max="15873" width="53.28515625" style="14" customWidth="1"/>
    <col min="15874" max="15874" width="56.28515625" style="14" customWidth="1"/>
    <col min="15875" max="15918" width="12" style="14" customWidth="1"/>
    <col min="15919" max="16126" width="13.28515625" style="14"/>
    <col min="16127" max="16127" width="40.28515625" style="14" customWidth="1"/>
    <col min="16128" max="16128" width="48.85546875" style="14" customWidth="1"/>
    <col min="16129" max="16129" width="53.28515625" style="14" customWidth="1"/>
    <col min="16130" max="16130" width="56.28515625" style="14" customWidth="1"/>
    <col min="16131" max="16174" width="12" style="14" customWidth="1"/>
    <col min="16175" max="16384" width="13.28515625" style="14"/>
  </cols>
  <sheetData>
    <row r="1" spans="1:11" ht="30" customHeight="1" x14ac:dyDescent="0.2">
      <c r="A1" s="18"/>
      <c r="B1" s="18"/>
      <c r="C1" s="19"/>
      <c r="D1" s="19"/>
      <c r="E1" s="19"/>
      <c r="F1" s="19"/>
      <c r="G1" s="19"/>
      <c r="H1" s="19"/>
      <c r="I1" s="19"/>
      <c r="J1" s="19"/>
    </row>
    <row r="2" spans="1:11" s="13" customFormat="1" ht="45"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337" t="s">
        <v>1788</v>
      </c>
      <c r="B3" s="275" t="s">
        <v>1789</v>
      </c>
      <c r="C3" s="390" t="s">
        <v>561</v>
      </c>
      <c r="D3" s="390" t="s">
        <v>1784</v>
      </c>
      <c r="E3" s="275"/>
      <c r="F3" s="288" t="s">
        <v>1790</v>
      </c>
      <c r="G3" s="272" t="s">
        <v>1752</v>
      </c>
      <c r="H3" s="272" t="s">
        <v>528</v>
      </c>
      <c r="I3" s="272"/>
      <c r="J3" s="109" t="s">
        <v>1791</v>
      </c>
      <c r="K3" s="7"/>
    </row>
    <row r="4" spans="1:11" x14ac:dyDescent="0.2">
      <c r="A4" s="288"/>
      <c r="B4" s="275"/>
      <c r="C4" s="275"/>
      <c r="D4" s="275"/>
      <c r="E4" s="275"/>
      <c r="F4" s="288"/>
      <c r="G4" s="272"/>
      <c r="H4" s="272"/>
      <c r="I4" s="272"/>
      <c r="J4" s="109" t="s">
        <v>1792</v>
      </c>
      <c r="K4" s="7"/>
    </row>
    <row r="5" spans="1:11" x14ac:dyDescent="0.2">
      <c r="A5" s="273"/>
      <c r="B5" s="276"/>
      <c r="C5" s="276"/>
      <c r="D5" s="276"/>
      <c r="E5" s="276"/>
      <c r="F5" s="273"/>
      <c r="G5" s="273"/>
      <c r="H5" s="273"/>
      <c r="I5" s="273"/>
      <c r="J5" s="109" t="s">
        <v>1793</v>
      </c>
      <c r="K5" s="7"/>
    </row>
    <row r="6" spans="1:11" ht="15" customHeight="1" x14ac:dyDescent="0.2">
      <c r="A6" s="273"/>
      <c r="B6" s="276"/>
      <c r="C6" s="276"/>
      <c r="D6" s="276"/>
      <c r="E6" s="276"/>
      <c r="F6" s="288" t="s">
        <v>1794</v>
      </c>
      <c r="G6" s="289" t="s">
        <v>1753</v>
      </c>
      <c r="H6" s="272" t="s">
        <v>515</v>
      </c>
      <c r="I6" s="354" t="s">
        <v>4161</v>
      </c>
      <c r="J6" s="109" t="s">
        <v>1795</v>
      </c>
      <c r="K6" s="7"/>
    </row>
    <row r="7" spans="1:11" ht="15" customHeight="1" x14ac:dyDescent="0.2">
      <c r="A7" s="273"/>
      <c r="B7" s="276"/>
      <c r="C7" s="276"/>
      <c r="D7" s="276"/>
      <c r="E7" s="276"/>
      <c r="F7" s="288"/>
      <c r="G7" s="289"/>
      <c r="H7" s="272"/>
      <c r="I7" s="289"/>
      <c r="J7" s="109" t="s">
        <v>1796</v>
      </c>
      <c r="K7" s="7"/>
    </row>
    <row r="8" spans="1:11" x14ac:dyDescent="0.2">
      <c r="A8" s="273"/>
      <c r="B8" s="276"/>
      <c r="C8" s="276"/>
      <c r="D8" s="276"/>
      <c r="E8" s="276"/>
      <c r="F8" s="273"/>
      <c r="G8" s="273"/>
      <c r="H8" s="273"/>
      <c r="I8" s="273"/>
      <c r="J8" s="109" t="s">
        <v>1797</v>
      </c>
      <c r="K8" s="7"/>
    </row>
    <row r="9" spans="1:11" ht="15" customHeight="1" x14ac:dyDescent="0.2">
      <c r="A9" s="273"/>
      <c r="B9" s="276"/>
      <c r="C9" s="276"/>
      <c r="D9" s="276"/>
      <c r="E9" s="276"/>
      <c r="F9" s="288" t="s">
        <v>1798</v>
      </c>
      <c r="G9" s="272" t="s">
        <v>1754</v>
      </c>
      <c r="H9" s="272" t="s">
        <v>515</v>
      </c>
      <c r="I9" s="272"/>
      <c r="J9" s="26"/>
      <c r="K9" s="7"/>
    </row>
    <row r="10" spans="1:11" ht="15" customHeight="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ht="15" customHeight="1" x14ac:dyDescent="0.2">
      <c r="A12" s="273"/>
      <c r="B12" s="276"/>
      <c r="C12" s="276"/>
      <c r="D12" s="276"/>
      <c r="E12" s="276"/>
      <c r="F12" s="288" t="s">
        <v>1799</v>
      </c>
      <c r="G12" s="272" t="s">
        <v>1755</v>
      </c>
      <c r="H12" s="272" t="s">
        <v>515</v>
      </c>
      <c r="I12" s="354" t="s">
        <v>4162</v>
      </c>
      <c r="J12" s="26"/>
      <c r="K12" s="7"/>
    </row>
    <row r="13" spans="1:11" ht="15" customHeight="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ht="15" customHeight="1" x14ac:dyDescent="0.2">
      <c r="A15" s="273"/>
      <c r="B15" s="276"/>
      <c r="C15" s="276"/>
      <c r="D15" s="276"/>
      <c r="E15" s="276"/>
      <c r="F15" s="288" t="s">
        <v>1800</v>
      </c>
      <c r="G15" s="272" t="s">
        <v>1756</v>
      </c>
      <c r="H15" s="272" t="s">
        <v>515</v>
      </c>
      <c r="I15" s="354" t="s">
        <v>4163</v>
      </c>
      <c r="J15" s="26"/>
      <c r="K15" s="7"/>
    </row>
    <row r="16" spans="1:11"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1801</v>
      </c>
      <c r="G18" s="337" t="s">
        <v>1773</v>
      </c>
      <c r="H18" s="272" t="s">
        <v>511</v>
      </c>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ht="15" customHeight="1" x14ac:dyDescent="0.2">
      <c r="A21" s="273"/>
      <c r="B21" s="276"/>
      <c r="C21" s="276"/>
      <c r="D21" s="276"/>
      <c r="E21" s="276"/>
      <c r="F21" s="288" t="s">
        <v>1802</v>
      </c>
      <c r="G21" s="272" t="s">
        <v>1757</v>
      </c>
      <c r="H21" s="272" t="s">
        <v>511</v>
      </c>
      <c r="I21" s="272"/>
      <c r="J21" s="26"/>
      <c r="K21" s="7"/>
    </row>
    <row r="22" spans="1:11" ht="15" customHeight="1" x14ac:dyDescent="0.2">
      <c r="A22" s="273"/>
      <c r="B22" s="276"/>
      <c r="C22" s="276"/>
      <c r="D22" s="276"/>
      <c r="E22" s="276"/>
      <c r="F22" s="288"/>
      <c r="G22" s="272"/>
      <c r="H22" s="272"/>
      <c r="I22" s="272"/>
      <c r="J22" s="26"/>
      <c r="K22" s="7"/>
    </row>
    <row r="23" spans="1:11" x14ac:dyDescent="0.2">
      <c r="A23" s="273"/>
      <c r="B23" s="276"/>
      <c r="C23" s="276"/>
      <c r="D23" s="276"/>
      <c r="E23" s="276"/>
      <c r="F23" s="273"/>
      <c r="G23" s="273"/>
      <c r="H23" s="273"/>
      <c r="I23" s="273"/>
      <c r="J23" s="89"/>
      <c r="K23" s="7"/>
    </row>
    <row r="24" spans="1:11" ht="15" customHeight="1" x14ac:dyDescent="0.2">
      <c r="A24" s="273"/>
      <c r="B24" s="276"/>
      <c r="C24" s="276"/>
      <c r="D24" s="276"/>
      <c r="E24" s="276"/>
      <c r="F24" s="288" t="s">
        <v>1803</v>
      </c>
      <c r="G24" s="272" t="s">
        <v>1758</v>
      </c>
      <c r="H24" s="272" t="s">
        <v>505</v>
      </c>
      <c r="I24" s="354" t="s">
        <v>4164</v>
      </c>
      <c r="J24" s="26"/>
      <c r="K24" s="7"/>
    </row>
    <row r="25" spans="1:11" ht="15" customHeight="1" x14ac:dyDescent="0.2">
      <c r="A25" s="273"/>
      <c r="B25" s="276"/>
      <c r="C25" s="276"/>
      <c r="D25" s="276"/>
      <c r="E25" s="276"/>
      <c r="F25" s="288"/>
      <c r="G25" s="272"/>
      <c r="H25" s="272"/>
      <c r="I25" s="272"/>
      <c r="J25" s="26"/>
      <c r="K25" s="7"/>
    </row>
    <row r="26" spans="1:11" x14ac:dyDescent="0.2">
      <c r="A26" s="273"/>
      <c r="B26" s="276"/>
      <c r="C26" s="276"/>
      <c r="D26" s="276"/>
      <c r="E26" s="276"/>
      <c r="F26" s="273"/>
      <c r="G26" s="273"/>
      <c r="H26" s="273"/>
      <c r="I26" s="273"/>
      <c r="J26" s="89"/>
      <c r="K26" s="7"/>
    </row>
    <row r="27" spans="1:11" ht="15" customHeight="1" x14ac:dyDescent="0.2">
      <c r="A27" s="273"/>
      <c r="B27" s="276"/>
      <c r="C27" s="276"/>
      <c r="D27" s="276"/>
      <c r="E27" s="276"/>
      <c r="F27" s="288" t="s">
        <v>1804</v>
      </c>
      <c r="G27" s="272"/>
      <c r="H27" s="272"/>
      <c r="I27" s="272"/>
      <c r="J27" s="26"/>
      <c r="K27" s="7"/>
    </row>
    <row r="28" spans="1:11" ht="15" customHeight="1" x14ac:dyDescent="0.2">
      <c r="A28" s="273"/>
      <c r="B28" s="276"/>
      <c r="C28" s="276"/>
      <c r="D28" s="276"/>
      <c r="E28" s="276"/>
      <c r="F28" s="288"/>
      <c r="G28" s="272"/>
      <c r="H28" s="272"/>
      <c r="I28" s="272"/>
      <c r="J28" s="26"/>
      <c r="K28" s="7"/>
    </row>
    <row r="29" spans="1:11" x14ac:dyDescent="0.2">
      <c r="A29" s="273"/>
      <c r="B29" s="276"/>
      <c r="C29" s="276"/>
      <c r="D29" s="276"/>
      <c r="E29" s="276"/>
      <c r="F29" s="273"/>
      <c r="G29" s="273"/>
      <c r="H29" s="273"/>
      <c r="I29" s="273"/>
      <c r="J29" s="89"/>
      <c r="K29" s="7"/>
    </row>
    <row r="30" spans="1:11" x14ac:dyDescent="0.2">
      <c r="A30" s="273"/>
      <c r="B30" s="277" t="s">
        <v>1805</v>
      </c>
      <c r="C30" s="277" t="s">
        <v>563</v>
      </c>
      <c r="D30" s="352" t="s">
        <v>1785</v>
      </c>
      <c r="E30" s="277"/>
      <c r="F30" s="288" t="s">
        <v>1806</v>
      </c>
      <c r="G30" s="289" t="s">
        <v>1759</v>
      </c>
      <c r="H30" s="272" t="s">
        <v>507</v>
      </c>
      <c r="I30" s="289"/>
      <c r="J30" s="39"/>
      <c r="K30" s="7"/>
    </row>
    <row r="31" spans="1:11" x14ac:dyDescent="0.2">
      <c r="A31" s="273"/>
      <c r="B31" s="278"/>
      <c r="C31" s="278"/>
      <c r="D31" s="278"/>
      <c r="E31" s="278"/>
      <c r="F31" s="288"/>
      <c r="G31" s="289"/>
      <c r="H31" s="272"/>
      <c r="I31" s="289"/>
      <c r="J31" s="39"/>
      <c r="K31" s="7"/>
    </row>
    <row r="32" spans="1:11" x14ac:dyDescent="0.2">
      <c r="A32" s="273"/>
      <c r="B32" s="279"/>
      <c r="C32" s="279"/>
      <c r="D32" s="279"/>
      <c r="E32" s="279"/>
      <c r="F32" s="273"/>
      <c r="G32" s="273"/>
      <c r="H32" s="273"/>
      <c r="I32" s="273"/>
      <c r="J32" s="89"/>
      <c r="K32" s="7"/>
    </row>
    <row r="33" spans="1:11" ht="15" customHeight="1" x14ac:dyDescent="0.2">
      <c r="A33" s="273"/>
      <c r="B33" s="279"/>
      <c r="C33" s="279"/>
      <c r="D33" s="279"/>
      <c r="E33" s="279"/>
      <c r="F33" s="288" t="s">
        <v>1807</v>
      </c>
      <c r="G33" s="272" t="s">
        <v>1760</v>
      </c>
      <c r="H33" s="272" t="s">
        <v>507</v>
      </c>
      <c r="I33" s="354" t="s">
        <v>4165</v>
      </c>
      <c r="J33" s="26"/>
      <c r="K33" s="7"/>
    </row>
    <row r="34" spans="1:11" ht="15" customHeight="1" x14ac:dyDescent="0.2">
      <c r="A34" s="273"/>
      <c r="B34" s="279"/>
      <c r="C34" s="279"/>
      <c r="D34" s="279"/>
      <c r="E34" s="279"/>
      <c r="F34" s="288"/>
      <c r="G34" s="272"/>
      <c r="H34" s="272"/>
      <c r="I34" s="272"/>
      <c r="J34" s="26"/>
      <c r="K34" s="7"/>
    </row>
    <row r="35" spans="1:11" x14ac:dyDescent="0.2">
      <c r="A35" s="273"/>
      <c r="B35" s="279"/>
      <c r="C35" s="279"/>
      <c r="D35" s="279"/>
      <c r="E35" s="279"/>
      <c r="F35" s="273"/>
      <c r="G35" s="273"/>
      <c r="H35" s="273"/>
      <c r="I35" s="273"/>
      <c r="J35" s="89"/>
      <c r="K35" s="7"/>
    </row>
    <row r="36" spans="1:11" x14ac:dyDescent="0.2">
      <c r="A36" s="273"/>
      <c r="B36" s="279"/>
      <c r="C36" s="279"/>
      <c r="D36" s="279"/>
      <c r="E36" s="279"/>
      <c r="F36" s="288" t="s">
        <v>1808</v>
      </c>
      <c r="G36" s="272" t="s">
        <v>1761</v>
      </c>
      <c r="H36" s="272" t="s">
        <v>507</v>
      </c>
      <c r="I36" s="272"/>
      <c r="J36" s="26"/>
      <c r="K36" s="7"/>
    </row>
    <row r="37" spans="1:11" x14ac:dyDescent="0.2">
      <c r="A37" s="273"/>
      <c r="B37" s="279"/>
      <c r="C37" s="279"/>
      <c r="D37" s="279"/>
      <c r="E37" s="279"/>
      <c r="F37" s="288"/>
      <c r="G37" s="272"/>
      <c r="H37" s="272"/>
      <c r="I37" s="272"/>
      <c r="J37" s="26"/>
      <c r="K37" s="7"/>
    </row>
    <row r="38" spans="1:11" x14ac:dyDescent="0.2">
      <c r="A38" s="273"/>
      <c r="B38" s="279"/>
      <c r="C38" s="279"/>
      <c r="D38" s="279"/>
      <c r="E38" s="279"/>
      <c r="F38" s="273"/>
      <c r="G38" s="273"/>
      <c r="H38" s="273"/>
      <c r="I38" s="273"/>
      <c r="J38" s="89"/>
      <c r="K38" s="7"/>
    </row>
    <row r="39" spans="1:11" x14ac:dyDescent="0.2">
      <c r="A39" s="273"/>
      <c r="B39" s="279"/>
      <c r="C39" s="279"/>
      <c r="D39" s="279"/>
      <c r="E39" s="279"/>
      <c r="F39" s="288" t="s">
        <v>1809</v>
      </c>
      <c r="G39" s="289" t="s">
        <v>1762</v>
      </c>
      <c r="H39" s="272" t="s">
        <v>507</v>
      </c>
      <c r="I39" s="289"/>
      <c r="J39" s="39"/>
      <c r="K39" s="7"/>
    </row>
    <row r="40" spans="1:11" x14ac:dyDescent="0.2">
      <c r="A40" s="273"/>
      <c r="B40" s="279"/>
      <c r="C40" s="279"/>
      <c r="D40" s="279"/>
      <c r="E40" s="279"/>
      <c r="F40" s="288"/>
      <c r="G40" s="289"/>
      <c r="H40" s="272"/>
      <c r="I40" s="289"/>
      <c r="J40" s="39"/>
      <c r="K40" s="7"/>
    </row>
    <row r="41" spans="1:11" x14ac:dyDescent="0.2">
      <c r="A41" s="273"/>
      <c r="B41" s="279"/>
      <c r="C41" s="279"/>
      <c r="D41" s="279"/>
      <c r="E41" s="279"/>
      <c r="F41" s="273"/>
      <c r="G41" s="273"/>
      <c r="H41" s="273"/>
      <c r="I41" s="273"/>
      <c r="J41" s="89"/>
      <c r="K41" s="37"/>
    </row>
    <row r="42" spans="1:11" x14ac:dyDescent="0.2">
      <c r="A42" s="273"/>
      <c r="B42" s="279"/>
      <c r="C42" s="279"/>
      <c r="D42" s="279"/>
      <c r="E42" s="279"/>
      <c r="F42" s="288" t="s">
        <v>1810</v>
      </c>
      <c r="G42" s="272" t="s">
        <v>1763</v>
      </c>
      <c r="H42" s="272" t="s">
        <v>507</v>
      </c>
      <c r="I42" s="272"/>
      <c r="J42" s="26"/>
      <c r="K42" s="37"/>
    </row>
    <row r="43" spans="1:11" x14ac:dyDescent="0.2">
      <c r="A43" s="273"/>
      <c r="B43" s="279"/>
      <c r="C43" s="279"/>
      <c r="D43" s="279"/>
      <c r="E43" s="279"/>
      <c r="F43" s="288"/>
      <c r="G43" s="272"/>
      <c r="H43" s="272"/>
      <c r="I43" s="272"/>
      <c r="J43" s="26"/>
      <c r="K43" s="37"/>
    </row>
    <row r="44" spans="1:11" x14ac:dyDescent="0.2">
      <c r="A44" s="273"/>
      <c r="B44" s="279"/>
      <c r="C44" s="279"/>
      <c r="D44" s="279"/>
      <c r="E44" s="279"/>
      <c r="F44" s="273"/>
      <c r="G44" s="273"/>
      <c r="H44" s="273"/>
      <c r="I44" s="273"/>
      <c r="J44" s="89"/>
      <c r="K44" s="37"/>
    </row>
    <row r="45" spans="1:11" ht="15" customHeight="1" x14ac:dyDescent="0.2">
      <c r="A45" s="273"/>
      <c r="B45" s="279"/>
      <c r="C45" s="279"/>
      <c r="D45" s="279"/>
      <c r="E45" s="279"/>
      <c r="F45" s="288" t="s">
        <v>1811</v>
      </c>
      <c r="G45" s="272" t="s">
        <v>1764</v>
      </c>
      <c r="H45" s="272" t="s">
        <v>507</v>
      </c>
      <c r="I45" s="272"/>
      <c r="J45" s="26"/>
      <c r="K45" s="37"/>
    </row>
    <row r="46" spans="1:11" x14ac:dyDescent="0.2">
      <c r="A46" s="273"/>
      <c r="B46" s="279"/>
      <c r="C46" s="279"/>
      <c r="D46" s="279"/>
      <c r="E46" s="279"/>
      <c r="F46" s="288"/>
      <c r="G46" s="272"/>
      <c r="H46" s="272"/>
      <c r="I46" s="272"/>
      <c r="J46" s="26"/>
      <c r="K46" s="37"/>
    </row>
    <row r="47" spans="1:11" x14ac:dyDescent="0.2">
      <c r="A47" s="273"/>
      <c r="B47" s="279"/>
      <c r="C47" s="279"/>
      <c r="D47" s="279"/>
      <c r="E47" s="279"/>
      <c r="F47" s="273"/>
      <c r="G47" s="273"/>
      <c r="H47" s="273"/>
      <c r="I47" s="273"/>
      <c r="J47" s="89"/>
      <c r="K47" s="37"/>
    </row>
    <row r="48" spans="1:11" ht="15" customHeight="1" x14ac:dyDescent="0.2">
      <c r="A48" s="273"/>
      <c r="B48" s="279"/>
      <c r="C48" s="279"/>
      <c r="D48" s="279"/>
      <c r="E48" s="279"/>
      <c r="F48" s="288" t="s">
        <v>1812</v>
      </c>
      <c r="G48" s="272" t="s">
        <v>1765</v>
      </c>
      <c r="H48" s="272" t="s">
        <v>507</v>
      </c>
      <c r="I48" s="272"/>
      <c r="J48" s="26"/>
      <c r="K48" s="37"/>
    </row>
    <row r="49" spans="1:11" x14ac:dyDescent="0.2">
      <c r="A49" s="273"/>
      <c r="B49" s="279"/>
      <c r="C49" s="279"/>
      <c r="D49" s="279"/>
      <c r="E49" s="279"/>
      <c r="F49" s="288"/>
      <c r="G49" s="272"/>
      <c r="H49" s="272"/>
      <c r="I49" s="272"/>
      <c r="J49" s="26"/>
      <c r="K49" s="37"/>
    </row>
    <row r="50" spans="1:11" x14ac:dyDescent="0.2">
      <c r="A50" s="273"/>
      <c r="B50" s="279"/>
      <c r="C50" s="279"/>
      <c r="D50" s="279"/>
      <c r="E50" s="279"/>
      <c r="F50" s="273"/>
      <c r="G50" s="273"/>
      <c r="H50" s="273"/>
      <c r="I50" s="273"/>
      <c r="J50" s="89"/>
      <c r="K50" s="37"/>
    </row>
    <row r="51" spans="1:11" ht="15" customHeight="1" x14ac:dyDescent="0.25">
      <c r="A51" s="273"/>
      <c r="B51" s="279"/>
      <c r="C51" s="279"/>
      <c r="D51" s="279"/>
      <c r="E51" s="279"/>
      <c r="F51" s="288" t="s">
        <v>1813</v>
      </c>
      <c r="G51" s="272" t="s">
        <v>1766</v>
      </c>
      <c r="H51" s="272" t="s">
        <v>507</v>
      </c>
      <c r="I51" s="272"/>
      <c r="J51" s="26"/>
      <c r="K51" s="104"/>
    </row>
    <row r="52" spans="1:11" ht="15" customHeight="1" x14ac:dyDescent="0.25">
      <c r="A52" s="273"/>
      <c r="B52" s="279"/>
      <c r="C52" s="279"/>
      <c r="D52" s="279"/>
      <c r="E52" s="279"/>
      <c r="F52" s="288"/>
      <c r="G52" s="272"/>
      <c r="H52" s="272"/>
      <c r="I52" s="272"/>
      <c r="J52" s="26"/>
      <c r="K52" s="104"/>
    </row>
    <row r="53" spans="1:11" x14ac:dyDescent="0.25">
      <c r="A53" s="273"/>
      <c r="B53" s="279"/>
      <c r="C53" s="279"/>
      <c r="D53" s="279"/>
      <c r="E53" s="279"/>
      <c r="F53" s="273"/>
      <c r="G53" s="273"/>
      <c r="H53" s="273"/>
      <c r="I53" s="273"/>
      <c r="J53" s="89"/>
      <c r="K53" s="33"/>
    </row>
    <row r="54" spans="1:11" x14ac:dyDescent="0.25">
      <c r="A54" s="276"/>
      <c r="B54" s="280" t="s">
        <v>1814</v>
      </c>
      <c r="C54" s="280" t="s">
        <v>564</v>
      </c>
      <c r="D54" s="391" t="s">
        <v>1785</v>
      </c>
      <c r="E54" s="280"/>
      <c r="F54" s="288" t="s">
        <v>1815</v>
      </c>
      <c r="G54" s="337" t="s">
        <v>1774</v>
      </c>
      <c r="H54" s="272" t="s">
        <v>515</v>
      </c>
      <c r="I54" s="354" t="s">
        <v>4166</v>
      </c>
      <c r="J54" s="26"/>
      <c r="K54" s="33"/>
    </row>
    <row r="55" spans="1:11" x14ac:dyDescent="0.25">
      <c r="A55" s="276"/>
      <c r="B55" s="280"/>
      <c r="C55" s="280"/>
      <c r="D55" s="280"/>
      <c r="E55" s="280"/>
      <c r="F55" s="288"/>
      <c r="G55" s="272"/>
      <c r="H55" s="272"/>
      <c r="I55" s="272"/>
      <c r="J55" s="26"/>
      <c r="K55" s="33"/>
    </row>
    <row r="56" spans="1:11" x14ac:dyDescent="0.25">
      <c r="A56" s="276"/>
      <c r="B56" s="281"/>
      <c r="C56" s="281"/>
      <c r="D56" s="281"/>
      <c r="E56" s="281"/>
      <c r="F56" s="273"/>
      <c r="G56" s="273"/>
      <c r="H56" s="273"/>
      <c r="I56" s="273"/>
      <c r="J56" s="89"/>
      <c r="K56" s="33"/>
    </row>
    <row r="57" spans="1:11" ht="15" customHeight="1" x14ac:dyDescent="0.25">
      <c r="A57" s="276"/>
      <c r="B57" s="281"/>
      <c r="C57" s="281"/>
      <c r="D57" s="281"/>
      <c r="E57" s="281"/>
      <c r="F57" s="288" t="s">
        <v>1816</v>
      </c>
      <c r="G57" s="337" t="s">
        <v>1776</v>
      </c>
      <c r="H57" s="272" t="s">
        <v>507</v>
      </c>
      <c r="I57" s="272"/>
      <c r="J57" s="26"/>
      <c r="K57" s="33"/>
    </row>
    <row r="58" spans="1:11" ht="15" customHeight="1" x14ac:dyDescent="0.25">
      <c r="A58" s="276"/>
      <c r="B58" s="281"/>
      <c r="C58" s="281"/>
      <c r="D58" s="281"/>
      <c r="E58" s="281"/>
      <c r="F58" s="288"/>
      <c r="G58" s="272"/>
      <c r="H58" s="272"/>
      <c r="I58" s="272"/>
      <c r="J58" s="26"/>
      <c r="K58" s="33"/>
    </row>
    <row r="59" spans="1:11" x14ac:dyDescent="0.25">
      <c r="A59" s="276"/>
      <c r="B59" s="281"/>
      <c r="C59" s="281"/>
      <c r="D59" s="281"/>
      <c r="E59" s="281"/>
      <c r="F59" s="273"/>
      <c r="G59" s="273"/>
      <c r="H59" s="273"/>
      <c r="I59" s="273"/>
      <c r="J59" s="89"/>
      <c r="K59" s="33"/>
    </row>
    <row r="60" spans="1:11" ht="15" customHeight="1" x14ac:dyDescent="0.25">
      <c r="A60" s="276"/>
      <c r="B60" s="281"/>
      <c r="C60" s="281"/>
      <c r="D60" s="281"/>
      <c r="E60" s="281"/>
      <c r="F60" s="288" t="s">
        <v>1817</v>
      </c>
      <c r="G60" s="337" t="s">
        <v>1775</v>
      </c>
      <c r="H60" s="272" t="s">
        <v>507</v>
      </c>
      <c r="I60" s="272"/>
      <c r="J60" s="26"/>
      <c r="K60" s="33"/>
    </row>
    <row r="61" spans="1:11" ht="15" customHeight="1" x14ac:dyDescent="0.25">
      <c r="A61" s="276"/>
      <c r="B61" s="281"/>
      <c r="C61" s="281"/>
      <c r="D61" s="281"/>
      <c r="E61" s="281"/>
      <c r="F61" s="288"/>
      <c r="G61" s="272"/>
      <c r="H61" s="272"/>
      <c r="I61" s="272"/>
      <c r="J61" s="26"/>
      <c r="K61" s="33"/>
    </row>
    <row r="62" spans="1:11" x14ac:dyDescent="0.25">
      <c r="A62" s="276"/>
      <c r="B62" s="281"/>
      <c r="C62" s="281"/>
      <c r="D62" s="281"/>
      <c r="E62" s="281"/>
      <c r="F62" s="273"/>
      <c r="G62" s="273"/>
      <c r="H62" s="273"/>
      <c r="I62" s="273"/>
      <c r="J62" s="89"/>
      <c r="K62" s="33"/>
    </row>
    <row r="63" spans="1:11" x14ac:dyDescent="0.25">
      <c r="A63" s="276"/>
      <c r="B63" s="281"/>
      <c r="C63" s="281"/>
      <c r="D63" s="281"/>
      <c r="E63" s="281"/>
      <c r="F63" s="288" t="s">
        <v>1818</v>
      </c>
      <c r="G63" s="337" t="s">
        <v>1777</v>
      </c>
      <c r="H63" s="272" t="s">
        <v>507</v>
      </c>
      <c r="I63" s="272"/>
      <c r="J63" s="26"/>
      <c r="K63" s="33"/>
    </row>
    <row r="64" spans="1:11" x14ac:dyDescent="0.25">
      <c r="A64" s="276"/>
      <c r="B64" s="281"/>
      <c r="C64" s="281"/>
      <c r="D64" s="281"/>
      <c r="E64" s="281"/>
      <c r="F64" s="288"/>
      <c r="G64" s="272"/>
      <c r="H64" s="272"/>
      <c r="I64" s="272"/>
      <c r="J64" s="26"/>
      <c r="K64" s="33"/>
    </row>
    <row r="65" spans="1:11" x14ac:dyDescent="0.25">
      <c r="A65" s="276"/>
      <c r="B65" s="281"/>
      <c r="C65" s="281"/>
      <c r="D65" s="281"/>
      <c r="E65" s="281"/>
      <c r="F65" s="273"/>
      <c r="G65" s="273"/>
      <c r="H65" s="273"/>
      <c r="I65" s="273"/>
      <c r="J65" s="89"/>
      <c r="K65" s="33"/>
    </row>
    <row r="66" spans="1:11" x14ac:dyDescent="0.25">
      <c r="A66" s="276"/>
      <c r="B66" s="281"/>
      <c r="C66" s="281"/>
      <c r="D66" s="281"/>
      <c r="E66" s="281"/>
      <c r="F66" s="288" t="s">
        <v>1819</v>
      </c>
      <c r="G66" s="337" t="s">
        <v>1778</v>
      </c>
      <c r="H66" s="272" t="s">
        <v>507</v>
      </c>
      <c r="I66" s="272"/>
      <c r="J66" s="26"/>
      <c r="K66" s="33"/>
    </row>
    <row r="67" spans="1:11" x14ac:dyDescent="0.25">
      <c r="A67" s="276"/>
      <c r="B67" s="281"/>
      <c r="C67" s="281"/>
      <c r="D67" s="281"/>
      <c r="E67" s="281"/>
      <c r="F67" s="288"/>
      <c r="G67" s="272"/>
      <c r="H67" s="272"/>
      <c r="I67" s="272"/>
      <c r="J67" s="26"/>
      <c r="K67" s="33"/>
    </row>
    <row r="68" spans="1:11" x14ac:dyDescent="0.25">
      <c r="A68" s="276"/>
      <c r="B68" s="281"/>
      <c r="C68" s="281"/>
      <c r="D68" s="281"/>
      <c r="E68" s="281"/>
      <c r="F68" s="273"/>
      <c r="G68" s="273"/>
      <c r="H68" s="273"/>
      <c r="I68" s="273"/>
      <c r="J68" s="89"/>
      <c r="K68" s="33"/>
    </row>
    <row r="69" spans="1:11" ht="15" customHeight="1" x14ac:dyDescent="0.25">
      <c r="A69" s="276"/>
      <c r="B69" s="281"/>
      <c r="C69" s="281"/>
      <c r="D69" s="281"/>
      <c r="E69" s="281"/>
      <c r="F69" s="288" t="s">
        <v>1820</v>
      </c>
      <c r="G69" s="337" t="s">
        <v>1779</v>
      </c>
      <c r="H69" s="272" t="s">
        <v>507</v>
      </c>
      <c r="I69" s="272"/>
      <c r="J69" s="26"/>
      <c r="K69" s="33"/>
    </row>
    <row r="70" spans="1:11" ht="15" customHeight="1" x14ac:dyDescent="0.25">
      <c r="A70" s="276"/>
      <c r="B70" s="281"/>
      <c r="C70" s="281"/>
      <c r="D70" s="281"/>
      <c r="E70" s="281"/>
      <c r="F70" s="288"/>
      <c r="G70" s="272"/>
      <c r="H70" s="272"/>
      <c r="I70" s="272"/>
      <c r="J70" s="26"/>
      <c r="K70" s="33"/>
    </row>
    <row r="71" spans="1:11" x14ac:dyDescent="0.25">
      <c r="A71" s="276"/>
      <c r="B71" s="281"/>
      <c r="C71" s="281"/>
      <c r="D71" s="281"/>
      <c r="E71" s="281"/>
      <c r="F71" s="273"/>
      <c r="G71" s="273"/>
      <c r="H71" s="273"/>
      <c r="I71" s="273"/>
      <c r="J71" s="89"/>
      <c r="K71" s="33"/>
    </row>
    <row r="72" spans="1:11" ht="15" customHeight="1" x14ac:dyDescent="0.25">
      <c r="A72" s="276"/>
      <c r="B72" s="281"/>
      <c r="C72" s="281"/>
      <c r="D72" s="281"/>
      <c r="E72" s="281"/>
      <c r="F72" s="288" t="s">
        <v>1820</v>
      </c>
      <c r="G72" s="337" t="s">
        <v>1780</v>
      </c>
      <c r="H72" s="272" t="s">
        <v>515</v>
      </c>
      <c r="I72" s="272"/>
      <c r="J72" s="26"/>
      <c r="K72" s="33"/>
    </row>
    <row r="73" spans="1:11" ht="15" customHeight="1" x14ac:dyDescent="0.25">
      <c r="A73" s="276"/>
      <c r="B73" s="281"/>
      <c r="C73" s="281"/>
      <c r="D73" s="281"/>
      <c r="E73" s="281"/>
      <c r="F73" s="288"/>
      <c r="G73" s="272"/>
      <c r="H73" s="272"/>
      <c r="I73" s="272"/>
      <c r="J73" s="26"/>
      <c r="K73" s="33"/>
    </row>
    <row r="74" spans="1:11" x14ac:dyDescent="0.25">
      <c r="A74" s="276"/>
      <c r="B74" s="281"/>
      <c r="C74" s="281"/>
      <c r="D74" s="281"/>
      <c r="E74" s="281"/>
      <c r="F74" s="273"/>
      <c r="G74" s="273"/>
      <c r="H74" s="273"/>
      <c r="I74" s="273"/>
      <c r="J74" s="89"/>
      <c r="K74" s="33"/>
    </row>
    <row r="75" spans="1:11" ht="15" customHeight="1" x14ac:dyDescent="0.25">
      <c r="A75" s="276"/>
      <c r="B75" s="281"/>
      <c r="C75" s="281"/>
      <c r="D75" s="281"/>
      <c r="E75" s="281"/>
      <c r="F75" s="288" t="s">
        <v>1820</v>
      </c>
      <c r="G75" s="272"/>
      <c r="H75" s="272"/>
      <c r="I75" s="272"/>
      <c r="J75" s="26"/>
      <c r="K75" s="33"/>
    </row>
    <row r="76" spans="1:11" ht="15" customHeight="1" x14ac:dyDescent="0.25">
      <c r="A76" s="276"/>
      <c r="B76" s="281"/>
      <c r="C76" s="281"/>
      <c r="D76" s="281"/>
      <c r="E76" s="281"/>
      <c r="F76" s="288"/>
      <c r="G76" s="272"/>
      <c r="H76" s="272"/>
      <c r="I76" s="272"/>
      <c r="J76" s="26"/>
      <c r="K76" s="33"/>
    </row>
    <row r="77" spans="1:11" x14ac:dyDescent="0.25">
      <c r="A77" s="276"/>
      <c r="B77" s="281"/>
      <c r="C77" s="281"/>
      <c r="D77" s="281"/>
      <c r="E77" s="281"/>
      <c r="F77" s="273"/>
      <c r="G77" s="273"/>
      <c r="H77" s="273"/>
      <c r="I77" s="273"/>
      <c r="J77" s="89"/>
      <c r="K77" s="33"/>
    </row>
    <row r="78" spans="1:11" x14ac:dyDescent="0.25">
      <c r="A78" s="276"/>
      <c r="B78" s="282" t="s">
        <v>1821</v>
      </c>
      <c r="C78" s="282" t="s">
        <v>566</v>
      </c>
      <c r="D78" s="347" t="s">
        <v>1786</v>
      </c>
      <c r="E78" s="282"/>
      <c r="F78" s="288" t="s">
        <v>1822</v>
      </c>
      <c r="G78" s="337" t="s">
        <v>1781</v>
      </c>
      <c r="H78" s="272" t="s">
        <v>507</v>
      </c>
      <c r="I78" s="272"/>
      <c r="J78" s="26"/>
      <c r="K78" s="33"/>
    </row>
    <row r="79" spans="1:11" x14ac:dyDescent="0.25">
      <c r="A79" s="276"/>
      <c r="B79" s="283"/>
      <c r="C79" s="283"/>
      <c r="D79" s="283"/>
      <c r="E79" s="283"/>
      <c r="F79" s="288"/>
      <c r="G79" s="272"/>
      <c r="H79" s="272"/>
      <c r="I79" s="272"/>
      <c r="J79" s="26"/>
      <c r="K79" s="33"/>
    </row>
    <row r="80" spans="1:11" x14ac:dyDescent="0.2">
      <c r="A80" s="276"/>
      <c r="B80" s="284"/>
      <c r="C80" s="284"/>
      <c r="D80" s="284"/>
      <c r="E80" s="284"/>
      <c r="F80" s="273"/>
      <c r="G80" s="273"/>
      <c r="H80" s="273"/>
      <c r="I80" s="273"/>
      <c r="J80" s="89"/>
      <c r="K80" s="34"/>
    </row>
    <row r="81" spans="1:11" x14ac:dyDescent="0.2">
      <c r="A81" s="276"/>
      <c r="B81" s="285"/>
      <c r="C81" s="285"/>
      <c r="D81" s="285"/>
      <c r="E81" s="285"/>
      <c r="F81" s="288" t="s">
        <v>1823</v>
      </c>
      <c r="G81" s="337" t="s">
        <v>1782</v>
      </c>
      <c r="H81" s="272" t="s">
        <v>507</v>
      </c>
      <c r="I81" s="272"/>
      <c r="J81" s="26"/>
      <c r="K81" s="34"/>
    </row>
    <row r="82" spans="1:11" x14ac:dyDescent="0.2">
      <c r="A82" s="276"/>
      <c r="B82" s="285"/>
      <c r="C82" s="285"/>
      <c r="D82" s="285"/>
      <c r="E82" s="285"/>
      <c r="F82" s="288"/>
      <c r="G82" s="272"/>
      <c r="H82" s="272"/>
      <c r="I82" s="272"/>
      <c r="J82" s="26"/>
      <c r="K82" s="34"/>
    </row>
    <row r="83" spans="1:11" x14ac:dyDescent="0.2">
      <c r="A83" s="276"/>
      <c r="B83" s="285"/>
      <c r="C83" s="285"/>
      <c r="D83" s="285"/>
      <c r="E83" s="285"/>
      <c r="F83" s="273"/>
      <c r="G83" s="273"/>
      <c r="H83" s="273"/>
      <c r="I83" s="273"/>
      <c r="J83" s="89"/>
      <c r="K83" s="34"/>
    </row>
    <row r="84" spans="1:11" ht="16.350000000000001" customHeight="1" x14ac:dyDescent="0.2">
      <c r="A84" s="276"/>
      <c r="B84" s="285"/>
      <c r="C84" s="285"/>
      <c r="D84" s="285"/>
      <c r="E84" s="285"/>
      <c r="F84" s="288" t="s">
        <v>1824</v>
      </c>
      <c r="G84" s="337" t="s">
        <v>1783</v>
      </c>
      <c r="H84" s="272" t="s">
        <v>507</v>
      </c>
      <c r="I84" s="272"/>
      <c r="J84" s="26"/>
      <c r="K84" s="34"/>
    </row>
    <row r="85" spans="1:11" ht="16.350000000000001" customHeight="1" x14ac:dyDescent="0.2">
      <c r="A85" s="276"/>
      <c r="B85" s="285"/>
      <c r="C85" s="285"/>
      <c r="D85" s="285"/>
      <c r="E85" s="285"/>
      <c r="F85" s="288"/>
      <c r="G85" s="272"/>
      <c r="H85" s="272"/>
      <c r="I85" s="272"/>
      <c r="J85" s="26"/>
      <c r="K85" s="34"/>
    </row>
    <row r="86" spans="1:11" x14ac:dyDescent="0.2">
      <c r="A86" s="276"/>
      <c r="B86" s="285"/>
      <c r="C86" s="285"/>
      <c r="D86" s="285"/>
      <c r="E86" s="285"/>
      <c r="F86" s="273"/>
      <c r="G86" s="273"/>
      <c r="H86" s="273"/>
      <c r="I86" s="273"/>
      <c r="J86" s="89"/>
      <c r="K86" s="34"/>
    </row>
    <row r="87" spans="1:11" ht="16.350000000000001" customHeight="1" x14ac:dyDescent="0.2">
      <c r="A87" s="276"/>
      <c r="B87" s="285"/>
      <c r="C87" s="285"/>
      <c r="D87" s="285"/>
      <c r="E87" s="285"/>
      <c r="F87" s="288" t="s">
        <v>1825</v>
      </c>
      <c r="G87" s="272" t="s">
        <v>1767</v>
      </c>
      <c r="H87" s="272" t="s">
        <v>511</v>
      </c>
      <c r="I87" s="272"/>
      <c r="J87" s="26"/>
      <c r="K87" s="34"/>
    </row>
    <row r="88" spans="1:11" ht="16.350000000000001" customHeight="1" x14ac:dyDescent="0.2">
      <c r="A88" s="276"/>
      <c r="B88" s="285"/>
      <c r="C88" s="285"/>
      <c r="D88" s="285"/>
      <c r="E88" s="285"/>
      <c r="F88" s="288"/>
      <c r="G88" s="272"/>
      <c r="H88" s="272"/>
      <c r="I88" s="272"/>
      <c r="J88" s="26"/>
      <c r="K88" s="34"/>
    </row>
    <row r="89" spans="1:11" x14ac:dyDescent="0.2">
      <c r="A89" s="276"/>
      <c r="B89" s="285"/>
      <c r="C89" s="285"/>
      <c r="D89" s="285"/>
      <c r="E89" s="285"/>
      <c r="F89" s="273"/>
      <c r="G89" s="273"/>
      <c r="H89" s="273"/>
      <c r="I89" s="273"/>
      <c r="J89" s="89"/>
      <c r="K89" s="100"/>
    </row>
    <row r="90" spans="1:11" ht="16.350000000000001" customHeight="1" x14ac:dyDescent="0.2">
      <c r="A90" s="276"/>
      <c r="B90" s="285"/>
      <c r="C90" s="285"/>
      <c r="D90" s="285"/>
      <c r="E90" s="285"/>
      <c r="F90" s="288" t="s">
        <v>1826</v>
      </c>
      <c r="G90" s="272" t="s">
        <v>1768</v>
      </c>
      <c r="H90" s="272" t="s">
        <v>507</v>
      </c>
      <c r="I90" s="272"/>
      <c r="J90" s="26"/>
      <c r="K90" s="100"/>
    </row>
    <row r="91" spans="1:11" ht="16.350000000000001" customHeight="1" x14ac:dyDescent="0.2">
      <c r="A91" s="276"/>
      <c r="B91" s="285"/>
      <c r="C91" s="285"/>
      <c r="D91" s="285"/>
      <c r="E91" s="285"/>
      <c r="F91" s="288"/>
      <c r="G91" s="272"/>
      <c r="H91" s="272"/>
      <c r="I91" s="272"/>
      <c r="J91" s="26"/>
      <c r="K91" s="100"/>
    </row>
    <row r="92" spans="1:11" x14ac:dyDescent="0.2">
      <c r="A92" s="276"/>
      <c r="B92" s="285"/>
      <c r="C92" s="285"/>
      <c r="D92" s="285"/>
      <c r="E92" s="285"/>
      <c r="F92" s="273"/>
      <c r="G92" s="273"/>
      <c r="H92" s="273"/>
      <c r="I92" s="273"/>
      <c r="J92" s="89"/>
      <c r="K92" s="37"/>
    </row>
    <row r="93" spans="1:11" ht="16.350000000000001" customHeight="1" x14ac:dyDescent="0.2">
      <c r="A93" s="276"/>
      <c r="B93" s="285"/>
      <c r="C93" s="285"/>
      <c r="D93" s="285"/>
      <c r="E93" s="285"/>
      <c r="F93" s="288" t="s">
        <v>1827</v>
      </c>
      <c r="G93" s="272" t="s">
        <v>1769</v>
      </c>
      <c r="H93" s="272" t="s">
        <v>507</v>
      </c>
      <c r="I93" s="272"/>
      <c r="J93" s="26"/>
      <c r="K93" s="34"/>
    </row>
    <row r="94" spans="1:11" ht="16.350000000000001" customHeight="1" x14ac:dyDescent="0.2">
      <c r="A94" s="276"/>
      <c r="B94" s="285"/>
      <c r="C94" s="285"/>
      <c r="D94" s="285"/>
      <c r="E94" s="285"/>
      <c r="F94" s="288"/>
      <c r="G94" s="272"/>
      <c r="H94" s="272"/>
      <c r="I94" s="272"/>
      <c r="J94" s="26"/>
      <c r="K94" s="34"/>
    </row>
    <row r="95" spans="1:11" x14ac:dyDescent="0.2">
      <c r="A95" s="276"/>
      <c r="B95" s="285"/>
      <c r="C95" s="285"/>
      <c r="D95" s="285"/>
      <c r="E95" s="285"/>
      <c r="F95" s="273"/>
      <c r="G95" s="273"/>
      <c r="H95" s="273"/>
      <c r="I95" s="273"/>
      <c r="J95" s="89"/>
      <c r="K95" s="100"/>
    </row>
    <row r="96" spans="1:11" x14ac:dyDescent="0.25">
      <c r="A96" s="276"/>
      <c r="B96" s="282" t="s">
        <v>1828</v>
      </c>
      <c r="C96" s="282"/>
      <c r="D96" s="282"/>
      <c r="E96" s="282"/>
      <c r="F96" s="288" t="s">
        <v>1829</v>
      </c>
      <c r="G96" s="272"/>
      <c r="H96" s="272"/>
      <c r="I96" s="272"/>
      <c r="J96" s="26"/>
      <c r="K96" s="33"/>
    </row>
    <row r="97" spans="1:11" x14ac:dyDescent="0.25">
      <c r="A97" s="276"/>
      <c r="B97" s="283"/>
      <c r="C97" s="283"/>
      <c r="D97" s="283"/>
      <c r="E97" s="283"/>
      <c r="F97" s="288"/>
      <c r="G97" s="272"/>
      <c r="H97" s="272"/>
      <c r="I97" s="272"/>
      <c r="J97" s="26"/>
      <c r="K97" s="33"/>
    </row>
    <row r="98" spans="1:11" x14ac:dyDescent="0.2">
      <c r="A98" s="276"/>
      <c r="B98" s="284"/>
      <c r="C98" s="284"/>
      <c r="D98" s="284"/>
      <c r="E98" s="284"/>
      <c r="F98" s="273"/>
      <c r="G98" s="273"/>
      <c r="H98" s="273"/>
      <c r="I98" s="273"/>
      <c r="J98" s="89"/>
      <c r="K98" s="34"/>
    </row>
    <row r="99" spans="1:11" ht="15" customHeight="1" x14ac:dyDescent="0.2">
      <c r="A99" s="276"/>
      <c r="B99" s="285"/>
      <c r="C99" s="285"/>
      <c r="D99" s="285"/>
      <c r="E99" s="285"/>
      <c r="F99" s="288" t="s">
        <v>1830</v>
      </c>
      <c r="G99" s="272"/>
      <c r="H99" s="272"/>
      <c r="I99" s="272"/>
      <c r="J99" s="26"/>
      <c r="K99" s="34"/>
    </row>
    <row r="100" spans="1:1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ht="16.350000000000001" customHeight="1" x14ac:dyDescent="0.2">
      <c r="A102" s="276"/>
      <c r="B102" s="285"/>
      <c r="C102" s="285"/>
      <c r="D102" s="285"/>
      <c r="E102" s="285"/>
      <c r="F102" s="288" t="s">
        <v>1831</v>
      </c>
      <c r="G102" s="272"/>
      <c r="H102" s="272"/>
      <c r="I102" s="272"/>
      <c r="J102" s="26"/>
      <c r="K102" s="34"/>
    </row>
    <row r="103" spans="1:11" ht="16.350000000000001" customHeight="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34"/>
    </row>
    <row r="105" spans="1:11" ht="16.350000000000001" customHeight="1" x14ac:dyDescent="0.2">
      <c r="A105" s="276"/>
      <c r="B105" s="285"/>
      <c r="C105" s="285"/>
      <c r="D105" s="285"/>
      <c r="E105" s="285"/>
      <c r="F105" s="288" t="s">
        <v>1832</v>
      </c>
      <c r="G105" s="272"/>
      <c r="H105" s="272"/>
      <c r="I105" s="272"/>
      <c r="J105" s="26"/>
      <c r="K105" s="34"/>
    </row>
    <row r="106" spans="1:11" ht="16.350000000000001" customHeight="1" x14ac:dyDescent="0.2">
      <c r="A106" s="276"/>
      <c r="B106" s="285"/>
      <c r="C106" s="285"/>
      <c r="D106" s="285"/>
      <c r="E106" s="285"/>
      <c r="F106" s="288"/>
      <c r="G106" s="272"/>
      <c r="H106" s="272"/>
      <c r="I106" s="272"/>
      <c r="J106" s="26"/>
      <c r="K106" s="34"/>
    </row>
    <row r="107" spans="1:11" x14ac:dyDescent="0.2">
      <c r="A107" s="276"/>
      <c r="B107" s="285"/>
      <c r="C107" s="285"/>
      <c r="D107" s="285"/>
      <c r="E107" s="285"/>
      <c r="F107" s="273"/>
      <c r="G107" s="273"/>
      <c r="H107" s="273"/>
      <c r="I107" s="273"/>
      <c r="J107" s="89"/>
      <c r="K107" s="100"/>
    </row>
    <row r="108" spans="1:11" ht="16.350000000000001" customHeight="1" x14ac:dyDescent="0.2">
      <c r="A108" s="276"/>
      <c r="B108" s="285"/>
      <c r="C108" s="285"/>
      <c r="D108" s="285"/>
      <c r="E108" s="285"/>
      <c r="F108" s="288" t="s">
        <v>1833</v>
      </c>
      <c r="G108" s="272"/>
      <c r="H108" s="272"/>
      <c r="I108" s="272"/>
      <c r="J108" s="26"/>
      <c r="K108" s="100"/>
    </row>
    <row r="109" spans="1:11" ht="16.350000000000001" customHeight="1" x14ac:dyDescent="0.2">
      <c r="A109" s="276"/>
      <c r="B109" s="285"/>
      <c r="C109" s="285"/>
      <c r="D109" s="285"/>
      <c r="E109" s="285"/>
      <c r="F109" s="288"/>
      <c r="G109" s="272"/>
      <c r="H109" s="272"/>
      <c r="I109" s="272"/>
      <c r="J109" s="26"/>
      <c r="K109" s="100"/>
    </row>
    <row r="110" spans="1:11" x14ac:dyDescent="0.2">
      <c r="A110" s="276"/>
      <c r="B110" s="285"/>
      <c r="C110" s="285"/>
      <c r="D110" s="285"/>
      <c r="E110" s="285"/>
      <c r="F110" s="273"/>
      <c r="G110" s="273"/>
      <c r="H110" s="273"/>
      <c r="I110" s="273"/>
      <c r="J110" s="89"/>
      <c r="K110" s="37"/>
    </row>
    <row r="111" spans="1:11" ht="16.350000000000001" customHeight="1" x14ac:dyDescent="0.2">
      <c r="A111" s="276"/>
      <c r="B111" s="285"/>
      <c r="C111" s="285"/>
      <c r="D111" s="285"/>
      <c r="E111" s="285"/>
      <c r="F111" s="288" t="s">
        <v>1834</v>
      </c>
      <c r="G111" s="272"/>
      <c r="H111" s="272"/>
      <c r="I111" s="272"/>
      <c r="J111" s="26"/>
      <c r="K111" s="34"/>
    </row>
    <row r="112" spans="1:11" ht="16.350000000000001" customHeight="1" x14ac:dyDescent="0.2">
      <c r="A112" s="276"/>
      <c r="B112" s="285"/>
      <c r="C112" s="285"/>
      <c r="D112" s="285"/>
      <c r="E112" s="285"/>
      <c r="F112" s="288"/>
      <c r="G112" s="272"/>
      <c r="H112" s="272"/>
      <c r="I112" s="272"/>
      <c r="J112" s="26"/>
      <c r="K112" s="34"/>
    </row>
    <row r="113" spans="1:11" x14ac:dyDescent="0.2">
      <c r="A113" s="276"/>
      <c r="B113" s="285"/>
      <c r="C113" s="285"/>
      <c r="D113" s="285"/>
      <c r="E113" s="285"/>
      <c r="F113" s="273"/>
      <c r="G113" s="273"/>
      <c r="H113" s="273"/>
      <c r="I113" s="273"/>
      <c r="J113" s="89"/>
      <c r="K113" s="100"/>
    </row>
    <row r="114" spans="1:11" x14ac:dyDescent="0.25">
      <c r="A114" s="276"/>
      <c r="B114" s="282" t="s">
        <v>569</v>
      </c>
      <c r="C114" s="282"/>
      <c r="D114" s="282"/>
      <c r="E114" s="282"/>
      <c r="F114" s="288" t="s">
        <v>1835</v>
      </c>
      <c r="G114" s="272"/>
      <c r="H114" s="272"/>
      <c r="I114" s="272"/>
      <c r="J114" s="26"/>
      <c r="K114" s="33"/>
    </row>
    <row r="115" spans="1:11" x14ac:dyDescent="0.25">
      <c r="A115" s="276"/>
      <c r="B115" s="283"/>
      <c r="C115" s="283"/>
      <c r="D115" s="283"/>
      <c r="E115" s="283"/>
      <c r="F115" s="288"/>
      <c r="G115" s="272"/>
      <c r="H115" s="272"/>
      <c r="I115" s="272"/>
      <c r="J115" s="26"/>
      <c r="K115" s="33"/>
    </row>
    <row r="116" spans="1:11" x14ac:dyDescent="0.2">
      <c r="A116" s="276"/>
      <c r="B116" s="284"/>
      <c r="C116" s="284"/>
      <c r="D116" s="284"/>
      <c r="E116" s="284"/>
      <c r="F116" s="273"/>
      <c r="G116" s="273"/>
      <c r="H116" s="273"/>
      <c r="I116" s="273"/>
      <c r="J116" s="89"/>
      <c r="K116" s="34"/>
    </row>
    <row r="117" spans="1:11" ht="15" customHeight="1" x14ac:dyDescent="0.2">
      <c r="A117" s="276"/>
      <c r="B117" s="285"/>
      <c r="C117" s="285"/>
      <c r="D117" s="285"/>
      <c r="E117" s="285"/>
      <c r="F117" s="288" t="s">
        <v>1836</v>
      </c>
      <c r="G117" s="272"/>
      <c r="H117" s="272"/>
      <c r="I117" s="272"/>
      <c r="J117" s="26"/>
      <c r="K117" s="34"/>
    </row>
    <row r="118" spans="1:11" x14ac:dyDescent="0.2">
      <c r="A118" s="276"/>
      <c r="B118" s="285"/>
      <c r="C118" s="285"/>
      <c r="D118" s="285"/>
      <c r="E118" s="285"/>
      <c r="F118" s="288"/>
      <c r="G118" s="272"/>
      <c r="H118" s="272"/>
      <c r="I118" s="272"/>
      <c r="J118" s="26"/>
      <c r="K118" s="34"/>
    </row>
    <row r="119" spans="1:11" x14ac:dyDescent="0.2">
      <c r="A119" s="276"/>
      <c r="B119" s="285"/>
      <c r="C119" s="285"/>
      <c r="D119" s="285"/>
      <c r="E119" s="285"/>
      <c r="F119" s="273"/>
      <c r="G119" s="273"/>
      <c r="H119" s="273"/>
      <c r="I119" s="273"/>
      <c r="J119" s="89"/>
      <c r="K119" s="34"/>
    </row>
    <row r="120" spans="1:11" ht="16.350000000000001" customHeight="1" x14ac:dyDescent="0.2">
      <c r="A120" s="276"/>
      <c r="B120" s="285"/>
      <c r="C120" s="285"/>
      <c r="D120" s="285"/>
      <c r="E120" s="285"/>
      <c r="F120" s="288" t="s">
        <v>1837</v>
      </c>
      <c r="G120" s="272"/>
      <c r="H120" s="272"/>
      <c r="I120" s="272"/>
      <c r="J120" s="26"/>
      <c r="K120" s="34"/>
    </row>
    <row r="121" spans="1:11" ht="16.350000000000001" customHeight="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34"/>
    </row>
    <row r="123" spans="1:11" ht="16.350000000000001" customHeight="1" x14ac:dyDescent="0.2">
      <c r="A123" s="276"/>
      <c r="B123" s="285"/>
      <c r="C123" s="285"/>
      <c r="D123" s="285"/>
      <c r="E123" s="285"/>
      <c r="F123" s="288" t="s">
        <v>1838</v>
      </c>
      <c r="G123" s="272"/>
      <c r="H123" s="272"/>
      <c r="I123" s="272"/>
      <c r="J123" s="26"/>
      <c r="K123" s="34"/>
    </row>
    <row r="124" spans="1:11" ht="16.350000000000001" customHeight="1" x14ac:dyDescent="0.2">
      <c r="A124" s="276"/>
      <c r="B124" s="285"/>
      <c r="C124" s="285"/>
      <c r="D124" s="285"/>
      <c r="E124" s="285"/>
      <c r="F124" s="288"/>
      <c r="G124" s="272"/>
      <c r="H124" s="272"/>
      <c r="I124" s="272"/>
      <c r="J124" s="26"/>
      <c r="K124" s="34"/>
    </row>
    <row r="125" spans="1:11" x14ac:dyDescent="0.2">
      <c r="A125" s="276"/>
      <c r="B125" s="285"/>
      <c r="C125" s="285"/>
      <c r="D125" s="285"/>
      <c r="E125" s="285"/>
      <c r="F125" s="273"/>
      <c r="G125" s="273"/>
      <c r="H125" s="273"/>
      <c r="I125" s="273"/>
      <c r="J125" s="89"/>
      <c r="K125" s="100"/>
    </row>
    <row r="126" spans="1:11" ht="16.350000000000001" customHeight="1" x14ac:dyDescent="0.2">
      <c r="A126" s="276"/>
      <c r="B126" s="285"/>
      <c r="C126" s="285"/>
      <c r="D126" s="285"/>
      <c r="E126" s="285"/>
      <c r="F126" s="288" t="s">
        <v>1839</v>
      </c>
      <c r="G126" s="272"/>
      <c r="H126" s="272"/>
      <c r="I126" s="272"/>
      <c r="J126" s="26"/>
      <c r="K126" s="100"/>
    </row>
    <row r="127" spans="1:11" ht="16.350000000000001" customHeight="1" x14ac:dyDescent="0.2">
      <c r="A127" s="276"/>
      <c r="B127" s="285"/>
      <c r="C127" s="285"/>
      <c r="D127" s="285"/>
      <c r="E127" s="285"/>
      <c r="F127" s="288"/>
      <c r="G127" s="272"/>
      <c r="H127" s="272"/>
      <c r="I127" s="272"/>
      <c r="J127" s="26"/>
      <c r="K127" s="100"/>
    </row>
    <row r="128" spans="1:11" x14ac:dyDescent="0.2">
      <c r="A128" s="276"/>
      <c r="B128" s="285"/>
      <c r="C128" s="285"/>
      <c r="D128" s="285"/>
      <c r="E128" s="285"/>
      <c r="F128" s="273"/>
      <c r="G128" s="273"/>
      <c r="H128" s="273"/>
      <c r="I128" s="273"/>
      <c r="J128" s="89"/>
      <c r="K128" s="37"/>
    </row>
    <row r="129" spans="1:11" ht="16.350000000000001" customHeight="1" x14ac:dyDescent="0.2">
      <c r="A129" s="276"/>
      <c r="B129" s="285"/>
      <c r="C129" s="285"/>
      <c r="D129" s="285"/>
      <c r="E129" s="285"/>
      <c r="F129" s="288" t="s">
        <v>1840</v>
      </c>
      <c r="G129" s="272"/>
      <c r="H129" s="272"/>
      <c r="I129" s="272"/>
      <c r="J129" s="26"/>
      <c r="K129" s="34"/>
    </row>
    <row r="130" spans="1:11" ht="16.350000000000001" customHeight="1" x14ac:dyDescent="0.2">
      <c r="A130" s="276"/>
      <c r="B130" s="285"/>
      <c r="C130" s="285"/>
      <c r="D130" s="285"/>
      <c r="E130" s="285"/>
      <c r="F130" s="288"/>
      <c r="G130" s="272"/>
      <c r="H130" s="272"/>
      <c r="I130" s="272"/>
      <c r="J130" s="26"/>
      <c r="K130" s="34"/>
    </row>
    <row r="131" spans="1:11" x14ac:dyDescent="0.2">
      <c r="A131" s="276"/>
      <c r="B131" s="285"/>
      <c r="C131" s="285"/>
      <c r="D131" s="285"/>
      <c r="E131" s="285"/>
      <c r="F131" s="273"/>
      <c r="G131" s="273"/>
      <c r="H131" s="273"/>
      <c r="I131" s="273"/>
      <c r="J131" s="89"/>
      <c r="K131" s="100"/>
    </row>
    <row r="132" spans="1:11" x14ac:dyDescent="0.25">
      <c r="A132" s="276"/>
      <c r="B132" s="282" t="s">
        <v>880</v>
      </c>
      <c r="C132" s="282"/>
      <c r="D132" s="282"/>
      <c r="E132" s="282"/>
      <c r="F132" s="288" t="s">
        <v>1841</v>
      </c>
      <c r="G132" s="272"/>
      <c r="H132" s="272"/>
      <c r="I132" s="272"/>
      <c r="J132" s="26"/>
      <c r="K132" s="33"/>
    </row>
    <row r="133" spans="1:11" x14ac:dyDescent="0.25">
      <c r="A133" s="276"/>
      <c r="B133" s="283"/>
      <c r="C133" s="283"/>
      <c r="D133" s="283"/>
      <c r="E133" s="283"/>
      <c r="F133" s="288"/>
      <c r="G133" s="272"/>
      <c r="H133" s="272"/>
      <c r="I133" s="272"/>
      <c r="J133" s="26"/>
      <c r="K133" s="33"/>
    </row>
    <row r="134" spans="1:11" x14ac:dyDescent="0.2">
      <c r="A134" s="276"/>
      <c r="B134" s="284"/>
      <c r="C134" s="284"/>
      <c r="D134" s="284"/>
      <c r="E134" s="284"/>
      <c r="F134" s="273"/>
      <c r="G134" s="273"/>
      <c r="H134" s="273"/>
      <c r="I134" s="273"/>
      <c r="J134" s="89"/>
      <c r="K134" s="34"/>
    </row>
    <row r="135" spans="1:11" ht="15" customHeight="1" x14ac:dyDescent="0.2">
      <c r="A135" s="276"/>
      <c r="B135" s="285"/>
      <c r="C135" s="285"/>
      <c r="D135" s="285"/>
      <c r="E135" s="285"/>
      <c r="F135" s="288" t="s">
        <v>1842</v>
      </c>
      <c r="G135" s="272"/>
      <c r="H135" s="272"/>
      <c r="I135" s="272"/>
      <c r="J135" s="26"/>
      <c r="K135" s="34"/>
    </row>
    <row r="136" spans="1:11" x14ac:dyDescent="0.2">
      <c r="A136" s="276"/>
      <c r="B136" s="285"/>
      <c r="C136" s="285"/>
      <c r="D136" s="285"/>
      <c r="E136" s="285"/>
      <c r="F136" s="288"/>
      <c r="G136" s="272"/>
      <c r="H136" s="272"/>
      <c r="I136" s="272"/>
      <c r="J136" s="26"/>
      <c r="K136" s="34"/>
    </row>
    <row r="137" spans="1:11" x14ac:dyDescent="0.2">
      <c r="A137" s="276"/>
      <c r="B137" s="285"/>
      <c r="C137" s="285"/>
      <c r="D137" s="285"/>
      <c r="E137" s="285"/>
      <c r="F137" s="273"/>
      <c r="G137" s="273"/>
      <c r="H137" s="273"/>
      <c r="I137" s="273"/>
      <c r="J137" s="89"/>
      <c r="K137" s="34"/>
    </row>
    <row r="138" spans="1:11" ht="16.350000000000001" customHeight="1" x14ac:dyDescent="0.2">
      <c r="A138" s="276"/>
      <c r="B138" s="285"/>
      <c r="C138" s="285"/>
      <c r="D138" s="285"/>
      <c r="E138" s="285"/>
      <c r="F138" s="288" t="s">
        <v>1843</v>
      </c>
      <c r="G138" s="272"/>
      <c r="H138" s="272"/>
      <c r="I138" s="272"/>
      <c r="J138" s="26"/>
      <c r="K138" s="34"/>
    </row>
    <row r="139" spans="1:11" ht="16.350000000000001" customHeight="1" x14ac:dyDescent="0.2">
      <c r="A139" s="276"/>
      <c r="B139" s="285"/>
      <c r="C139" s="285"/>
      <c r="D139" s="285"/>
      <c r="E139" s="285"/>
      <c r="F139" s="288"/>
      <c r="G139" s="272"/>
      <c r="H139" s="272"/>
      <c r="I139" s="272"/>
      <c r="J139" s="26"/>
      <c r="K139" s="34"/>
    </row>
    <row r="140" spans="1:11" x14ac:dyDescent="0.2">
      <c r="A140" s="276"/>
      <c r="B140" s="285"/>
      <c r="C140" s="285"/>
      <c r="D140" s="285"/>
      <c r="E140" s="285"/>
      <c r="F140" s="273"/>
      <c r="G140" s="273"/>
      <c r="H140" s="273"/>
      <c r="I140" s="273"/>
      <c r="J140" s="89"/>
      <c r="K140" s="34"/>
    </row>
    <row r="141" spans="1:11" ht="16.350000000000001" customHeight="1" x14ac:dyDescent="0.2">
      <c r="A141" s="276"/>
      <c r="B141" s="285"/>
      <c r="C141" s="285"/>
      <c r="D141" s="285"/>
      <c r="E141" s="285"/>
      <c r="F141" s="288" t="s">
        <v>1844</v>
      </c>
      <c r="G141" s="272"/>
      <c r="H141" s="272"/>
      <c r="I141" s="272"/>
      <c r="J141" s="26"/>
      <c r="K141" s="34"/>
    </row>
    <row r="142" spans="1:11" ht="16.350000000000001" customHeight="1" x14ac:dyDescent="0.2">
      <c r="A142" s="276"/>
      <c r="B142" s="285"/>
      <c r="C142" s="285"/>
      <c r="D142" s="285"/>
      <c r="E142" s="285"/>
      <c r="F142" s="288"/>
      <c r="G142" s="272"/>
      <c r="H142" s="272"/>
      <c r="I142" s="272"/>
      <c r="J142" s="26"/>
      <c r="K142" s="34"/>
    </row>
    <row r="143" spans="1:11" x14ac:dyDescent="0.2">
      <c r="A143" s="276"/>
      <c r="B143" s="285"/>
      <c r="C143" s="285"/>
      <c r="D143" s="285"/>
      <c r="E143" s="285"/>
      <c r="F143" s="273"/>
      <c r="G143" s="273"/>
      <c r="H143" s="273"/>
      <c r="I143" s="273"/>
      <c r="J143" s="89"/>
      <c r="K143" s="100"/>
    </row>
    <row r="144" spans="1:11" ht="16.350000000000001" customHeight="1" x14ac:dyDescent="0.2">
      <c r="A144" s="276"/>
      <c r="B144" s="285"/>
      <c r="C144" s="285"/>
      <c r="D144" s="285"/>
      <c r="E144" s="285"/>
      <c r="F144" s="288" t="s">
        <v>1845</v>
      </c>
      <c r="G144" s="272"/>
      <c r="H144" s="272"/>
      <c r="I144" s="272"/>
      <c r="J144" s="26"/>
      <c r="K144" s="100"/>
    </row>
    <row r="145" spans="1:11" ht="16.350000000000001" customHeight="1" x14ac:dyDescent="0.2">
      <c r="A145" s="276"/>
      <c r="B145" s="285"/>
      <c r="C145" s="285"/>
      <c r="D145" s="285"/>
      <c r="E145" s="285"/>
      <c r="F145" s="288"/>
      <c r="G145" s="272"/>
      <c r="H145" s="272"/>
      <c r="I145" s="272"/>
      <c r="J145" s="26"/>
      <c r="K145" s="100"/>
    </row>
    <row r="146" spans="1:11" x14ac:dyDescent="0.2">
      <c r="A146" s="276"/>
      <c r="B146" s="285"/>
      <c r="C146" s="285"/>
      <c r="D146" s="285"/>
      <c r="E146" s="285"/>
      <c r="F146" s="273"/>
      <c r="G146" s="273"/>
      <c r="H146" s="273"/>
      <c r="I146" s="273"/>
      <c r="J146" s="89"/>
      <c r="K146" s="37"/>
    </row>
    <row r="147" spans="1:11" ht="16.350000000000001" customHeight="1" x14ac:dyDescent="0.2">
      <c r="A147" s="276"/>
      <c r="B147" s="285"/>
      <c r="C147" s="285"/>
      <c r="D147" s="285"/>
      <c r="E147" s="285"/>
      <c r="F147" s="288" t="s">
        <v>1846</v>
      </c>
      <c r="G147" s="272"/>
      <c r="H147" s="272"/>
      <c r="I147" s="272"/>
      <c r="J147" s="26"/>
      <c r="K147" s="34"/>
    </row>
    <row r="148" spans="1:11" ht="16.350000000000001" customHeight="1" x14ac:dyDescent="0.2">
      <c r="A148" s="276"/>
      <c r="B148" s="285"/>
      <c r="C148" s="285"/>
      <c r="D148" s="285"/>
      <c r="E148" s="285"/>
      <c r="F148" s="288"/>
      <c r="G148" s="272"/>
      <c r="H148" s="272"/>
      <c r="I148" s="272"/>
      <c r="J148" s="26"/>
      <c r="K148" s="34"/>
    </row>
    <row r="149" spans="1:11" x14ac:dyDescent="0.2">
      <c r="A149" s="276"/>
      <c r="B149" s="285"/>
      <c r="C149" s="285"/>
      <c r="D149" s="285"/>
      <c r="E149" s="285"/>
      <c r="F149" s="273"/>
      <c r="G149" s="273"/>
      <c r="H149" s="273"/>
      <c r="I149" s="273"/>
      <c r="J149" s="89"/>
      <c r="K149" s="100"/>
    </row>
    <row r="150" spans="1:11" x14ac:dyDescent="0.2">
      <c r="A150" s="276"/>
      <c r="B150" s="275" t="s">
        <v>1470</v>
      </c>
      <c r="C150" s="286"/>
      <c r="D150" s="286"/>
      <c r="E150" s="286"/>
      <c r="F150" s="288" t="s">
        <v>1847</v>
      </c>
      <c r="G150" s="272"/>
      <c r="H150" s="272"/>
      <c r="I150" s="272"/>
      <c r="J150" s="26"/>
      <c r="K150" s="37"/>
    </row>
    <row r="151" spans="1:11" x14ac:dyDescent="0.2">
      <c r="A151" s="276"/>
      <c r="B151" s="287"/>
      <c r="C151" s="287"/>
      <c r="D151" s="287"/>
      <c r="E151" s="287"/>
      <c r="F151" s="274"/>
      <c r="G151" s="274"/>
      <c r="H151" s="272"/>
      <c r="I151" s="274"/>
      <c r="J151" s="91"/>
      <c r="K151" s="37"/>
    </row>
    <row r="152" spans="1:11" x14ac:dyDescent="0.2">
      <c r="A152" s="276"/>
      <c r="B152" s="276"/>
      <c r="C152" s="276"/>
      <c r="D152" s="276"/>
      <c r="E152" s="276"/>
      <c r="F152" s="273"/>
      <c r="G152" s="273"/>
      <c r="H152" s="273"/>
      <c r="I152" s="273"/>
      <c r="J152" s="89"/>
      <c r="K152" s="37"/>
    </row>
    <row r="153" spans="1:11" ht="15" customHeight="1" x14ac:dyDescent="0.2">
      <c r="A153" s="276"/>
      <c r="B153" s="276"/>
      <c r="C153" s="276"/>
      <c r="D153" s="276"/>
      <c r="E153" s="276"/>
      <c r="F153" s="288" t="s">
        <v>1848</v>
      </c>
      <c r="G153" s="272"/>
      <c r="H153" s="272"/>
      <c r="I153" s="272"/>
      <c r="J153" s="26"/>
      <c r="K153" s="7"/>
    </row>
    <row r="154" spans="1:11" x14ac:dyDescent="0.2">
      <c r="A154" s="276"/>
      <c r="B154" s="276"/>
      <c r="C154" s="276"/>
      <c r="D154" s="276"/>
      <c r="E154" s="276"/>
      <c r="F154" s="274"/>
      <c r="G154" s="274"/>
      <c r="H154" s="272"/>
      <c r="I154" s="274"/>
      <c r="J154" s="91"/>
      <c r="K154" s="7"/>
    </row>
    <row r="155" spans="1:11" x14ac:dyDescent="0.2">
      <c r="A155" s="276"/>
      <c r="B155" s="276"/>
      <c r="C155" s="276"/>
      <c r="D155" s="276"/>
      <c r="E155" s="276"/>
      <c r="F155" s="273"/>
      <c r="G155" s="273"/>
      <c r="H155" s="273"/>
      <c r="I155" s="273"/>
      <c r="J155" s="89"/>
      <c r="K155" s="7"/>
    </row>
    <row r="156" spans="1:11" ht="16.350000000000001" customHeight="1" x14ac:dyDescent="0.2">
      <c r="A156" s="276"/>
      <c r="B156" s="276"/>
      <c r="C156" s="276"/>
      <c r="D156" s="276"/>
      <c r="E156" s="276"/>
      <c r="F156" s="288" t="s">
        <v>1849</v>
      </c>
      <c r="G156" s="272"/>
      <c r="H156" s="272"/>
      <c r="I156" s="272"/>
      <c r="J156" s="26"/>
      <c r="K156" s="7"/>
    </row>
    <row r="157" spans="1:11" x14ac:dyDescent="0.2">
      <c r="A157" s="276"/>
      <c r="B157" s="276"/>
      <c r="C157" s="276"/>
      <c r="D157" s="276"/>
      <c r="E157" s="276"/>
      <c r="F157" s="274"/>
      <c r="G157" s="274"/>
      <c r="H157" s="272"/>
      <c r="I157" s="274"/>
      <c r="J157" s="91"/>
      <c r="K157" s="7"/>
    </row>
    <row r="158" spans="1:11" x14ac:dyDescent="0.2">
      <c r="A158" s="276"/>
      <c r="B158" s="276"/>
      <c r="C158" s="276"/>
      <c r="D158" s="276"/>
      <c r="E158" s="276"/>
      <c r="F158" s="273"/>
      <c r="G158" s="273"/>
      <c r="H158" s="273"/>
      <c r="I158" s="273"/>
      <c r="J158" s="89"/>
      <c r="K158" s="7"/>
    </row>
    <row r="159" spans="1:11" ht="16.350000000000001" customHeight="1" x14ac:dyDescent="0.2">
      <c r="A159" s="276"/>
      <c r="B159" s="276"/>
      <c r="C159" s="276"/>
      <c r="D159" s="276"/>
      <c r="E159" s="276"/>
      <c r="F159" s="288" t="s">
        <v>1850</v>
      </c>
      <c r="G159" s="272"/>
      <c r="H159" s="272"/>
      <c r="I159" s="272"/>
      <c r="J159" s="26"/>
      <c r="K159" s="6"/>
    </row>
    <row r="160" spans="1:11" x14ac:dyDescent="0.2">
      <c r="A160" s="276"/>
      <c r="B160" s="276"/>
      <c r="C160" s="276"/>
      <c r="D160" s="276"/>
      <c r="E160" s="276"/>
      <c r="F160" s="274"/>
      <c r="G160" s="274"/>
      <c r="H160" s="272"/>
      <c r="I160" s="274"/>
      <c r="J160" s="91"/>
      <c r="K160" s="7"/>
    </row>
    <row r="161" spans="1:11" x14ac:dyDescent="0.2">
      <c r="A161" s="276"/>
      <c r="B161" s="276"/>
      <c r="C161" s="276"/>
      <c r="D161" s="276"/>
      <c r="E161" s="276"/>
      <c r="F161" s="273"/>
      <c r="G161" s="273"/>
      <c r="H161" s="273"/>
      <c r="I161" s="273"/>
      <c r="J161" s="89"/>
      <c r="K161" s="7"/>
    </row>
    <row r="162" spans="1:11" ht="16.350000000000001" customHeight="1" x14ac:dyDescent="0.2">
      <c r="A162" s="276"/>
      <c r="B162" s="276"/>
      <c r="C162" s="276"/>
      <c r="D162" s="276"/>
      <c r="E162" s="276"/>
      <c r="F162" s="288" t="s">
        <v>1851</v>
      </c>
      <c r="G162" s="272"/>
      <c r="H162" s="272"/>
      <c r="I162" s="272"/>
      <c r="J162" s="26"/>
      <c r="K162" s="6"/>
    </row>
    <row r="163" spans="1:11" x14ac:dyDescent="0.2">
      <c r="A163" s="276"/>
      <c r="B163" s="276"/>
      <c r="C163" s="276"/>
      <c r="D163" s="276"/>
      <c r="E163" s="276"/>
      <c r="F163" s="274"/>
      <c r="G163" s="274"/>
      <c r="H163" s="272"/>
      <c r="I163" s="274"/>
      <c r="J163" s="91"/>
      <c r="K163" s="7"/>
    </row>
    <row r="164" spans="1:11" x14ac:dyDescent="0.2">
      <c r="A164" s="276"/>
      <c r="B164" s="276"/>
      <c r="C164" s="276"/>
      <c r="D164" s="276"/>
      <c r="E164" s="276"/>
      <c r="F164" s="273"/>
      <c r="G164" s="273"/>
      <c r="H164" s="273"/>
      <c r="I164" s="273"/>
      <c r="J164" s="89"/>
      <c r="K164" s="7"/>
    </row>
    <row r="165" spans="1:11" ht="16.350000000000001" customHeight="1" x14ac:dyDescent="0.2">
      <c r="A165" s="276"/>
      <c r="B165" s="276"/>
      <c r="C165" s="276"/>
      <c r="D165" s="276"/>
      <c r="E165" s="276"/>
      <c r="F165" s="288" t="s">
        <v>1852</v>
      </c>
      <c r="G165" s="272"/>
      <c r="H165" s="272"/>
      <c r="I165" s="272"/>
      <c r="J165" s="26"/>
      <c r="K165" s="6"/>
    </row>
    <row r="166" spans="1:11" x14ac:dyDescent="0.2">
      <c r="A166" s="276"/>
      <c r="B166" s="276"/>
      <c r="C166" s="276"/>
      <c r="D166" s="276"/>
      <c r="E166" s="276"/>
      <c r="F166" s="274"/>
      <c r="G166" s="274"/>
      <c r="H166" s="272"/>
      <c r="I166" s="274"/>
      <c r="J166" s="91"/>
      <c r="K166" s="7"/>
    </row>
    <row r="167" spans="1:11" x14ac:dyDescent="0.2">
      <c r="A167" s="276"/>
      <c r="B167" s="276"/>
      <c r="C167" s="276"/>
      <c r="D167" s="276"/>
      <c r="E167" s="276"/>
      <c r="F167" s="273"/>
      <c r="G167" s="273"/>
      <c r="H167" s="273"/>
      <c r="I167" s="273"/>
      <c r="J167" s="89"/>
      <c r="K167" s="7"/>
    </row>
    <row r="175" spans="1:11" x14ac:dyDescent="0.2">
      <c r="E175" s="92" t="s">
        <v>528</v>
      </c>
    </row>
    <row r="176" spans="1:11" x14ac:dyDescent="0.2">
      <c r="E176" s="92" t="s">
        <v>511</v>
      </c>
    </row>
    <row r="177" spans="5:5" x14ac:dyDescent="0.2">
      <c r="E177" s="92" t="s">
        <v>515</v>
      </c>
    </row>
    <row r="178" spans="5:5" x14ac:dyDescent="0.2">
      <c r="E178" s="92" t="s">
        <v>505</v>
      </c>
    </row>
    <row r="179" spans="5:5" x14ac:dyDescent="0.2">
      <c r="E179" s="92" t="s">
        <v>507</v>
      </c>
    </row>
  </sheetData>
  <mergeCells count="253">
    <mergeCell ref="H54:H56"/>
    <mergeCell ref="I54:I56"/>
    <mergeCell ref="F57:F59"/>
    <mergeCell ref="G57:G59"/>
    <mergeCell ref="H57:H59"/>
    <mergeCell ref="I57:I59"/>
    <mergeCell ref="F48:F50"/>
    <mergeCell ref="G48:G50"/>
    <mergeCell ref="H48:H50"/>
    <mergeCell ref="I48:I50"/>
    <mergeCell ref="F51:F53"/>
    <mergeCell ref="G51:G53"/>
    <mergeCell ref="G54:G56"/>
    <mergeCell ref="F159:F161"/>
    <mergeCell ref="G159:G161"/>
    <mergeCell ref="H159:H161"/>
    <mergeCell ref="I159:I161"/>
    <mergeCell ref="F15:F17"/>
    <mergeCell ref="G15:G17"/>
    <mergeCell ref="H15:H17"/>
    <mergeCell ref="I15:I17"/>
    <mergeCell ref="F45:F47"/>
    <mergeCell ref="G45:G47"/>
    <mergeCell ref="H45:H47"/>
    <mergeCell ref="I45:I47"/>
    <mergeCell ref="F42:F44"/>
    <mergeCell ref="G42:G44"/>
    <mergeCell ref="F21:F23"/>
    <mergeCell ref="G21:G23"/>
    <mergeCell ref="H21:H23"/>
    <mergeCell ref="I21:I23"/>
    <mergeCell ref="F18:F20"/>
    <mergeCell ref="G18:G20"/>
    <mergeCell ref="H18:H20"/>
    <mergeCell ref="I18:I20"/>
    <mergeCell ref="G24:G26"/>
    <mergeCell ref="H24:H26"/>
    <mergeCell ref="H150:H152"/>
    <mergeCell ref="I150:I152"/>
    <mergeCell ref="F153:F155"/>
    <mergeCell ref="G153:G155"/>
    <mergeCell ref="H153:H155"/>
    <mergeCell ref="I153:I155"/>
    <mergeCell ref="B150:B167"/>
    <mergeCell ref="C150:C167"/>
    <mergeCell ref="D150:D167"/>
    <mergeCell ref="E150:E167"/>
    <mergeCell ref="F150:F152"/>
    <mergeCell ref="G150:G152"/>
    <mergeCell ref="F156:F158"/>
    <mergeCell ref="G156:G158"/>
    <mergeCell ref="F162:F164"/>
    <mergeCell ref="G162:G164"/>
    <mergeCell ref="H162:H164"/>
    <mergeCell ref="I162:I164"/>
    <mergeCell ref="F165:F167"/>
    <mergeCell ref="G165:G167"/>
    <mergeCell ref="H165:H167"/>
    <mergeCell ref="I165:I167"/>
    <mergeCell ref="H156:H158"/>
    <mergeCell ref="I156:I158"/>
    <mergeCell ref="H144:H146"/>
    <mergeCell ref="I144:I146"/>
    <mergeCell ref="F147:F149"/>
    <mergeCell ref="G147:G149"/>
    <mergeCell ref="H147:H149"/>
    <mergeCell ref="I147:I149"/>
    <mergeCell ref="H138:H140"/>
    <mergeCell ref="I138:I140"/>
    <mergeCell ref="F141:F143"/>
    <mergeCell ref="G141:G143"/>
    <mergeCell ref="H141:H143"/>
    <mergeCell ref="I141:I143"/>
    <mergeCell ref="B132:B149"/>
    <mergeCell ref="C132:C149"/>
    <mergeCell ref="D132:D149"/>
    <mergeCell ref="E132:E149"/>
    <mergeCell ref="F132:F134"/>
    <mergeCell ref="G132:G134"/>
    <mergeCell ref="F138:F140"/>
    <mergeCell ref="G138:G140"/>
    <mergeCell ref="F144:F146"/>
    <mergeCell ref="G144:G146"/>
    <mergeCell ref="F123:F125"/>
    <mergeCell ref="G123:G125"/>
    <mergeCell ref="H123:H125"/>
    <mergeCell ref="I123:I125"/>
    <mergeCell ref="H132:H134"/>
    <mergeCell ref="I132:I134"/>
    <mergeCell ref="F135:F137"/>
    <mergeCell ref="G135:G137"/>
    <mergeCell ref="H135:H137"/>
    <mergeCell ref="I135:I137"/>
    <mergeCell ref="H114:H116"/>
    <mergeCell ref="I114:I116"/>
    <mergeCell ref="F117:F119"/>
    <mergeCell ref="G117:G119"/>
    <mergeCell ref="H117:H119"/>
    <mergeCell ref="I117:I119"/>
    <mergeCell ref="B114:B131"/>
    <mergeCell ref="C114:C131"/>
    <mergeCell ref="D114:D131"/>
    <mergeCell ref="E114:E131"/>
    <mergeCell ref="F114:F116"/>
    <mergeCell ref="G114:G116"/>
    <mergeCell ref="F120:F122"/>
    <mergeCell ref="G120:G122"/>
    <mergeCell ref="F126:F128"/>
    <mergeCell ref="G126:G128"/>
    <mergeCell ref="H126:H128"/>
    <mergeCell ref="I126:I128"/>
    <mergeCell ref="F129:F131"/>
    <mergeCell ref="G129:G131"/>
    <mergeCell ref="H129:H131"/>
    <mergeCell ref="I129:I131"/>
    <mergeCell ref="H120:H122"/>
    <mergeCell ref="I120:I122"/>
    <mergeCell ref="G102:G104"/>
    <mergeCell ref="F108:F110"/>
    <mergeCell ref="G108:G110"/>
    <mergeCell ref="H108:H110"/>
    <mergeCell ref="I108:I110"/>
    <mergeCell ref="F111:F113"/>
    <mergeCell ref="G111:G113"/>
    <mergeCell ref="H111:H113"/>
    <mergeCell ref="I111:I113"/>
    <mergeCell ref="H102:H104"/>
    <mergeCell ref="I102:I104"/>
    <mergeCell ref="F105:F107"/>
    <mergeCell ref="G105:G107"/>
    <mergeCell ref="H105:H107"/>
    <mergeCell ref="I105:I107"/>
    <mergeCell ref="G87:G89"/>
    <mergeCell ref="H87:H89"/>
    <mergeCell ref="I87:I89"/>
    <mergeCell ref="H96:H98"/>
    <mergeCell ref="I96:I98"/>
    <mergeCell ref="F99:F101"/>
    <mergeCell ref="G99:G101"/>
    <mergeCell ref="H99:H101"/>
    <mergeCell ref="I99:I101"/>
    <mergeCell ref="F96:F98"/>
    <mergeCell ref="G96:G98"/>
    <mergeCell ref="H78:H80"/>
    <mergeCell ref="I78:I80"/>
    <mergeCell ref="F81:F83"/>
    <mergeCell ref="G81:G83"/>
    <mergeCell ref="H81:H83"/>
    <mergeCell ref="I81:I83"/>
    <mergeCell ref="B78:B95"/>
    <mergeCell ref="C78:C95"/>
    <mergeCell ref="D78:D95"/>
    <mergeCell ref="E78:E95"/>
    <mergeCell ref="F78:F80"/>
    <mergeCell ref="G78:G80"/>
    <mergeCell ref="F84:F86"/>
    <mergeCell ref="G84:G86"/>
    <mergeCell ref="F90:F92"/>
    <mergeCell ref="G90:G92"/>
    <mergeCell ref="H90:H92"/>
    <mergeCell ref="I90:I92"/>
    <mergeCell ref="F93:F95"/>
    <mergeCell ref="G93:G95"/>
    <mergeCell ref="H93:H95"/>
    <mergeCell ref="I93:I95"/>
    <mergeCell ref="H84:H86"/>
    <mergeCell ref="I84:I86"/>
    <mergeCell ref="F75:F77"/>
    <mergeCell ref="G75:G77"/>
    <mergeCell ref="H75:H77"/>
    <mergeCell ref="I75:I77"/>
    <mergeCell ref="H60:H62"/>
    <mergeCell ref="I60:I62"/>
    <mergeCell ref="F63:F65"/>
    <mergeCell ref="G63:G65"/>
    <mergeCell ref="H63:H65"/>
    <mergeCell ref="I63:I65"/>
    <mergeCell ref="F72:F74"/>
    <mergeCell ref="G72:G74"/>
    <mergeCell ref="H72:H74"/>
    <mergeCell ref="I72:I74"/>
    <mergeCell ref="F69:F71"/>
    <mergeCell ref="G69:G71"/>
    <mergeCell ref="H69:H71"/>
    <mergeCell ref="I69:I71"/>
    <mergeCell ref="H66:H68"/>
    <mergeCell ref="I66:I68"/>
    <mergeCell ref="F60:F62"/>
    <mergeCell ref="G60:G62"/>
    <mergeCell ref="F66:F68"/>
    <mergeCell ref="G66:G68"/>
    <mergeCell ref="G30:G32"/>
    <mergeCell ref="H30:H32"/>
    <mergeCell ref="I30:I32"/>
    <mergeCell ref="F33:F35"/>
    <mergeCell ref="G33:G35"/>
    <mergeCell ref="H33:H35"/>
    <mergeCell ref="I33:I35"/>
    <mergeCell ref="H51:H53"/>
    <mergeCell ref="I51:I53"/>
    <mergeCell ref="F36:F38"/>
    <mergeCell ref="G36:G38"/>
    <mergeCell ref="H36:H38"/>
    <mergeCell ref="I36:I38"/>
    <mergeCell ref="F39:F41"/>
    <mergeCell ref="G39:G41"/>
    <mergeCell ref="H39:H41"/>
    <mergeCell ref="I39:I41"/>
    <mergeCell ref="H42:H44"/>
    <mergeCell ref="I42:I44"/>
    <mergeCell ref="I27:I29"/>
    <mergeCell ref="G9:G11"/>
    <mergeCell ref="H9:H11"/>
    <mergeCell ref="I9:I11"/>
    <mergeCell ref="F12:F14"/>
    <mergeCell ref="G12:G14"/>
    <mergeCell ref="H12:H14"/>
    <mergeCell ref="I12:I14"/>
    <mergeCell ref="G3:G5"/>
    <mergeCell ref="H3:H5"/>
    <mergeCell ref="I3:I5"/>
    <mergeCell ref="F6:F8"/>
    <mergeCell ref="G6:G8"/>
    <mergeCell ref="H6:H8"/>
    <mergeCell ref="I6:I8"/>
    <mergeCell ref="I24:I26"/>
    <mergeCell ref="F27:F29"/>
    <mergeCell ref="G27:G29"/>
    <mergeCell ref="H27:H29"/>
    <mergeCell ref="A3:A167"/>
    <mergeCell ref="B3:B29"/>
    <mergeCell ref="C3:C29"/>
    <mergeCell ref="D3:D29"/>
    <mergeCell ref="E3:E29"/>
    <mergeCell ref="F3:F5"/>
    <mergeCell ref="F9:F11"/>
    <mergeCell ref="F24:F26"/>
    <mergeCell ref="B30:B53"/>
    <mergeCell ref="C30:C53"/>
    <mergeCell ref="D30:D53"/>
    <mergeCell ref="E30:E53"/>
    <mergeCell ref="F30:F32"/>
    <mergeCell ref="B54:B77"/>
    <mergeCell ref="C54:C77"/>
    <mergeCell ref="D54:D77"/>
    <mergeCell ref="E54:E77"/>
    <mergeCell ref="F54:F56"/>
    <mergeCell ref="F87:F89"/>
    <mergeCell ref="B96:B113"/>
    <mergeCell ref="C96:C113"/>
    <mergeCell ref="D96:D113"/>
    <mergeCell ref="E96:E113"/>
    <mergeCell ref="F102:F104"/>
  </mergeCells>
  <phoneticPr fontId="14" type="noConversion"/>
  <dataValidations count="1">
    <dataValidation type="list" allowBlank="1" showInputMessage="1" showErrorMessage="1" sqref="H3:H167 E3:E167" xr:uid="{8760D964-72E0-5848-A9B6-C76E0A645ED0}">
      <formula1>$E$175:$E$179</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8462-0A18-6540-B98F-2C7913ABA991}">
  <sheetPr>
    <tabColor theme="9"/>
  </sheetPr>
  <dimension ref="A1:I299"/>
  <sheetViews>
    <sheetView showGridLines="0" zoomScale="88" workbookViewId="0">
      <selection activeCell="F3" sqref="F3:F5"/>
    </sheetView>
  </sheetViews>
  <sheetFormatPr defaultColWidth="13.28515625" defaultRowHeight="12.75" x14ac:dyDescent="0.2"/>
  <cols>
    <col min="1" max="1" width="18.85546875" style="150" customWidth="1"/>
    <col min="2" max="2" width="8.85546875" style="150" customWidth="1"/>
    <col min="3" max="4" width="27.85546875" style="150" customWidth="1"/>
    <col min="5" max="5" width="16.140625" style="150" customWidth="1"/>
    <col min="6" max="6" width="13.28515625" style="164" customWidth="1"/>
    <col min="7" max="7" width="27.85546875" style="150" customWidth="1"/>
    <col min="8" max="8" width="13.28515625" style="150" customWidth="1"/>
    <col min="9" max="9" width="37.7109375" style="150" customWidth="1"/>
    <col min="10" max="48" width="12" style="150" customWidth="1"/>
    <col min="49" max="256" width="13.28515625" style="150"/>
    <col min="257" max="257" width="32.28515625" style="150" customWidth="1"/>
    <col min="258" max="258" width="50" style="150" customWidth="1"/>
    <col min="259" max="259" width="48.28515625" style="150" customWidth="1"/>
    <col min="260" max="260" width="64" style="150" customWidth="1"/>
    <col min="261" max="304" width="12" style="150" customWidth="1"/>
    <col min="305" max="512" width="13.28515625" style="150"/>
    <col min="513" max="513" width="32.28515625" style="150" customWidth="1"/>
    <col min="514" max="514" width="50" style="150" customWidth="1"/>
    <col min="515" max="515" width="48.28515625" style="150" customWidth="1"/>
    <col min="516" max="516" width="64" style="150" customWidth="1"/>
    <col min="517" max="560" width="12" style="150" customWidth="1"/>
    <col min="561" max="768" width="13.28515625" style="150"/>
    <col min="769" max="769" width="32.28515625" style="150" customWidth="1"/>
    <col min="770" max="770" width="50" style="150" customWidth="1"/>
    <col min="771" max="771" width="48.28515625" style="150" customWidth="1"/>
    <col min="772" max="772" width="64" style="150" customWidth="1"/>
    <col min="773" max="816" width="12" style="150" customWidth="1"/>
    <col min="817" max="1024" width="13.28515625" style="150"/>
    <col min="1025" max="1025" width="32.28515625" style="150" customWidth="1"/>
    <col min="1026" max="1026" width="50" style="150" customWidth="1"/>
    <col min="1027" max="1027" width="48.28515625" style="150" customWidth="1"/>
    <col min="1028" max="1028" width="64" style="150" customWidth="1"/>
    <col min="1029" max="1072" width="12" style="150" customWidth="1"/>
    <col min="1073" max="1280" width="13.28515625" style="150"/>
    <col min="1281" max="1281" width="32.28515625" style="150" customWidth="1"/>
    <col min="1282" max="1282" width="50" style="150" customWidth="1"/>
    <col min="1283" max="1283" width="48.28515625" style="150" customWidth="1"/>
    <col min="1284" max="1284" width="64" style="150" customWidth="1"/>
    <col min="1285" max="1328" width="12" style="150" customWidth="1"/>
    <col min="1329" max="1536" width="13.28515625" style="150"/>
    <col min="1537" max="1537" width="32.28515625" style="150" customWidth="1"/>
    <col min="1538" max="1538" width="50" style="150" customWidth="1"/>
    <col min="1539" max="1539" width="48.28515625" style="150" customWidth="1"/>
    <col min="1540" max="1540" width="64" style="150" customWidth="1"/>
    <col min="1541" max="1584" width="12" style="150" customWidth="1"/>
    <col min="1585" max="1792" width="13.28515625" style="150"/>
    <col min="1793" max="1793" width="32.28515625" style="150" customWidth="1"/>
    <col min="1794" max="1794" width="50" style="150" customWidth="1"/>
    <col min="1795" max="1795" width="48.28515625" style="150" customWidth="1"/>
    <col min="1796" max="1796" width="64" style="150" customWidth="1"/>
    <col min="1797" max="1840" width="12" style="150" customWidth="1"/>
    <col min="1841" max="2048" width="13.28515625" style="150"/>
    <col min="2049" max="2049" width="32.28515625" style="150" customWidth="1"/>
    <col min="2050" max="2050" width="50" style="150" customWidth="1"/>
    <col min="2051" max="2051" width="48.28515625" style="150" customWidth="1"/>
    <col min="2052" max="2052" width="64" style="150" customWidth="1"/>
    <col min="2053" max="2096" width="12" style="150" customWidth="1"/>
    <col min="2097" max="2304" width="13.28515625" style="150"/>
    <col min="2305" max="2305" width="32.28515625" style="150" customWidth="1"/>
    <col min="2306" max="2306" width="50" style="150" customWidth="1"/>
    <col min="2307" max="2307" width="48.28515625" style="150" customWidth="1"/>
    <col min="2308" max="2308" width="64" style="150" customWidth="1"/>
    <col min="2309" max="2352" width="12" style="150" customWidth="1"/>
    <col min="2353" max="2560" width="13.28515625" style="150"/>
    <col min="2561" max="2561" width="32.28515625" style="150" customWidth="1"/>
    <col min="2562" max="2562" width="50" style="150" customWidth="1"/>
    <col min="2563" max="2563" width="48.28515625" style="150" customWidth="1"/>
    <col min="2564" max="2564" width="64" style="150" customWidth="1"/>
    <col min="2565" max="2608" width="12" style="150" customWidth="1"/>
    <col min="2609" max="2816" width="13.28515625" style="150"/>
    <col min="2817" max="2817" width="32.28515625" style="150" customWidth="1"/>
    <col min="2818" max="2818" width="50" style="150" customWidth="1"/>
    <col min="2819" max="2819" width="48.28515625" style="150" customWidth="1"/>
    <col min="2820" max="2820" width="64" style="150" customWidth="1"/>
    <col min="2821" max="2864" width="12" style="150" customWidth="1"/>
    <col min="2865" max="3072" width="13.28515625" style="150"/>
    <col min="3073" max="3073" width="32.28515625" style="150" customWidth="1"/>
    <col min="3074" max="3074" width="50" style="150" customWidth="1"/>
    <col min="3075" max="3075" width="48.28515625" style="150" customWidth="1"/>
    <col min="3076" max="3076" width="64" style="150" customWidth="1"/>
    <col min="3077" max="3120" width="12" style="150" customWidth="1"/>
    <col min="3121" max="3328" width="13.28515625" style="150"/>
    <col min="3329" max="3329" width="32.28515625" style="150" customWidth="1"/>
    <col min="3330" max="3330" width="50" style="150" customWidth="1"/>
    <col min="3331" max="3331" width="48.28515625" style="150" customWidth="1"/>
    <col min="3332" max="3332" width="64" style="150" customWidth="1"/>
    <col min="3333" max="3376" width="12" style="150" customWidth="1"/>
    <col min="3377" max="3584" width="13.28515625" style="150"/>
    <col min="3585" max="3585" width="32.28515625" style="150" customWidth="1"/>
    <col min="3586" max="3586" width="50" style="150" customWidth="1"/>
    <col min="3587" max="3587" width="48.28515625" style="150" customWidth="1"/>
    <col min="3588" max="3588" width="64" style="150" customWidth="1"/>
    <col min="3589" max="3632" width="12" style="150" customWidth="1"/>
    <col min="3633" max="3840" width="13.28515625" style="150"/>
    <col min="3841" max="3841" width="32.28515625" style="150" customWidth="1"/>
    <col min="3842" max="3842" width="50" style="150" customWidth="1"/>
    <col min="3843" max="3843" width="48.28515625" style="150" customWidth="1"/>
    <col min="3844" max="3844" width="64" style="150" customWidth="1"/>
    <col min="3845" max="3888" width="12" style="150" customWidth="1"/>
    <col min="3889" max="4096" width="13.28515625" style="150"/>
    <col min="4097" max="4097" width="32.28515625" style="150" customWidth="1"/>
    <col min="4098" max="4098" width="50" style="150" customWidth="1"/>
    <col min="4099" max="4099" width="48.28515625" style="150" customWidth="1"/>
    <col min="4100" max="4100" width="64" style="150" customWidth="1"/>
    <col min="4101" max="4144" width="12" style="150" customWidth="1"/>
    <col min="4145" max="4352" width="13.28515625" style="150"/>
    <col min="4353" max="4353" width="32.28515625" style="150" customWidth="1"/>
    <col min="4354" max="4354" width="50" style="150" customWidth="1"/>
    <col min="4355" max="4355" width="48.28515625" style="150" customWidth="1"/>
    <col min="4356" max="4356" width="64" style="150" customWidth="1"/>
    <col min="4357" max="4400" width="12" style="150" customWidth="1"/>
    <col min="4401" max="4608" width="13.28515625" style="150"/>
    <col min="4609" max="4609" width="32.28515625" style="150" customWidth="1"/>
    <col min="4610" max="4610" width="50" style="150" customWidth="1"/>
    <col min="4611" max="4611" width="48.28515625" style="150" customWidth="1"/>
    <col min="4612" max="4612" width="64" style="150" customWidth="1"/>
    <col min="4613" max="4656" width="12" style="150" customWidth="1"/>
    <col min="4657" max="4864" width="13.28515625" style="150"/>
    <col min="4865" max="4865" width="32.28515625" style="150" customWidth="1"/>
    <col min="4866" max="4866" width="50" style="150" customWidth="1"/>
    <col min="4867" max="4867" width="48.28515625" style="150" customWidth="1"/>
    <col min="4868" max="4868" width="64" style="150" customWidth="1"/>
    <col min="4869" max="4912" width="12" style="150" customWidth="1"/>
    <col min="4913" max="5120" width="13.28515625" style="150"/>
    <col min="5121" max="5121" width="32.28515625" style="150" customWidth="1"/>
    <col min="5122" max="5122" width="50" style="150" customWidth="1"/>
    <col min="5123" max="5123" width="48.28515625" style="150" customWidth="1"/>
    <col min="5124" max="5124" width="64" style="150" customWidth="1"/>
    <col min="5125" max="5168" width="12" style="150" customWidth="1"/>
    <col min="5169" max="5376" width="13.28515625" style="150"/>
    <col min="5377" max="5377" width="32.28515625" style="150" customWidth="1"/>
    <col min="5378" max="5378" width="50" style="150" customWidth="1"/>
    <col min="5379" max="5379" width="48.28515625" style="150" customWidth="1"/>
    <col min="5380" max="5380" width="64" style="150" customWidth="1"/>
    <col min="5381" max="5424" width="12" style="150" customWidth="1"/>
    <col min="5425" max="5632" width="13.28515625" style="150"/>
    <col min="5633" max="5633" width="32.28515625" style="150" customWidth="1"/>
    <col min="5634" max="5634" width="50" style="150" customWidth="1"/>
    <col min="5635" max="5635" width="48.28515625" style="150" customWidth="1"/>
    <col min="5636" max="5636" width="64" style="150" customWidth="1"/>
    <col min="5637" max="5680" width="12" style="150" customWidth="1"/>
    <col min="5681" max="5888" width="13.28515625" style="150"/>
    <col min="5889" max="5889" width="32.28515625" style="150" customWidth="1"/>
    <col min="5890" max="5890" width="50" style="150" customWidth="1"/>
    <col min="5891" max="5891" width="48.28515625" style="150" customWidth="1"/>
    <col min="5892" max="5892" width="64" style="150" customWidth="1"/>
    <col min="5893" max="5936" width="12" style="150" customWidth="1"/>
    <col min="5937" max="6144" width="13.28515625" style="150"/>
    <col min="6145" max="6145" width="32.28515625" style="150" customWidth="1"/>
    <col min="6146" max="6146" width="50" style="150" customWidth="1"/>
    <col min="6147" max="6147" width="48.28515625" style="150" customWidth="1"/>
    <col min="6148" max="6148" width="64" style="150" customWidth="1"/>
    <col min="6149" max="6192" width="12" style="150" customWidth="1"/>
    <col min="6193" max="6400" width="13.28515625" style="150"/>
    <col min="6401" max="6401" width="32.28515625" style="150" customWidth="1"/>
    <col min="6402" max="6402" width="50" style="150" customWidth="1"/>
    <col min="6403" max="6403" width="48.28515625" style="150" customWidth="1"/>
    <col min="6404" max="6404" width="64" style="150" customWidth="1"/>
    <col min="6405" max="6448" width="12" style="150" customWidth="1"/>
    <col min="6449" max="6656" width="13.28515625" style="150"/>
    <col min="6657" max="6657" width="32.28515625" style="150" customWidth="1"/>
    <col min="6658" max="6658" width="50" style="150" customWidth="1"/>
    <col min="6659" max="6659" width="48.28515625" style="150" customWidth="1"/>
    <col min="6660" max="6660" width="64" style="150" customWidth="1"/>
    <col min="6661" max="6704" width="12" style="150" customWidth="1"/>
    <col min="6705" max="6912" width="13.28515625" style="150"/>
    <col min="6913" max="6913" width="32.28515625" style="150" customWidth="1"/>
    <col min="6914" max="6914" width="50" style="150" customWidth="1"/>
    <col min="6915" max="6915" width="48.28515625" style="150" customWidth="1"/>
    <col min="6916" max="6916" width="64" style="150" customWidth="1"/>
    <col min="6917" max="6960" width="12" style="150" customWidth="1"/>
    <col min="6961" max="7168" width="13.28515625" style="150"/>
    <col min="7169" max="7169" width="32.28515625" style="150" customWidth="1"/>
    <col min="7170" max="7170" width="50" style="150" customWidth="1"/>
    <col min="7171" max="7171" width="48.28515625" style="150" customWidth="1"/>
    <col min="7172" max="7172" width="64" style="150" customWidth="1"/>
    <col min="7173" max="7216" width="12" style="150" customWidth="1"/>
    <col min="7217" max="7424" width="13.28515625" style="150"/>
    <col min="7425" max="7425" width="32.28515625" style="150" customWidth="1"/>
    <col min="7426" max="7426" width="50" style="150" customWidth="1"/>
    <col min="7427" max="7427" width="48.28515625" style="150" customWidth="1"/>
    <col min="7428" max="7428" width="64" style="150" customWidth="1"/>
    <col min="7429" max="7472" width="12" style="150" customWidth="1"/>
    <col min="7473" max="7680" width="13.28515625" style="150"/>
    <col min="7681" max="7681" width="32.28515625" style="150" customWidth="1"/>
    <col min="7682" max="7682" width="50" style="150" customWidth="1"/>
    <col min="7683" max="7683" width="48.28515625" style="150" customWidth="1"/>
    <col min="7684" max="7684" width="64" style="150" customWidth="1"/>
    <col min="7685" max="7728" width="12" style="150" customWidth="1"/>
    <col min="7729" max="7936" width="13.28515625" style="150"/>
    <col min="7937" max="7937" width="32.28515625" style="150" customWidth="1"/>
    <col min="7938" max="7938" width="50" style="150" customWidth="1"/>
    <col min="7939" max="7939" width="48.28515625" style="150" customWidth="1"/>
    <col min="7940" max="7940" width="64" style="150" customWidth="1"/>
    <col min="7941" max="7984" width="12" style="150" customWidth="1"/>
    <col min="7985" max="8192" width="13.28515625" style="150"/>
    <col min="8193" max="8193" width="32.28515625" style="150" customWidth="1"/>
    <col min="8194" max="8194" width="50" style="150" customWidth="1"/>
    <col min="8195" max="8195" width="48.28515625" style="150" customWidth="1"/>
    <col min="8196" max="8196" width="64" style="150" customWidth="1"/>
    <col min="8197" max="8240" width="12" style="150" customWidth="1"/>
    <col min="8241" max="8448" width="13.28515625" style="150"/>
    <col min="8449" max="8449" width="32.28515625" style="150" customWidth="1"/>
    <col min="8450" max="8450" width="50" style="150" customWidth="1"/>
    <col min="8451" max="8451" width="48.28515625" style="150" customWidth="1"/>
    <col min="8452" max="8452" width="64" style="150" customWidth="1"/>
    <col min="8453" max="8496" width="12" style="150" customWidth="1"/>
    <col min="8497" max="8704" width="13.28515625" style="150"/>
    <col min="8705" max="8705" width="32.28515625" style="150" customWidth="1"/>
    <col min="8706" max="8706" width="50" style="150" customWidth="1"/>
    <col min="8707" max="8707" width="48.28515625" style="150" customWidth="1"/>
    <col min="8708" max="8708" width="64" style="150" customWidth="1"/>
    <col min="8709" max="8752" width="12" style="150" customWidth="1"/>
    <col min="8753" max="8960" width="13.28515625" style="150"/>
    <col min="8961" max="8961" width="32.28515625" style="150" customWidth="1"/>
    <col min="8962" max="8962" width="50" style="150" customWidth="1"/>
    <col min="8963" max="8963" width="48.28515625" style="150" customWidth="1"/>
    <col min="8964" max="8964" width="64" style="150" customWidth="1"/>
    <col min="8965" max="9008" width="12" style="150" customWidth="1"/>
    <col min="9009" max="9216" width="13.28515625" style="150"/>
    <col min="9217" max="9217" width="32.28515625" style="150" customWidth="1"/>
    <col min="9218" max="9218" width="50" style="150" customWidth="1"/>
    <col min="9219" max="9219" width="48.28515625" style="150" customWidth="1"/>
    <col min="9220" max="9220" width="64" style="150" customWidth="1"/>
    <col min="9221" max="9264" width="12" style="150" customWidth="1"/>
    <col min="9265" max="9472" width="13.28515625" style="150"/>
    <col min="9473" max="9473" width="32.28515625" style="150" customWidth="1"/>
    <col min="9474" max="9474" width="50" style="150" customWidth="1"/>
    <col min="9475" max="9475" width="48.28515625" style="150" customWidth="1"/>
    <col min="9476" max="9476" width="64" style="150" customWidth="1"/>
    <col min="9477" max="9520" width="12" style="150" customWidth="1"/>
    <col min="9521" max="9728" width="13.28515625" style="150"/>
    <col min="9729" max="9729" width="32.28515625" style="150" customWidth="1"/>
    <col min="9730" max="9730" width="50" style="150" customWidth="1"/>
    <col min="9731" max="9731" width="48.28515625" style="150" customWidth="1"/>
    <col min="9732" max="9732" width="64" style="150" customWidth="1"/>
    <col min="9733" max="9776" width="12" style="150" customWidth="1"/>
    <col min="9777" max="9984" width="13.28515625" style="150"/>
    <col min="9985" max="9985" width="32.28515625" style="150" customWidth="1"/>
    <col min="9986" max="9986" width="50" style="150" customWidth="1"/>
    <col min="9987" max="9987" width="48.28515625" style="150" customWidth="1"/>
    <col min="9988" max="9988" width="64" style="150" customWidth="1"/>
    <col min="9989" max="10032" width="12" style="150" customWidth="1"/>
    <col min="10033" max="10240" width="13.28515625" style="150"/>
    <col min="10241" max="10241" width="32.28515625" style="150" customWidth="1"/>
    <col min="10242" max="10242" width="50" style="150" customWidth="1"/>
    <col min="10243" max="10243" width="48.28515625" style="150" customWidth="1"/>
    <col min="10244" max="10244" width="64" style="150" customWidth="1"/>
    <col min="10245" max="10288" width="12" style="150" customWidth="1"/>
    <col min="10289" max="10496" width="13.28515625" style="150"/>
    <col min="10497" max="10497" width="32.28515625" style="150" customWidth="1"/>
    <col min="10498" max="10498" width="50" style="150" customWidth="1"/>
    <col min="10499" max="10499" width="48.28515625" style="150" customWidth="1"/>
    <col min="10500" max="10500" width="64" style="150" customWidth="1"/>
    <col min="10501" max="10544" width="12" style="150" customWidth="1"/>
    <col min="10545" max="10752" width="13.28515625" style="150"/>
    <col min="10753" max="10753" width="32.28515625" style="150" customWidth="1"/>
    <col min="10754" max="10754" width="50" style="150" customWidth="1"/>
    <col min="10755" max="10755" width="48.28515625" style="150" customWidth="1"/>
    <col min="10756" max="10756" width="64" style="150" customWidth="1"/>
    <col min="10757" max="10800" width="12" style="150" customWidth="1"/>
    <col min="10801" max="11008" width="13.28515625" style="150"/>
    <col min="11009" max="11009" width="32.28515625" style="150" customWidth="1"/>
    <col min="11010" max="11010" width="50" style="150" customWidth="1"/>
    <col min="11011" max="11011" width="48.28515625" style="150" customWidth="1"/>
    <col min="11012" max="11012" width="64" style="150" customWidth="1"/>
    <col min="11013" max="11056" width="12" style="150" customWidth="1"/>
    <col min="11057" max="11264" width="13.28515625" style="150"/>
    <col min="11265" max="11265" width="32.28515625" style="150" customWidth="1"/>
    <col min="11266" max="11266" width="50" style="150" customWidth="1"/>
    <col min="11267" max="11267" width="48.28515625" style="150" customWidth="1"/>
    <col min="11268" max="11268" width="64" style="150" customWidth="1"/>
    <col min="11269" max="11312" width="12" style="150" customWidth="1"/>
    <col min="11313" max="11520" width="13.28515625" style="150"/>
    <col min="11521" max="11521" width="32.28515625" style="150" customWidth="1"/>
    <col min="11522" max="11522" width="50" style="150" customWidth="1"/>
    <col min="11523" max="11523" width="48.28515625" style="150" customWidth="1"/>
    <col min="11524" max="11524" width="64" style="150" customWidth="1"/>
    <col min="11525" max="11568" width="12" style="150" customWidth="1"/>
    <col min="11569" max="11776" width="13.28515625" style="150"/>
    <col min="11777" max="11777" width="32.28515625" style="150" customWidth="1"/>
    <col min="11778" max="11778" width="50" style="150" customWidth="1"/>
    <col min="11779" max="11779" width="48.28515625" style="150" customWidth="1"/>
    <col min="11780" max="11780" width="64" style="150" customWidth="1"/>
    <col min="11781" max="11824" width="12" style="150" customWidth="1"/>
    <col min="11825" max="12032" width="13.28515625" style="150"/>
    <col min="12033" max="12033" width="32.28515625" style="150" customWidth="1"/>
    <col min="12034" max="12034" width="50" style="150" customWidth="1"/>
    <col min="12035" max="12035" width="48.28515625" style="150" customWidth="1"/>
    <col min="12036" max="12036" width="64" style="150" customWidth="1"/>
    <col min="12037" max="12080" width="12" style="150" customWidth="1"/>
    <col min="12081" max="12288" width="13.28515625" style="150"/>
    <col min="12289" max="12289" width="32.28515625" style="150" customWidth="1"/>
    <col min="12290" max="12290" width="50" style="150" customWidth="1"/>
    <col min="12291" max="12291" width="48.28515625" style="150" customWidth="1"/>
    <col min="12292" max="12292" width="64" style="150" customWidth="1"/>
    <col min="12293" max="12336" width="12" style="150" customWidth="1"/>
    <col min="12337" max="12544" width="13.28515625" style="150"/>
    <col min="12545" max="12545" width="32.28515625" style="150" customWidth="1"/>
    <col min="12546" max="12546" width="50" style="150" customWidth="1"/>
    <col min="12547" max="12547" width="48.28515625" style="150" customWidth="1"/>
    <col min="12548" max="12548" width="64" style="150" customWidth="1"/>
    <col min="12549" max="12592" width="12" style="150" customWidth="1"/>
    <col min="12593" max="12800" width="13.28515625" style="150"/>
    <col min="12801" max="12801" width="32.28515625" style="150" customWidth="1"/>
    <col min="12802" max="12802" width="50" style="150" customWidth="1"/>
    <col min="12803" max="12803" width="48.28515625" style="150" customWidth="1"/>
    <col min="12804" max="12804" width="64" style="150" customWidth="1"/>
    <col min="12805" max="12848" width="12" style="150" customWidth="1"/>
    <col min="12849" max="13056" width="13.28515625" style="150"/>
    <col min="13057" max="13057" width="32.28515625" style="150" customWidth="1"/>
    <col min="13058" max="13058" width="50" style="150" customWidth="1"/>
    <col min="13059" max="13059" width="48.28515625" style="150" customWidth="1"/>
    <col min="13060" max="13060" width="64" style="150" customWidth="1"/>
    <col min="13061" max="13104" width="12" style="150" customWidth="1"/>
    <col min="13105" max="13312" width="13.28515625" style="150"/>
    <col min="13313" max="13313" width="32.28515625" style="150" customWidth="1"/>
    <col min="13314" max="13314" width="50" style="150" customWidth="1"/>
    <col min="13315" max="13315" width="48.28515625" style="150" customWidth="1"/>
    <col min="13316" max="13316" width="64" style="150" customWidth="1"/>
    <col min="13317" max="13360" width="12" style="150" customWidth="1"/>
    <col min="13361" max="13568" width="13.28515625" style="150"/>
    <col min="13569" max="13569" width="32.28515625" style="150" customWidth="1"/>
    <col min="13570" max="13570" width="50" style="150" customWidth="1"/>
    <col min="13571" max="13571" width="48.28515625" style="150" customWidth="1"/>
    <col min="13572" max="13572" width="64" style="150" customWidth="1"/>
    <col min="13573" max="13616" width="12" style="150" customWidth="1"/>
    <col min="13617" max="13824" width="13.28515625" style="150"/>
    <col min="13825" max="13825" width="32.28515625" style="150" customWidth="1"/>
    <col min="13826" max="13826" width="50" style="150" customWidth="1"/>
    <col min="13827" max="13827" width="48.28515625" style="150" customWidth="1"/>
    <col min="13828" max="13828" width="64" style="150" customWidth="1"/>
    <col min="13829" max="13872" width="12" style="150" customWidth="1"/>
    <col min="13873" max="14080" width="13.28515625" style="150"/>
    <col min="14081" max="14081" width="32.28515625" style="150" customWidth="1"/>
    <col min="14082" max="14082" width="50" style="150" customWidth="1"/>
    <col min="14083" max="14083" width="48.28515625" style="150" customWidth="1"/>
    <col min="14084" max="14084" width="64" style="150" customWidth="1"/>
    <col min="14085" max="14128" width="12" style="150" customWidth="1"/>
    <col min="14129" max="14336" width="13.28515625" style="150"/>
    <col min="14337" max="14337" width="32.28515625" style="150" customWidth="1"/>
    <col min="14338" max="14338" width="50" style="150" customWidth="1"/>
    <col min="14339" max="14339" width="48.28515625" style="150" customWidth="1"/>
    <col min="14340" max="14340" width="64" style="150" customWidth="1"/>
    <col min="14341" max="14384" width="12" style="150" customWidth="1"/>
    <col min="14385" max="14592" width="13.28515625" style="150"/>
    <col min="14593" max="14593" width="32.28515625" style="150" customWidth="1"/>
    <col min="14594" max="14594" width="50" style="150" customWidth="1"/>
    <col min="14595" max="14595" width="48.28515625" style="150" customWidth="1"/>
    <col min="14596" max="14596" width="64" style="150" customWidth="1"/>
    <col min="14597" max="14640" width="12" style="150" customWidth="1"/>
    <col min="14641" max="14848" width="13.28515625" style="150"/>
    <col min="14849" max="14849" width="32.28515625" style="150" customWidth="1"/>
    <col min="14850" max="14850" width="50" style="150" customWidth="1"/>
    <col min="14851" max="14851" width="48.28515625" style="150" customWidth="1"/>
    <col min="14852" max="14852" width="64" style="150" customWidth="1"/>
    <col min="14853" max="14896" width="12" style="150" customWidth="1"/>
    <col min="14897" max="15104" width="13.28515625" style="150"/>
    <col min="15105" max="15105" width="32.28515625" style="150" customWidth="1"/>
    <col min="15106" max="15106" width="50" style="150" customWidth="1"/>
    <col min="15107" max="15107" width="48.28515625" style="150" customWidth="1"/>
    <col min="15108" max="15108" width="64" style="150" customWidth="1"/>
    <col min="15109" max="15152" width="12" style="150" customWidth="1"/>
    <col min="15153" max="15360" width="13.28515625" style="150"/>
    <col min="15361" max="15361" width="32.28515625" style="150" customWidth="1"/>
    <col min="15362" max="15362" width="50" style="150" customWidth="1"/>
    <col min="15363" max="15363" width="48.28515625" style="150" customWidth="1"/>
    <col min="15364" max="15364" width="64" style="150" customWidth="1"/>
    <col min="15365" max="15408" width="12" style="150" customWidth="1"/>
    <col min="15409" max="15616" width="13.28515625" style="150"/>
    <col min="15617" max="15617" width="32.28515625" style="150" customWidth="1"/>
    <col min="15618" max="15618" width="50" style="150" customWidth="1"/>
    <col min="15619" max="15619" width="48.28515625" style="150" customWidth="1"/>
    <col min="15620" max="15620" width="64" style="150" customWidth="1"/>
    <col min="15621" max="15664" width="12" style="150" customWidth="1"/>
    <col min="15665" max="15872" width="13.28515625" style="150"/>
    <col min="15873" max="15873" width="32.28515625" style="150" customWidth="1"/>
    <col min="15874" max="15874" width="50" style="150" customWidth="1"/>
    <col min="15875" max="15875" width="48.28515625" style="150" customWidth="1"/>
    <col min="15876" max="15876" width="64" style="150" customWidth="1"/>
    <col min="15877" max="15920" width="12" style="150" customWidth="1"/>
    <col min="15921" max="16128" width="13.28515625" style="150"/>
    <col min="16129" max="16129" width="32.28515625" style="150" customWidth="1"/>
    <col min="16130" max="16130" width="50" style="150" customWidth="1"/>
    <col min="16131" max="16131" width="48.28515625" style="150" customWidth="1"/>
    <col min="16132" max="16132" width="64" style="150" customWidth="1"/>
    <col min="16133" max="16176" width="12" style="150" customWidth="1"/>
    <col min="16177" max="16384" width="13.28515625" style="150"/>
  </cols>
  <sheetData>
    <row r="1" spans="1:9" ht="30" customHeight="1" x14ac:dyDescent="0.2"/>
    <row r="2" spans="1:9" s="176" customFormat="1" ht="31.5" x14ac:dyDescent="0.2">
      <c r="A2" s="175" t="s">
        <v>4</v>
      </c>
      <c r="B2" s="175" t="s">
        <v>1050</v>
      </c>
      <c r="C2" s="175" t="s">
        <v>5</v>
      </c>
      <c r="D2" s="175" t="s">
        <v>185</v>
      </c>
      <c r="E2" s="175" t="s">
        <v>1038</v>
      </c>
      <c r="F2" s="175" t="s">
        <v>1049</v>
      </c>
      <c r="G2" s="175" t="s">
        <v>6</v>
      </c>
      <c r="H2" s="175" t="s">
        <v>1038</v>
      </c>
      <c r="I2" s="175" t="s">
        <v>1039</v>
      </c>
    </row>
    <row r="3" spans="1:9" s="149" customFormat="1" ht="14.1" customHeight="1" x14ac:dyDescent="0.2">
      <c r="A3" s="398" t="s">
        <v>1853</v>
      </c>
      <c r="B3" s="402" t="s">
        <v>573</v>
      </c>
      <c r="C3" s="402" t="s">
        <v>3163</v>
      </c>
      <c r="D3" s="378"/>
      <c r="E3" s="402"/>
      <c r="F3" s="398" t="s">
        <v>3173</v>
      </c>
      <c r="G3" s="402" t="s">
        <v>3275</v>
      </c>
      <c r="H3" s="397"/>
      <c r="I3" s="397"/>
    </row>
    <row r="4" spans="1:9" s="149" customFormat="1" ht="14.1" customHeight="1" x14ac:dyDescent="0.2">
      <c r="A4" s="398"/>
      <c r="B4" s="402"/>
      <c r="C4" s="402"/>
      <c r="D4" s="379"/>
      <c r="E4" s="402"/>
      <c r="F4" s="398"/>
      <c r="G4" s="402"/>
      <c r="H4" s="397"/>
      <c r="I4" s="397"/>
    </row>
    <row r="5" spans="1:9" s="149" customFormat="1" ht="14.1" customHeight="1" x14ac:dyDescent="0.2">
      <c r="A5" s="398"/>
      <c r="B5" s="402"/>
      <c r="C5" s="402"/>
      <c r="D5" s="379"/>
      <c r="E5" s="402"/>
      <c r="F5" s="398"/>
      <c r="G5" s="402"/>
      <c r="H5" s="397"/>
      <c r="I5" s="397"/>
    </row>
    <row r="6" spans="1:9" s="149" customFormat="1" ht="14.1" customHeight="1" x14ac:dyDescent="0.2">
      <c r="A6" s="398"/>
      <c r="B6" s="402"/>
      <c r="C6" s="402"/>
      <c r="D6" s="379"/>
      <c r="E6" s="402"/>
      <c r="F6" s="398" t="s">
        <v>3174</v>
      </c>
      <c r="G6" s="402" t="s">
        <v>3276</v>
      </c>
      <c r="H6" s="397"/>
      <c r="I6" s="397"/>
    </row>
    <row r="7" spans="1:9" s="149" customFormat="1" ht="14.1" customHeight="1" x14ac:dyDescent="0.2">
      <c r="A7" s="398"/>
      <c r="B7" s="402"/>
      <c r="C7" s="402"/>
      <c r="D7" s="379"/>
      <c r="E7" s="402"/>
      <c r="F7" s="398"/>
      <c r="G7" s="402"/>
      <c r="H7" s="397"/>
      <c r="I7" s="397"/>
    </row>
    <row r="8" spans="1:9" s="149" customFormat="1" ht="14.1" customHeight="1" x14ac:dyDescent="0.2">
      <c r="A8" s="398"/>
      <c r="B8" s="402"/>
      <c r="C8" s="402"/>
      <c r="D8" s="379"/>
      <c r="E8" s="402"/>
      <c r="F8" s="398"/>
      <c r="G8" s="402"/>
      <c r="H8" s="397"/>
      <c r="I8" s="397"/>
    </row>
    <row r="9" spans="1:9" s="149" customFormat="1" ht="14.1" customHeight="1" x14ac:dyDescent="0.2">
      <c r="A9" s="398"/>
      <c r="B9" s="402"/>
      <c r="C9" s="402"/>
      <c r="D9" s="379"/>
      <c r="E9" s="402"/>
      <c r="F9" s="398" t="s">
        <v>3175</v>
      </c>
      <c r="G9" s="402" t="s">
        <v>3277</v>
      </c>
      <c r="H9" s="397"/>
      <c r="I9" s="397"/>
    </row>
    <row r="10" spans="1:9" s="149" customFormat="1" ht="14.1" customHeight="1" x14ac:dyDescent="0.2">
      <c r="A10" s="398"/>
      <c r="B10" s="402"/>
      <c r="C10" s="402"/>
      <c r="D10" s="379"/>
      <c r="E10" s="402"/>
      <c r="F10" s="398"/>
      <c r="G10" s="402"/>
      <c r="H10" s="397"/>
      <c r="I10" s="397"/>
    </row>
    <row r="11" spans="1:9" s="149" customFormat="1" ht="14.1" customHeight="1" x14ac:dyDescent="0.2">
      <c r="A11" s="398"/>
      <c r="B11" s="402"/>
      <c r="C11" s="402"/>
      <c r="D11" s="379"/>
      <c r="E11" s="402"/>
      <c r="F11" s="398"/>
      <c r="G11" s="402"/>
      <c r="H11" s="397"/>
      <c r="I11" s="397"/>
    </row>
    <row r="12" spans="1:9" s="149" customFormat="1" ht="14.1" customHeight="1" x14ac:dyDescent="0.2">
      <c r="A12" s="398"/>
      <c r="B12" s="402"/>
      <c r="C12" s="402"/>
      <c r="D12" s="379"/>
      <c r="E12" s="402"/>
      <c r="F12" s="398" t="s">
        <v>3176</v>
      </c>
      <c r="G12" s="402" t="s">
        <v>3278</v>
      </c>
      <c r="H12" s="397"/>
      <c r="I12" s="397"/>
    </row>
    <row r="13" spans="1:9" s="149" customFormat="1" ht="14.1" customHeight="1" x14ac:dyDescent="0.2">
      <c r="A13" s="398"/>
      <c r="B13" s="402"/>
      <c r="C13" s="402"/>
      <c r="D13" s="379"/>
      <c r="E13" s="402"/>
      <c r="F13" s="398"/>
      <c r="G13" s="402"/>
      <c r="H13" s="397"/>
      <c r="I13" s="397"/>
    </row>
    <row r="14" spans="1:9" s="149" customFormat="1" ht="14.1" customHeight="1" x14ac:dyDescent="0.2">
      <c r="A14" s="398"/>
      <c r="B14" s="402"/>
      <c r="C14" s="402"/>
      <c r="D14" s="379"/>
      <c r="E14" s="402"/>
      <c r="F14" s="398"/>
      <c r="G14" s="402"/>
      <c r="H14" s="397"/>
      <c r="I14" s="397"/>
    </row>
    <row r="15" spans="1:9" s="149" customFormat="1" ht="14.1" customHeight="1" x14ac:dyDescent="0.2">
      <c r="A15" s="398"/>
      <c r="B15" s="402"/>
      <c r="C15" s="402"/>
      <c r="D15" s="379"/>
      <c r="E15" s="402"/>
      <c r="F15" s="398" t="s">
        <v>3177</v>
      </c>
      <c r="G15" s="402" t="s">
        <v>3279</v>
      </c>
      <c r="H15" s="397"/>
      <c r="I15" s="397"/>
    </row>
    <row r="16" spans="1:9" s="149" customFormat="1" ht="14.1" customHeight="1" x14ac:dyDescent="0.2">
      <c r="A16" s="398"/>
      <c r="B16" s="402"/>
      <c r="C16" s="402"/>
      <c r="D16" s="379"/>
      <c r="E16" s="402"/>
      <c r="F16" s="398"/>
      <c r="G16" s="402"/>
      <c r="H16" s="397"/>
      <c r="I16" s="397"/>
    </row>
    <row r="17" spans="1:9" s="149" customFormat="1" ht="14.1" customHeight="1" x14ac:dyDescent="0.2">
      <c r="A17" s="398"/>
      <c r="B17" s="402"/>
      <c r="C17" s="402"/>
      <c r="D17" s="379"/>
      <c r="E17" s="402"/>
      <c r="F17" s="398"/>
      <c r="G17" s="402"/>
      <c r="H17" s="397"/>
      <c r="I17" s="397"/>
    </row>
    <row r="18" spans="1:9" s="149" customFormat="1" ht="14.1" customHeight="1" x14ac:dyDescent="0.2">
      <c r="A18" s="398"/>
      <c r="B18" s="402"/>
      <c r="C18" s="402"/>
      <c r="D18" s="379"/>
      <c r="E18" s="402"/>
      <c r="F18" s="398" t="s">
        <v>1859</v>
      </c>
      <c r="G18" s="402" t="s">
        <v>3280</v>
      </c>
      <c r="H18" s="397"/>
      <c r="I18" s="397"/>
    </row>
    <row r="19" spans="1:9" s="149" customFormat="1" ht="14.1" customHeight="1" x14ac:dyDescent="0.2">
      <c r="A19" s="398"/>
      <c r="B19" s="402"/>
      <c r="C19" s="402"/>
      <c r="D19" s="379"/>
      <c r="E19" s="402"/>
      <c r="F19" s="398"/>
      <c r="G19" s="402"/>
      <c r="H19" s="397"/>
      <c r="I19" s="397"/>
    </row>
    <row r="20" spans="1:9" s="149" customFormat="1" ht="14.1" customHeight="1" x14ac:dyDescent="0.2">
      <c r="A20" s="398"/>
      <c r="B20" s="402"/>
      <c r="C20" s="402"/>
      <c r="D20" s="379"/>
      <c r="E20" s="402"/>
      <c r="F20" s="398"/>
      <c r="G20" s="402"/>
      <c r="H20" s="397"/>
      <c r="I20" s="397"/>
    </row>
    <row r="21" spans="1:9" s="149" customFormat="1" ht="14.1" customHeight="1" x14ac:dyDescent="0.2">
      <c r="A21" s="398"/>
      <c r="B21" s="402"/>
      <c r="C21" s="402"/>
      <c r="D21" s="379"/>
      <c r="E21" s="402"/>
      <c r="F21" s="398" t="s">
        <v>1860</v>
      </c>
      <c r="G21" s="402"/>
      <c r="H21" s="397"/>
      <c r="I21" s="397"/>
    </row>
    <row r="22" spans="1:9" s="149" customFormat="1" ht="14.1" customHeight="1" x14ac:dyDescent="0.2">
      <c r="A22" s="398"/>
      <c r="B22" s="402"/>
      <c r="C22" s="402"/>
      <c r="D22" s="379"/>
      <c r="E22" s="402"/>
      <c r="F22" s="398"/>
      <c r="G22" s="402"/>
      <c r="H22" s="397"/>
      <c r="I22" s="397"/>
    </row>
    <row r="23" spans="1:9" s="149" customFormat="1" ht="14.1" customHeight="1" x14ac:dyDescent="0.2">
      <c r="A23" s="398"/>
      <c r="B23" s="402"/>
      <c r="C23" s="402"/>
      <c r="D23" s="380"/>
      <c r="E23" s="402"/>
      <c r="F23" s="398"/>
      <c r="G23" s="402"/>
      <c r="H23" s="397"/>
      <c r="I23" s="397"/>
    </row>
    <row r="24" spans="1:9" s="149" customFormat="1" x14ac:dyDescent="0.2">
      <c r="A24" s="398"/>
      <c r="B24" s="402" t="s">
        <v>576</v>
      </c>
      <c r="C24" s="402" t="s">
        <v>3166</v>
      </c>
      <c r="D24" s="378"/>
      <c r="E24" s="402"/>
      <c r="F24" s="398" t="s">
        <v>3178</v>
      </c>
      <c r="G24" s="402" t="s">
        <v>1854</v>
      </c>
      <c r="H24" s="397" t="s">
        <v>515</v>
      </c>
      <c r="I24" s="397" t="s">
        <v>3136</v>
      </c>
    </row>
    <row r="25" spans="1:9" s="149" customFormat="1" x14ac:dyDescent="0.2">
      <c r="A25" s="398"/>
      <c r="B25" s="402"/>
      <c r="C25" s="402"/>
      <c r="D25" s="379"/>
      <c r="E25" s="402"/>
      <c r="F25" s="398"/>
      <c r="G25" s="402"/>
      <c r="H25" s="397"/>
      <c r="I25" s="397"/>
    </row>
    <row r="26" spans="1:9" s="149" customFormat="1" x14ac:dyDescent="0.2">
      <c r="A26" s="398"/>
      <c r="B26" s="402"/>
      <c r="C26" s="402"/>
      <c r="D26" s="379"/>
      <c r="E26" s="402"/>
      <c r="F26" s="398"/>
      <c r="G26" s="402"/>
      <c r="H26" s="397"/>
      <c r="I26" s="397"/>
    </row>
    <row r="27" spans="1:9" s="149" customFormat="1" x14ac:dyDescent="0.2">
      <c r="A27" s="398"/>
      <c r="B27" s="402"/>
      <c r="C27" s="402"/>
      <c r="D27" s="379"/>
      <c r="E27" s="402"/>
      <c r="F27" s="398" t="s">
        <v>3179</v>
      </c>
      <c r="G27" s="407" t="s">
        <v>1855</v>
      </c>
      <c r="H27" s="404" t="s">
        <v>515</v>
      </c>
      <c r="I27" s="404" t="s">
        <v>4215</v>
      </c>
    </row>
    <row r="28" spans="1:9" s="149" customFormat="1" x14ac:dyDescent="0.2">
      <c r="A28" s="398"/>
      <c r="B28" s="402"/>
      <c r="C28" s="402"/>
      <c r="D28" s="379"/>
      <c r="E28" s="402"/>
      <c r="F28" s="398"/>
      <c r="G28" s="407"/>
      <c r="H28" s="404"/>
      <c r="I28" s="404"/>
    </row>
    <row r="29" spans="1:9" s="149" customFormat="1" x14ac:dyDescent="0.2">
      <c r="A29" s="398"/>
      <c r="B29" s="402"/>
      <c r="C29" s="402"/>
      <c r="D29" s="379"/>
      <c r="E29" s="402"/>
      <c r="F29" s="398"/>
      <c r="G29" s="407"/>
      <c r="H29" s="404"/>
      <c r="I29" s="404"/>
    </row>
    <row r="30" spans="1:9" s="149" customFormat="1" x14ac:dyDescent="0.2">
      <c r="A30" s="398"/>
      <c r="B30" s="402"/>
      <c r="C30" s="402"/>
      <c r="D30" s="379"/>
      <c r="E30" s="402"/>
      <c r="F30" s="398" t="s">
        <v>3180</v>
      </c>
      <c r="G30" s="402" t="s">
        <v>1856</v>
      </c>
      <c r="H30" s="397" t="s">
        <v>515</v>
      </c>
      <c r="I30" s="397"/>
    </row>
    <row r="31" spans="1:9" s="149" customFormat="1" x14ac:dyDescent="0.2">
      <c r="A31" s="398"/>
      <c r="B31" s="402"/>
      <c r="C31" s="402"/>
      <c r="D31" s="379"/>
      <c r="E31" s="402"/>
      <c r="F31" s="398"/>
      <c r="G31" s="402"/>
      <c r="H31" s="397"/>
      <c r="I31" s="397"/>
    </row>
    <row r="32" spans="1:9" s="149" customFormat="1" x14ac:dyDescent="0.2">
      <c r="A32" s="398"/>
      <c r="B32" s="402"/>
      <c r="C32" s="402"/>
      <c r="D32" s="379"/>
      <c r="E32" s="402"/>
      <c r="F32" s="398"/>
      <c r="G32" s="402"/>
      <c r="H32" s="397"/>
      <c r="I32" s="397"/>
    </row>
    <row r="33" spans="1:9" s="149" customFormat="1" x14ac:dyDescent="0.2">
      <c r="A33" s="398"/>
      <c r="B33" s="402"/>
      <c r="C33" s="402"/>
      <c r="D33" s="379"/>
      <c r="E33" s="402"/>
      <c r="F33" s="398" t="s">
        <v>3181</v>
      </c>
      <c r="G33" s="402" t="s">
        <v>1857</v>
      </c>
      <c r="H33" s="397" t="s">
        <v>515</v>
      </c>
      <c r="I33" s="397"/>
    </row>
    <row r="34" spans="1:9" s="149" customFormat="1" x14ac:dyDescent="0.2">
      <c r="A34" s="398"/>
      <c r="B34" s="402"/>
      <c r="C34" s="402"/>
      <c r="D34" s="379"/>
      <c r="E34" s="402"/>
      <c r="F34" s="398"/>
      <c r="G34" s="402"/>
      <c r="H34" s="397"/>
      <c r="I34" s="397"/>
    </row>
    <row r="35" spans="1:9" s="149" customFormat="1" x14ac:dyDescent="0.2">
      <c r="A35" s="398"/>
      <c r="B35" s="402"/>
      <c r="C35" s="402"/>
      <c r="D35" s="379"/>
      <c r="E35" s="402"/>
      <c r="F35" s="398"/>
      <c r="G35" s="402"/>
      <c r="H35" s="397"/>
      <c r="I35" s="397"/>
    </row>
    <row r="36" spans="1:9" s="149" customFormat="1" x14ac:dyDescent="0.2">
      <c r="A36" s="398"/>
      <c r="B36" s="402"/>
      <c r="C36" s="402"/>
      <c r="D36" s="379"/>
      <c r="E36" s="402"/>
      <c r="F36" s="398" t="s">
        <v>3182</v>
      </c>
      <c r="G36" s="402" t="s">
        <v>1858</v>
      </c>
      <c r="H36" s="397" t="s">
        <v>515</v>
      </c>
      <c r="I36" s="397"/>
    </row>
    <row r="37" spans="1:9" s="149" customFormat="1" x14ac:dyDescent="0.2">
      <c r="A37" s="398"/>
      <c r="B37" s="402"/>
      <c r="C37" s="402"/>
      <c r="D37" s="379"/>
      <c r="E37" s="402"/>
      <c r="F37" s="398"/>
      <c r="G37" s="402"/>
      <c r="H37" s="397"/>
      <c r="I37" s="397"/>
    </row>
    <row r="38" spans="1:9" s="149" customFormat="1" x14ac:dyDescent="0.2">
      <c r="A38" s="398"/>
      <c r="B38" s="402"/>
      <c r="C38" s="402"/>
      <c r="D38" s="379"/>
      <c r="E38" s="402"/>
      <c r="F38" s="398"/>
      <c r="G38" s="402"/>
      <c r="H38" s="397"/>
      <c r="I38" s="397"/>
    </row>
    <row r="39" spans="1:9" s="149" customFormat="1" ht="14.1" customHeight="1" x14ac:dyDescent="0.2">
      <c r="A39" s="398"/>
      <c r="B39" s="402"/>
      <c r="C39" s="402"/>
      <c r="D39" s="379"/>
      <c r="E39" s="402"/>
      <c r="F39" s="398" t="s">
        <v>3183</v>
      </c>
      <c r="G39" s="402"/>
      <c r="H39" s="397"/>
      <c r="I39" s="397"/>
    </row>
    <row r="40" spans="1:9" s="149" customFormat="1" ht="14.1" customHeight="1" x14ac:dyDescent="0.2">
      <c r="A40" s="398"/>
      <c r="B40" s="402"/>
      <c r="C40" s="402"/>
      <c r="D40" s="379"/>
      <c r="E40" s="402"/>
      <c r="F40" s="398"/>
      <c r="G40" s="402"/>
      <c r="H40" s="397"/>
      <c r="I40" s="397"/>
    </row>
    <row r="41" spans="1:9" s="149" customFormat="1" ht="14.1" customHeight="1" x14ac:dyDescent="0.2">
      <c r="A41" s="398"/>
      <c r="B41" s="402"/>
      <c r="C41" s="402"/>
      <c r="D41" s="379"/>
      <c r="E41" s="402"/>
      <c r="F41" s="398"/>
      <c r="G41" s="402"/>
      <c r="H41" s="397"/>
      <c r="I41" s="397"/>
    </row>
    <row r="42" spans="1:9" s="149" customFormat="1" ht="14.1" customHeight="1" x14ac:dyDescent="0.2">
      <c r="A42" s="398"/>
      <c r="B42" s="402"/>
      <c r="C42" s="402"/>
      <c r="D42" s="379"/>
      <c r="E42" s="402"/>
      <c r="F42" s="398" t="s">
        <v>3184</v>
      </c>
      <c r="G42" s="402"/>
      <c r="H42" s="397"/>
      <c r="I42" s="397"/>
    </row>
    <row r="43" spans="1:9" s="149" customFormat="1" ht="14.1" customHeight="1" x14ac:dyDescent="0.2">
      <c r="A43" s="398"/>
      <c r="B43" s="402"/>
      <c r="C43" s="402"/>
      <c r="D43" s="379"/>
      <c r="E43" s="402"/>
      <c r="F43" s="398"/>
      <c r="G43" s="402"/>
      <c r="H43" s="397"/>
      <c r="I43" s="397"/>
    </row>
    <row r="44" spans="1:9" s="149" customFormat="1" ht="14.1" customHeight="1" x14ac:dyDescent="0.2">
      <c r="A44" s="398"/>
      <c r="B44" s="402"/>
      <c r="C44" s="402"/>
      <c r="D44" s="380"/>
      <c r="E44" s="402"/>
      <c r="F44" s="398"/>
      <c r="G44" s="402"/>
      <c r="H44" s="397"/>
      <c r="I44" s="397"/>
    </row>
    <row r="45" spans="1:9" s="149" customFormat="1" x14ac:dyDescent="0.2">
      <c r="A45" s="398"/>
      <c r="B45" s="402" t="s">
        <v>579</v>
      </c>
      <c r="C45" s="402" t="s">
        <v>580</v>
      </c>
      <c r="D45" s="378"/>
      <c r="E45" s="402"/>
      <c r="F45" s="398" t="s">
        <v>3185</v>
      </c>
      <c r="G45" s="402" t="s">
        <v>3281</v>
      </c>
      <c r="H45" s="397"/>
      <c r="I45" s="397"/>
    </row>
    <row r="46" spans="1:9" s="149" customFormat="1" x14ac:dyDescent="0.2">
      <c r="A46" s="398"/>
      <c r="B46" s="402"/>
      <c r="C46" s="402"/>
      <c r="D46" s="379"/>
      <c r="E46" s="402"/>
      <c r="F46" s="398"/>
      <c r="G46" s="402"/>
      <c r="H46" s="397"/>
      <c r="I46" s="397"/>
    </row>
    <row r="47" spans="1:9" s="149" customFormat="1" x14ac:dyDescent="0.2">
      <c r="A47" s="398"/>
      <c r="B47" s="402"/>
      <c r="C47" s="402"/>
      <c r="D47" s="379"/>
      <c r="E47" s="402"/>
      <c r="F47" s="398"/>
      <c r="G47" s="402"/>
      <c r="H47" s="397"/>
      <c r="I47" s="397"/>
    </row>
    <row r="48" spans="1:9" s="149" customFormat="1" x14ac:dyDescent="0.2">
      <c r="A48" s="398"/>
      <c r="B48" s="402"/>
      <c r="C48" s="402"/>
      <c r="D48" s="379"/>
      <c r="E48" s="402"/>
      <c r="F48" s="398" t="s">
        <v>3186</v>
      </c>
      <c r="G48" s="402" t="s">
        <v>3282</v>
      </c>
      <c r="H48" s="397"/>
      <c r="I48" s="397"/>
    </row>
    <row r="49" spans="1:9" s="149" customFormat="1" x14ac:dyDescent="0.2">
      <c r="A49" s="398"/>
      <c r="B49" s="402"/>
      <c r="C49" s="402"/>
      <c r="D49" s="379"/>
      <c r="E49" s="402"/>
      <c r="F49" s="398"/>
      <c r="G49" s="402"/>
      <c r="H49" s="397"/>
      <c r="I49" s="397"/>
    </row>
    <row r="50" spans="1:9" s="149" customFormat="1" x14ac:dyDescent="0.2">
      <c r="A50" s="398"/>
      <c r="B50" s="402"/>
      <c r="C50" s="402"/>
      <c r="D50" s="379"/>
      <c r="E50" s="402"/>
      <c r="F50" s="398"/>
      <c r="G50" s="402"/>
      <c r="H50" s="397"/>
      <c r="I50" s="397"/>
    </row>
    <row r="51" spans="1:9" s="149" customFormat="1" x14ac:dyDescent="0.2">
      <c r="A51" s="398"/>
      <c r="B51" s="402"/>
      <c r="C51" s="402"/>
      <c r="D51" s="379"/>
      <c r="E51" s="402"/>
      <c r="F51" s="398" t="s">
        <v>3187</v>
      </c>
      <c r="G51" s="402" t="s">
        <v>3283</v>
      </c>
      <c r="H51" s="397"/>
      <c r="I51" s="397"/>
    </row>
    <row r="52" spans="1:9" s="149" customFormat="1" x14ac:dyDescent="0.2">
      <c r="A52" s="398"/>
      <c r="B52" s="402"/>
      <c r="C52" s="402"/>
      <c r="D52" s="379"/>
      <c r="E52" s="402"/>
      <c r="F52" s="398"/>
      <c r="G52" s="402"/>
      <c r="H52" s="397"/>
      <c r="I52" s="397"/>
    </row>
    <row r="53" spans="1:9" s="149" customFormat="1" x14ac:dyDescent="0.2">
      <c r="A53" s="398"/>
      <c r="B53" s="402"/>
      <c r="C53" s="402"/>
      <c r="D53" s="379"/>
      <c r="E53" s="402"/>
      <c r="F53" s="398"/>
      <c r="G53" s="402"/>
      <c r="H53" s="397"/>
      <c r="I53" s="397"/>
    </row>
    <row r="54" spans="1:9" s="149" customFormat="1" x14ac:dyDescent="0.2">
      <c r="A54" s="398"/>
      <c r="B54" s="402"/>
      <c r="C54" s="402"/>
      <c r="D54" s="379"/>
      <c r="E54" s="402"/>
      <c r="F54" s="398" t="s">
        <v>3188</v>
      </c>
      <c r="G54" s="402" t="s">
        <v>3284</v>
      </c>
      <c r="H54" s="397"/>
      <c r="I54" s="397"/>
    </row>
    <row r="55" spans="1:9" s="149" customFormat="1" x14ac:dyDescent="0.2">
      <c r="A55" s="398"/>
      <c r="B55" s="402"/>
      <c r="C55" s="402"/>
      <c r="D55" s="379"/>
      <c r="E55" s="402"/>
      <c r="F55" s="398"/>
      <c r="G55" s="402"/>
      <c r="H55" s="397"/>
      <c r="I55" s="397"/>
    </row>
    <row r="56" spans="1:9" s="149" customFormat="1" x14ac:dyDescent="0.2">
      <c r="A56" s="398"/>
      <c r="B56" s="402"/>
      <c r="C56" s="402"/>
      <c r="D56" s="379"/>
      <c r="E56" s="402"/>
      <c r="F56" s="398"/>
      <c r="G56" s="402"/>
      <c r="H56" s="397"/>
      <c r="I56" s="397"/>
    </row>
    <row r="57" spans="1:9" s="149" customFormat="1" x14ac:dyDescent="0.2">
      <c r="A57" s="398"/>
      <c r="B57" s="402"/>
      <c r="C57" s="402"/>
      <c r="D57" s="379"/>
      <c r="E57" s="402"/>
      <c r="F57" s="398" t="s">
        <v>3189</v>
      </c>
      <c r="G57" s="402"/>
      <c r="H57" s="397"/>
      <c r="I57" s="397"/>
    </row>
    <row r="58" spans="1:9" s="149" customFormat="1" x14ac:dyDescent="0.2">
      <c r="A58" s="398"/>
      <c r="B58" s="402"/>
      <c r="C58" s="402"/>
      <c r="D58" s="379"/>
      <c r="E58" s="402"/>
      <c r="F58" s="398"/>
      <c r="G58" s="402"/>
      <c r="H58" s="397"/>
      <c r="I58" s="397"/>
    </row>
    <row r="59" spans="1:9" s="149" customFormat="1" x14ac:dyDescent="0.2">
      <c r="A59" s="398"/>
      <c r="B59" s="402"/>
      <c r="C59" s="402"/>
      <c r="D59" s="379"/>
      <c r="E59" s="402"/>
      <c r="F59" s="398"/>
      <c r="G59" s="402"/>
      <c r="H59" s="397"/>
      <c r="I59" s="397"/>
    </row>
    <row r="60" spans="1:9" s="149" customFormat="1" ht="14.1" customHeight="1" x14ac:dyDescent="0.2">
      <c r="A60" s="398"/>
      <c r="B60" s="402"/>
      <c r="C60" s="402"/>
      <c r="D60" s="379"/>
      <c r="E60" s="402"/>
      <c r="F60" s="398" t="s">
        <v>3190</v>
      </c>
      <c r="G60" s="402"/>
      <c r="H60" s="397"/>
      <c r="I60" s="397"/>
    </row>
    <row r="61" spans="1:9" s="149" customFormat="1" ht="14.1" customHeight="1" x14ac:dyDescent="0.2">
      <c r="A61" s="398"/>
      <c r="B61" s="402"/>
      <c r="C61" s="402"/>
      <c r="D61" s="379"/>
      <c r="E61" s="402"/>
      <c r="F61" s="398"/>
      <c r="G61" s="402"/>
      <c r="H61" s="397"/>
      <c r="I61" s="397"/>
    </row>
    <row r="62" spans="1:9" s="149" customFormat="1" ht="14.1" customHeight="1" x14ac:dyDescent="0.2">
      <c r="A62" s="398"/>
      <c r="B62" s="402"/>
      <c r="C62" s="402"/>
      <c r="D62" s="379"/>
      <c r="E62" s="402"/>
      <c r="F62" s="398"/>
      <c r="G62" s="402"/>
      <c r="H62" s="397"/>
      <c r="I62" s="397"/>
    </row>
    <row r="63" spans="1:9" s="149" customFormat="1" ht="14.1" customHeight="1" x14ac:dyDescent="0.2">
      <c r="A63" s="398"/>
      <c r="B63" s="402"/>
      <c r="C63" s="402"/>
      <c r="D63" s="379"/>
      <c r="E63" s="402"/>
      <c r="F63" s="398" t="s">
        <v>3191</v>
      </c>
      <c r="G63" s="402"/>
      <c r="H63" s="397"/>
      <c r="I63" s="397"/>
    </row>
    <row r="64" spans="1:9" s="149" customFormat="1" ht="14.1" customHeight="1" x14ac:dyDescent="0.2">
      <c r="A64" s="398"/>
      <c r="B64" s="402"/>
      <c r="C64" s="402"/>
      <c r="D64" s="379"/>
      <c r="E64" s="402"/>
      <c r="F64" s="398"/>
      <c r="G64" s="402"/>
      <c r="H64" s="397"/>
      <c r="I64" s="397"/>
    </row>
    <row r="65" spans="1:9" s="149" customFormat="1" ht="14.1" customHeight="1" x14ac:dyDescent="0.2">
      <c r="A65" s="398"/>
      <c r="B65" s="402"/>
      <c r="C65" s="402"/>
      <c r="D65" s="380"/>
      <c r="E65" s="402"/>
      <c r="F65" s="398"/>
      <c r="G65" s="402"/>
      <c r="H65" s="397"/>
      <c r="I65" s="397"/>
    </row>
    <row r="66" spans="1:9" s="149" customFormat="1" ht="14.1" customHeight="1" x14ac:dyDescent="0.2">
      <c r="A66" s="398"/>
      <c r="B66" s="402" t="s">
        <v>581</v>
      </c>
      <c r="C66" s="402" t="s">
        <v>3285</v>
      </c>
      <c r="D66" s="378"/>
      <c r="E66" s="402"/>
      <c r="F66" s="398" t="s">
        <v>3192</v>
      </c>
      <c r="G66" s="402" t="s">
        <v>3201</v>
      </c>
      <c r="H66" s="397" t="s">
        <v>515</v>
      </c>
      <c r="I66" s="397" t="s">
        <v>3137</v>
      </c>
    </row>
    <row r="67" spans="1:9" s="149" customFormat="1" ht="14.1" customHeight="1" x14ac:dyDescent="0.2">
      <c r="A67" s="398"/>
      <c r="B67" s="402"/>
      <c r="C67" s="402"/>
      <c r="D67" s="379"/>
      <c r="E67" s="402"/>
      <c r="F67" s="398"/>
      <c r="G67" s="402"/>
      <c r="H67" s="397"/>
      <c r="I67" s="397"/>
    </row>
    <row r="68" spans="1:9" s="149" customFormat="1" ht="14.1" customHeight="1" x14ac:dyDescent="0.2">
      <c r="A68" s="398"/>
      <c r="B68" s="402"/>
      <c r="C68" s="402"/>
      <c r="D68" s="379"/>
      <c r="E68" s="402"/>
      <c r="F68" s="398"/>
      <c r="G68" s="402"/>
      <c r="H68" s="397"/>
      <c r="I68" s="397"/>
    </row>
    <row r="69" spans="1:9" s="149" customFormat="1" x14ac:dyDescent="0.2">
      <c r="A69" s="398"/>
      <c r="B69" s="402"/>
      <c r="C69" s="402"/>
      <c r="D69" s="379"/>
      <c r="E69" s="402"/>
      <c r="F69" s="398" t="s">
        <v>3193</v>
      </c>
      <c r="G69" s="402" t="s">
        <v>3286</v>
      </c>
      <c r="H69" s="397" t="s">
        <v>515</v>
      </c>
      <c r="I69" s="397"/>
    </row>
    <row r="70" spans="1:9" s="149" customFormat="1" x14ac:dyDescent="0.2">
      <c r="A70" s="398"/>
      <c r="B70" s="402"/>
      <c r="C70" s="402"/>
      <c r="D70" s="379"/>
      <c r="E70" s="402"/>
      <c r="F70" s="398"/>
      <c r="G70" s="402"/>
      <c r="H70" s="397"/>
      <c r="I70" s="397"/>
    </row>
    <row r="71" spans="1:9" s="149" customFormat="1" x14ac:dyDescent="0.2">
      <c r="A71" s="398"/>
      <c r="B71" s="402"/>
      <c r="C71" s="402"/>
      <c r="D71" s="379"/>
      <c r="E71" s="402"/>
      <c r="F71" s="398"/>
      <c r="G71" s="402"/>
      <c r="H71" s="397"/>
      <c r="I71" s="397"/>
    </row>
    <row r="72" spans="1:9" s="149" customFormat="1" x14ac:dyDescent="0.2">
      <c r="A72" s="398"/>
      <c r="B72" s="402"/>
      <c r="C72" s="402"/>
      <c r="D72" s="379"/>
      <c r="E72" s="402"/>
      <c r="F72" s="398" t="s">
        <v>3194</v>
      </c>
      <c r="G72" s="402" t="s">
        <v>3202</v>
      </c>
      <c r="H72" s="397" t="s">
        <v>515</v>
      </c>
      <c r="I72" s="397"/>
    </row>
    <row r="73" spans="1:9" s="149" customFormat="1" x14ac:dyDescent="0.2">
      <c r="A73" s="398"/>
      <c r="B73" s="402"/>
      <c r="C73" s="402"/>
      <c r="D73" s="379"/>
      <c r="E73" s="402"/>
      <c r="F73" s="398"/>
      <c r="G73" s="402"/>
      <c r="H73" s="397"/>
      <c r="I73" s="397"/>
    </row>
    <row r="74" spans="1:9" s="149" customFormat="1" x14ac:dyDescent="0.2">
      <c r="A74" s="398"/>
      <c r="B74" s="402"/>
      <c r="C74" s="402"/>
      <c r="D74" s="379"/>
      <c r="E74" s="402"/>
      <c r="F74" s="398"/>
      <c r="G74" s="402"/>
      <c r="H74" s="397"/>
      <c r="I74" s="397"/>
    </row>
    <row r="75" spans="1:9" s="149" customFormat="1" x14ac:dyDescent="0.2">
      <c r="A75" s="398"/>
      <c r="B75" s="402"/>
      <c r="C75" s="402"/>
      <c r="D75" s="379"/>
      <c r="E75" s="402"/>
      <c r="F75" s="398" t="s">
        <v>3195</v>
      </c>
      <c r="G75" s="402" t="s">
        <v>3203</v>
      </c>
      <c r="H75" s="397" t="s">
        <v>507</v>
      </c>
      <c r="I75" s="238" t="s">
        <v>3267</v>
      </c>
    </row>
    <row r="76" spans="1:9" s="149" customFormat="1" x14ac:dyDescent="0.2">
      <c r="A76" s="398"/>
      <c r="B76" s="402"/>
      <c r="C76" s="402"/>
      <c r="D76" s="379"/>
      <c r="E76" s="402"/>
      <c r="F76" s="398"/>
      <c r="G76" s="402"/>
      <c r="H76" s="397"/>
      <c r="I76" s="405"/>
    </row>
    <row r="77" spans="1:9" s="149" customFormat="1" ht="14.1" customHeight="1" x14ac:dyDescent="0.2">
      <c r="A77" s="398"/>
      <c r="B77" s="402"/>
      <c r="C77" s="402"/>
      <c r="D77" s="379"/>
      <c r="E77" s="402"/>
      <c r="F77" s="398"/>
      <c r="G77" s="402"/>
      <c r="H77" s="397"/>
      <c r="I77" s="406"/>
    </row>
    <row r="78" spans="1:9" s="149" customFormat="1" x14ac:dyDescent="0.2">
      <c r="A78" s="398"/>
      <c r="B78" s="402"/>
      <c r="C78" s="402"/>
      <c r="D78" s="379"/>
      <c r="E78" s="402"/>
      <c r="F78" s="398" t="s">
        <v>3196</v>
      </c>
      <c r="G78" s="402" t="s">
        <v>3204</v>
      </c>
      <c r="H78" s="397" t="s">
        <v>515</v>
      </c>
      <c r="I78" s="397"/>
    </row>
    <row r="79" spans="1:9" s="149" customFormat="1" x14ac:dyDescent="0.2">
      <c r="A79" s="398"/>
      <c r="B79" s="402"/>
      <c r="C79" s="402"/>
      <c r="D79" s="379"/>
      <c r="E79" s="402"/>
      <c r="F79" s="398"/>
      <c r="G79" s="402"/>
      <c r="H79" s="397"/>
      <c r="I79" s="397"/>
    </row>
    <row r="80" spans="1:9" s="149" customFormat="1" x14ac:dyDescent="0.2">
      <c r="A80" s="398"/>
      <c r="B80" s="402"/>
      <c r="C80" s="402"/>
      <c r="D80" s="379"/>
      <c r="E80" s="402"/>
      <c r="F80" s="398"/>
      <c r="G80" s="402"/>
      <c r="H80" s="397"/>
      <c r="I80" s="397"/>
    </row>
    <row r="81" spans="1:9" s="149" customFormat="1" x14ac:dyDescent="0.2">
      <c r="A81" s="398"/>
      <c r="B81" s="402"/>
      <c r="C81" s="402"/>
      <c r="D81" s="379"/>
      <c r="E81" s="402"/>
      <c r="F81" s="398" t="s">
        <v>3197</v>
      </c>
      <c r="G81" s="402" t="s">
        <v>3205</v>
      </c>
      <c r="H81" s="397" t="s">
        <v>507</v>
      </c>
      <c r="I81" s="397"/>
    </row>
    <row r="82" spans="1:9" s="149" customFormat="1" x14ac:dyDescent="0.2">
      <c r="A82" s="398"/>
      <c r="B82" s="402"/>
      <c r="C82" s="402"/>
      <c r="D82" s="379"/>
      <c r="E82" s="402"/>
      <c r="F82" s="398"/>
      <c r="G82" s="402"/>
      <c r="H82" s="397"/>
      <c r="I82" s="397"/>
    </row>
    <row r="83" spans="1:9" s="149" customFormat="1" x14ac:dyDescent="0.2">
      <c r="A83" s="398"/>
      <c r="B83" s="402"/>
      <c r="C83" s="402"/>
      <c r="D83" s="379"/>
      <c r="E83" s="402"/>
      <c r="F83" s="398"/>
      <c r="G83" s="402"/>
      <c r="H83" s="397"/>
      <c r="I83" s="397"/>
    </row>
    <row r="84" spans="1:9" s="149" customFormat="1" x14ac:dyDescent="0.2">
      <c r="A84" s="398"/>
      <c r="B84" s="402"/>
      <c r="C84" s="402"/>
      <c r="D84" s="379"/>
      <c r="E84" s="402"/>
      <c r="F84" s="398" t="s">
        <v>3198</v>
      </c>
      <c r="G84" s="402" t="s">
        <v>3206</v>
      </c>
      <c r="H84" s="397" t="s">
        <v>515</v>
      </c>
      <c r="I84" s="397"/>
    </row>
    <row r="85" spans="1:9" s="149" customFormat="1" x14ac:dyDescent="0.2">
      <c r="A85" s="398"/>
      <c r="B85" s="402"/>
      <c r="C85" s="402"/>
      <c r="D85" s="379"/>
      <c r="E85" s="402"/>
      <c r="F85" s="398"/>
      <c r="G85" s="402"/>
      <c r="H85" s="397"/>
      <c r="I85" s="397"/>
    </row>
    <row r="86" spans="1:9" s="149" customFormat="1" x14ac:dyDescent="0.2">
      <c r="A86" s="398"/>
      <c r="B86" s="402"/>
      <c r="C86" s="402"/>
      <c r="D86" s="379"/>
      <c r="E86" s="402"/>
      <c r="F86" s="398"/>
      <c r="G86" s="402"/>
      <c r="H86" s="397"/>
      <c r="I86" s="397"/>
    </row>
    <row r="87" spans="1:9" s="149" customFormat="1" x14ac:dyDescent="0.2">
      <c r="A87" s="398"/>
      <c r="B87" s="402"/>
      <c r="C87" s="402"/>
      <c r="D87" s="379"/>
      <c r="E87" s="402"/>
      <c r="F87" s="398" t="s">
        <v>3199</v>
      </c>
      <c r="G87" s="402" t="s">
        <v>3207</v>
      </c>
      <c r="H87" s="397" t="s">
        <v>515</v>
      </c>
      <c r="I87" s="397"/>
    </row>
    <row r="88" spans="1:9" s="149" customFormat="1" x14ac:dyDescent="0.2">
      <c r="A88" s="398"/>
      <c r="B88" s="402"/>
      <c r="C88" s="402"/>
      <c r="D88" s="379"/>
      <c r="E88" s="402"/>
      <c r="F88" s="398"/>
      <c r="G88" s="402"/>
      <c r="H88" s="397"/>
      <c r="I88" s="397"/>
    </row>
    <row r="89" spans="1:9" s="149" customFormat="1" x14ac:dyDescent="0.2">
      <c r="A89" s="398"/>
      <c r="B89" s="402"/>
      <c r="C89" s="402"/>
      <c r="D89" s="379"/>
      <c r="E89" s="402"/>
      <c r="F89" s="398"/>
      <c r="G89" s="402"/>
      <c r="H89" s="397"/>
      <c r="I89" s="397"/>
    </row>
    <row r="90" spans="1:9" s="149" customFormat="1" ht="14.1" customHeight="1" x14ac:dyDescent="0.2">
      <c r="A90" s="398"/>
      <c r="B90" s="402"/>
      <c r="C90" s="402"/>
      <c r="D90" s="379"/>
      <c r="E90" s="402"/>
      <c r="F90" s="398" t="s">
        <v>3200</v>
      </c>
      <c r="G90" s="402"/>
      <c r="H90" s="397"/>
      <c r="I90" s="397"/>
    </row>
    <row r="91" spans="1:9" s="149" customFormat="1" ht="14.1" customHeight="1" x14ac:dyDescent="0.2">
      <c r="A91" s="398"/>
      <c r="B91" s="402"/>
      <c r="C91" s="402"/>
      <c r="D91" s="379"/>
      <c r="E91" s="402"/>
      <c r="F91" s="398"/>
      <c r="G91" s="402"/>
      <c r="H91" s="397"/>
      <c r="I91" s="397"/>
    </row>
    <row r="92" spans="1:9" s="149" customFormat="1" ht="14.1" customHeight="1" x14ac:dyDescent="0.2">
      <c r="A92" s="398"/>
      <c r="B92" s="402"/>
      <c r="C92" s="402"/>
      <c r="D92" s="380"/>
      <c r="E92" s="402"/>
      <c r="F92" s="398"/>
      <c r="G92" s="402"/>
      <c r="H92" s="397"/>
      <c r="I92" s="397"/>
    </row>
    <row r="93" spans="1:9" ht="14.1" customHeight="1" x14ac:dyDescent="0.2">
      <c r="A93" s="398"/>
      <c r="B93" s="402" t="s">
        <v>583</v>
      </c>
      <c r="C93" s="402" t="s">
        <v>3288</v>
      </c>
      <c r="D93" s="378"/>
      <c r="E93" s="402"/>
      <c r="F93" s="396" t="s">
        <v>3208</v>
      </c>
      <c r="G93" s="397" t="s">
        <v>3287</v>
      </c>
      <c r="H93" s="397"/>
      <c r="I93" s="397"/>
    </row>
    <row r="94" spans="1:9" ht="14.1" customHeight="1" x14ac:dyDescent="0.2">
      <c r="A94" s="398"/>
      <c r="B94" s="402"/>
      <c r="C94" s="402"/>
      <c r="D94" s="379"/>
      <c r="E94" s="402"/>
      <c r="F94" s="396"/>
      <c r="G94" s="397"/>
      <c r="H94" s="397"/>
      <c r="I94" s="397"/>
    </row>
    <row r="95" spans="1:9" ht="14.1" customHeight="1" x14ac:dyDescent="0.2">
      <c r="A95" s="398"/>
      <c r="B95" s="402"/>
      <c r="C95" s="402"/>
      <c r="D95" s="379"/>
      <c r="E95" s="402"/>
      <c r="F95" s="396"/>
      <c r="G95" s="397"/>
      <c r="H95" s="397"/>
      <c r="I95" s="397"/>
    </row>
    <row r="96" spans="1:9" ht="14.1" customHeight="1" x14ac:dyDescent="0.2">
      <c r="A96" s="398"/>
      <c r="B96" s="402"/>
      <c r="C96" s="402"/>
      <c r="D96" s="379"/>
      <c r="E96" s="402"/>
      <c r="F96" s="396" t="s">
        <v>3209</v>
      </c>
      <c r="G96" s="397" t="s">
        <v>3289</v>
      </c>
      <c r="H96" s="397"/>
      <c r="I96" s="397"/>
    </row>
    <row r="97" spans="1:9" ht="14.1" customHeight="1" x14ac:dyDescent="0.2">
      <c r="A97" s="398"/>
      <c r="B97" s="402"/>
      <c r="C97" s="402"/>
      <c r="D97" s="379"/>
      <c r="E97" s="402"/>
      <c r="F97" s="396"/>
      <c r="G97" s="397"/>
      <c r="H97" s="397"/>
      <c r="I97" s="397"/>
    </row>
    <row r="98" spans="1:9" ht="14.1" customHeight="1" x14ac:dyDescent="0.2">
      <c r="A98" s="398"/>
      <c r="B98" s="402"/>
      <c r="C98" s="402"/>
      <c r="D98" s="379"/>
      <c r="E98" s="402"/>
      <c r="F98" s="396"/>
      <c r="G98" s="397"/>
      <c r="H98" s="397"/>
      <c r="I98" s="397"/>
    </row>
    <row r="99" spans="1:9" ht="15" customHeight="1" x14ac:dyDescent="0.2">
      <c r="A99" s="398"/>
      <c r="B99" s="402"/>
      <c r="C99" s="402"/>
      <c r="D99" s="379"/>
      <c r="E99" s="402"/>
      <c r="F99" s="396" t="s">
        <v>3210</v>
      </c>
      <c r="G99" s="397" t="s">
        <v>3290</v>
      </c>
      <c r="H99" s="397"/>
      <c r="I99" s="397"/>
    </row>
    <row r="100" spans="1:9" ht="15" customHeight="1" x14ac:dyDescent="0.2">
      <c r="A100" s="398"/>
      <c r="B100" s="402"/>
      <c r="C100" s="402"/>
      <c r="D100" s="379"/>
      <c r="E100" s="402"/>
      <c r="F100" s="396"/>
      <c r="G100" s="397"/>
      <c r="H100" s="397"/>
      <c r="I100" s="397"/>
    </row>
    <row r="101" spans="1:9" ht="15" customHeight="1" x14ac:dyDescent="0.2">
      <c r="A101" s="398"/>
      <c r="B101" s="402"/>
      <c r="C101" s="402"/>
      <c r="D101" s="379"/>
      <c r="E101" s="402"/>
      <c r="F101" s="396"/>
      <c r="G101" s="397"/>
      <c r="H101" s="397"/>
      <c r="I101" s="397"/>
    </row>
    <row r="102" spans="1:9" ht="15" customHeight="1" x14ac:dyDescent="0.2">
      <c r="A102" s="398"/>
      <c r="B102" s="402"/>
      <c r="C102" s="402"/>
      <c r="D102" s="379"/>
      <c r="E102" s="402"/>
      <c r="F102" s="396" t="s">
        <v>3211</v>
      </c>
      <c r="G102" s="397" t="s">
        <v>3291</v>
      </c>
      <c r="H102" s="397"/>
      <c r="I102" s="397"/>
    </row>
    <row r="103" spans="1:9" ht="15" customHeight="1" x14ac:dyDescent="0.2">
      <c r="A103" s="398"/>
      <c r="B103" s="402"/>
      <c r="C103" s="402"/>
      <c r="D103" s="379"/>
      <c r="E103" s="402"/>
      <c r="F103" s="396"/>
      <c r="G103" s="397"/>
      <c r="H103" s="397"/>
      <c r="I103" s="397"/>
    </row>
    <row r="104" spans="1:9" ht="15" customHeight="1" x14ac:dyDescent="0.2">
      <c r="A104" s="398"/>
      <c r="B104" s="402"/>
      <c r="C104" s="402"/>
      <c r="D104" s="379"/>
      <c r="E104" s="402"/>
      <c r="F104" s="396"/>
      <c r="G104" s="397"/>
      <c r="H104" s="397"/>
      <c r="I104" s="397"/>
    </row>
    <row r="105" spans="1:9" ht="15" customHeight="1" x14ac:dyDescent="0.2">
      <c r="A105" s="398"/>
      <c r="B105" s="402"/>
      <c r="C105" s="402"/>
      <c r="D105" s="379"/>
      <c r="E105" s="402"/>
      <c r="F105" s="396" t="s">
        <v>3212</v>
      </c>
      <c r="G105" s="397" t="s">
        <v>3292</v>
      </c>
      <c r="H105" s="397"/>
      <c r="I105" s="397"/>
    </row>
    <row r="106" spans="1:9" ht="15" customHeight="1" x14ac:dyDescent="0.2">
      <c r="A106" s="398"/>
      <c r="B106" s="402"/>
      <c r="C106" s="402"/>
      <c r="D106" s="379"/>
      <c r="E106" s="402"/>
      <c r="F106" s="396"/>
      <c r="G106" s="397"/>
      <c r="H106" s="397"/>
      <c r="I106" s="397"/>
    </row>
    <row r="107" spans="1:9" ht="15" customHeight="1" x14ac:dyDescent="0.2">
      <c r="A107" s="398"/>
      <c r="B107" s="402"/>
      <c r="C107" s="402"/>
      <c r="D107" s="379"/>
      <c r="E107" s="402"/>
      <c r="F107" s="396"/>
      <c r="G107" s="397"/>
      <c r="H107" s="397"/>
      <c r="I107" s="397"/>
    </row>
    <row r="108" spans="1:9" ht="15" customHeight="1" x14ac:dyDescent="0.2">
      <c r="A108" s="398"/>
      <c r="B108" s="402"/>
      <c r="C108" s="402"/>
      <c r="D108" s="379"/>
      <c r="E108" s="402"/>
      <c r="F108" s="396" t="s">
        <v>3164</v>
      </c>
      <c r="G108" s="397" t="s">
        <v>3293</v>
      </c>
      <c r="H108" s="397"/>
      <c r="I108" s="397"/>
    </row>
    <row r="109" spans="1:9" ht="15" customHeight="1" x14ac:dyDescent="0.2">
      <c r="A109" s="398"/>
      <c r="B109" s="402"/>
      <c r="C109" s="402"/>
      <c r="D109" s="379"/>
      <c r="E109" s="402"/>
      <c r="F109" s="396"/>
      <c r="G109" s="397"/>
      <c r="H109" s="397"/>
      <c r="I109" s="397"/>
    </row>
    <row r="110" spans="1:9" ht="15" customHeight="1" x14ac:dyDescent="0.2">
      <c r="A110" s="398"/>
      <c r="B110" s="402"/>
      <c r="C110" s="402"/>
      <c r="D110" s="379"/>
      <c r="E110" s="402"/>
      <c r="F110" s="396"/>
      <c r="G110" s="397"/>
      <c r="H110" s="397"/>
      <c r="I110" s="397"/>
    </row>
    <row r="111" spans="1:9" ht="14.1" customHeight="1" x14ac:dyDescent="0.2">
      <c r="A111" s="398"/>
      <c r="B111" s="402"/>
      <c r="C111" s="402"/>
      <c r="D111" s="379"/>
      <c r="E111" s="402"/>
      <c r="F111" s="396" t="s">
        <v>1867</v>
      </c>
      <c r="G111" s="397" t="s">
        <v>3294</v>
      </c>
      <c r="H111" s="397"/>
      <c r="I111" s="397"/>
    </row>
    <row r="112" spans="1:9" ht="14.1" customHeight="1" x14ac:dyDescent="0.2">
      <c r="A112" s="398"/>
      <c r="B112" s="402"/>
      <c r="C112" s="402"/>
      <c r="D112" s="379"/>
      <c r="E112" s="402"/>
      <c r="F112" s="396"/>
      <c r="G112" s="397"/>
      <c r="H112" s="397"/>
      <c r="I112" s="397"/>
    </row>
    <row r="113" spans="1:9" ht="14.1" customHeight="1" x14ac:dyDescent="0.2">
      <c r="A113" s="398"/>
      <c r="B113" s="402"/>
      <c r="C113" s="402"/>
      <c r="D113" s="380"/>
      <c r="E113" s="402"/>
      <c r="F113" s="396"/>
      <c r="G113" s="397"/>
      <c r="H113" s="397"/>
      <c r="I113" s="397"/>
    </row>
    <row r="114" spans="1:9" ht="14.1" customHeight="1" x14ac:dyDescent="0.2">
      <c r="A114" s="398"/>
      <c r="B114" s="402" t="s">
        <v>586</v>
      </c>
      <c r="C114" s="402" t="s">
        <v>3167</v>
      </c>
      <c r="D114" s="378"/>
      <c r="E114" s="402"/>
      <c r="F114" s="396" t="s">
        <v>3213</v>
      </c>
      <c r="G114" s="397" t="s">
        <v>3295</v>
      </c>
      <c r="H114" s="397"/>
      <c r="I114" s="397"/>
    </row>
    <row r="115" spans="1:9" ht="14.1" customHeight="1" x14ac:dyDescent="0.2">
      <c r="A115" s="398"/>
      <c r="B115" s="402"/>
      <c r="C115" s="402"/>
      <c r="D115" s="379"/>
      <c r="E115" s="402"/>
      <c r="F115" s="396"/>
      <c r="G115" s="397"/>
      <c r="H115" s="397"/>
      <c r="I115" s="397"/>
    </row>
    <row r="116" spans="1:9" ht="14.1" customHeight="1" x14ac:dyDescent="0.2">
      <c r="A116" s="398"/>
      <c r="B116" s="402"/>
      <c r="C116" s="402"/>
      <c r="D116" s="379"/>
      <c r="E116" s="402"/>
      <c r="F116" s="396"/>
      <c r="G116" s="397"/>
      <c r="H116" s="397"/>
      <c r="I116" s="397"/>
    </row>
    <row r="117" spans="1:9" ht="14.1" customHeight="1" x14ac:dyDescent="0.2">
      <c r="A117" s="398"/>
      <c r="B117" s="402"/>
      <c r="C117" s="402"/>
      <c r="D117" s="379"/>
      <c r="E117" s="402"/>
      <c r="F117" s="396" t="s">
        <v>3214</v>
      </c>
      <c r="G117" s="397" t="s">
        <v>3296</v>
      </c>
      <c r="H117" s="397"/>
      <c r="I117" s="397"/>
    </row>
    <row r="118" spans="1:9" ht="14.1" customHeight="1" x14ac:dyDescent="0.2">
      <c r="A118" s="398"/>
      <c r="B118" s="402"/>
      <c r="C118" s="402"/>
      <c r="D118" s="379"/>
      <c r="E118" s="402"/>
      <c r="F118" s="396"/>
      <c r="G118" s="397"/>
      <c r="H118" s="397"/>
      <c r="I118" s="397"/>
    </row>
    <row r="119" spans="1:9" ht="15" customHeight="1" x14ac:dyDescent="0.2">
      <c r="A119" s="398"/>
      <c r="B119" s="402"/>
      <c r="C119" s="402"/>
      <c r="D119" s="379"/>
      <c r="E119" s="402"/>
      <c r="F119" s="396"/>
      <c r="G119" s="397"/>
      <c r="H119" s="397"/>
      <c r="I119" s="397"/>
    </row>
    <row r="120" spans="1:9" ht="14.1" customHeight="1" x14ac:dyDescent="0.2">
      <c r="A120" s="398"/>
      <c r="B120" s="402"/>
      <c r="C120" s="402"/>
      <c r="D120" s="379"/>
      <c r="E120" s="402"/>
      <c r="F120" s="396" t="s">
        <v>3215</v>
      </c>
      <c r="G120" s="397" t="s">
        <v>3297</v>
      </c>
      <c r="H120" s="397"/>
      <c r="I120" s="397"/>
    </row>
    <row r="121" spans="1:9" ht="15" customHeight="1" x14ac:dyDescent="0.2">
      <c r="A121" s="398"/>
      <c r="B121" s="402"/>
      <c r="C121" s="402"/>
      <c r="D121" s="379"/>
      <c r="E121" s="402"/>
      <c r="F121" s="396"/>
      <c r="G121" s="397"/>
      <c r="H121" s="397"/>
      <c r="I121" s="397"/>
    </row>
    <row r="122" spans="1:9" ht="14.1" customHeight="1" x14ac:dyDescent="0.2">
      <c r="A122" s="398"/>
      <c r="B122" s="402"/>
      <c r="C122" s="402"/>
      <c r="D122" s="379"/>
      <c r="E122" s="402"/>
      <c r="F122" s="396"/>
      <c r="G122" s="397"/>
      <c r="H122" s="397"/>
      <c r="I122" s="397"/>
    </row>
    <row r="123" spans="1:9" ht="14.1" customHeight="1" x14ac:dyDescent="0.2">
      <c r="A123" s="398"/>
      <c r="B123" s="402"/>
      <c r="C123" s="402"/>
      <c r="D123" s="379"/>
      <c r="E123" s="402"/>
      <c r="F123" s="396" t="s">
        <v>3216</v>
      </c>
      <c r="G123" s="397" t="s">
        <v>3298</v>
      </c>
      <c r="H123" s="397"/>
      <c r="I123" s="397"/>
    </row>
    <row r="124" spans="1:9" ht="14.1" customHeight="1" x14ac:dyDescent="0.2">
      <c r="A124" s="398"/>
      <c r="B124" s="402"/>
      <c r="C124" s="402"/>
      <c r="D124" s="379"/>
      <c r="E124" s="402"/>
      <c r="F124" s="396"/>
      <c r="G124" s="397"/>
      <c r="H124" s="397"/>
      <c r="I124" s="397"/>
    </row>
    <row r="125" spans="1:9" ht="14.1" customHeight="1" x14ac:dyDescent="0.2">
      <c r="A125" s="398"/>
      <c r="B125" s="402"/>
      <c r="C125" s="402"/>
      <c r="D125" s="379"/>
      <c r="E125" s="402"/>
      <c r="F125" s="396"/>
      <c r="G125" s="397"/>
      <c r="H125" s="397"/>
      <c r="I125" s="397"/>
    </row>
    <row r="126" spans="1:9" ht="14.1" customHeight="1" x14ac:dyDescent="0.2">
      <c r="A126" s="398"/>
      <c r="B126" s="402"/>
      <c r="C126" s="402"/>
      <c r="D126" s="379"/>
      <c r="E126" s="402"/>
      <c r="F126" s="396" t="s">
        <v>3217</v>
      </c>
      <c r="G126" s="397" t="s">
        <v>3299</v>
      </c>
      <c r="H126" s="397"/>
      <c r="I126" s="397"/>
    </row>
    <row r="127" spans="1:9" ht="14.1" customHeight="1" x14ac:dyDescent="0.2">
      <c r="A127" s="398"/>
      <c r="B127" s="402"/>
      <c r="C127" s="402"/>
      <c r="D127" s="379"/>
      <c r="E127" s="402"/>
      <c r="F127" s="396"/>
      <c r="G127" s="397"/>
      <c r="H127" s="397"/>
      <c r="I127" s="397"/>
    </row>
    <row r="128" spans="1:9" ht="14.1" customHeight="1" x14ac:dyDescent="0.2">
      <c r="A128" s="398"/>
      <c r="B128" s="402"/>
      <c r="C128" s="402"/>
      <c r="D128" s="379"/>
      <c r="E128" s="402"/>
      <c r="F128" s="396"/>
      <c r="G128" s="397"/>
      <c r="H128" s="397"/>
      <c r="I128" s="397"/>
    </row>
    <row r="129" spans="1:9" ht="14.1" customHeight="1" x14ac:dyDescent="0.2">
      <c r="A129" s="398"/>
      <c r="B129" s="402"/>
      <c r="C129" s="402"/>
      <c r="D129" s="379"/>
      <c r="E129" s="402"/>
      <c r="F129" s="396" t="s">
        <v>3165</v>
      </c>
      <c r="G129" s="397"/>
      <c r="H129" s="397"/>
      <c r="I129" s="397"/>
    </row>
    <row r="130" spans="1:9" ht="14.1" customHeight="1" x14ac:dyDescent="0.2">
      <c r="A130" s="398"/>
      <c r="B130" s="402"/>
      <c r="C130" s="402"/>
      <c r="D130" s="379"/>
      <c r="E130" s="402"/>
      <c r="F130" s="396"/>
      <c r="G130" s="397"/>
      <c r="H130" s="397"/>
      <c r="I130" s="397"/>
    </row>
    <row r="131" spans="1:9" ht="14.1" customHeight="1" x14ac:dyDescent="0.2">
      <c r="A131" s="398"/>
      <c r="B131" s="402"/>
      <c r="C131" s="402"/>
      <c r="D131" s="379"/>
      <c r="E131" s="402"/>
      <c r="F131" s="396"/>
      <c r="G131" s="397"/>
      <c r="H131" s="397"/>
      <c r="I131" s="397"/>
    </row>
    <row r="132" spans="1:9" ht="14.1" customHeight="1" x14ac:dyDescent="0.2">
      <c r="A132" s="398"/>
      <c r="B132" s="402"/>
      <c r="C132" s="402"/>
      <c r="D132" s="379"/>
      <c r="E132" s="402"/>
      <c r="F132" s="396" t="s">
        <v>1868</v>
      </c>
      <c r="G132" s="397"/>
      <c r="H132" s="397"/>
      <c r="I132" s="397"/>
    </row>
    <row r="133" spans="1:9" ht="14.1" customHeight="1" x14ac:dyDescent="0.2">
      <c r="A133" s="398"/>
      <c r="B133" s="402"/>
      <c r="C133" s="402"/>
      <c r="D133" s="379"/>
      <c r="E133" s="402"/>
      <c r="F133" s="396"/>
      <c r="G133" s="397"/>
      <c r="H133" s="397"/>
      <c r="I133" s="397"/>
    </row>
    <row r="134" spans="1:9" ht="14.1" customHeight="1" x14ac:dyDescent="0.2">
      <c r="A134" s="398"/>
      <c r="B134" s="402"/>
      <c r="C134" s="402"/>
      <c r="D134" s="380"/>
      <c r="E134" s="402"/>
      <c r="F134" s="396"/>
      <c r="G134" s="397"/>
      <c r="H134" s="397"/>
      <c r="I134" s="397"/>
    </row>
    <row r="135" spans="1:9" ht="14.1" customHeight="1" x14ac:dyDescent="0.2">
      <c r="A135" s="398"/>
      <c r="B135" s="402" t="s">
        <v>588</v>
      </c>
      <c r="C135" s="402" t="s">
        <v>3168</v>
      </c>
      <c r="D135" s="378"/>
      <c r="E135" s="402"/>
      <c r="F135" s="396" t="s">
        <v>3239</v>
      </c>
      <c r="G135" s="397" t="s">
        <v>3300</v>
      </c>
      <c r="H135" s="397"/>
      <c r="I135" s="397"/>
    </row>
    <row r="136" spans="1:9" ht="14.1" customHeight="1" x14ac:dyDescent="0.2">
      <c r="A136" s="398"/>
      <c r="B136" s="402"/>
      <c r="C136" s="402"/>
      <c r="D136" s="379"/>
      <c r="E136" s="402"/>
      <c r="F136" s="396"/>
      <c r="G136" s="397"/>
      <c r="H136" s="397"/>
      <c r="I136" s="397"/>
    </row>
    <row r="137" spans="1:9" ht="14.1" customHeight="1" x14ac:dyDescent="0.2">
      <c r="A137" s="398"/>
      <c r="B137" s="402"/>
      <c r="C137" s="402"/>
      <c r="D137" s="379"/>
      <c r="E137" s="402"/>
      <c r="F137" s="396"/>
      <c r="G137" s="397"/>
      <c r="H137" s="397"/>
      <c r="I137" s="397"/>
    </row>
    <row r="138" spans="1:9" ht="14.1" customHeight="1" x14ac:dyDescent="0.2">
      <c r="A138" s="398"/>
      <c r="B138" s="402"/>
      <c r="C138" s="402"/>
      <c r="D138" s="379"/>
      <c r="E138" s="402"/>
      <c r="F138" s="396" t="s">
        <v>3240</v>
      </c>
      <c r="G138" s="397" t="s">
        <v>3301</v>
      </c>
      <c r="H138" s="397"/>
      <c r="I138" s="397"/>
    </row>
    <row r="139" spans="1:9" ht="14.1" customHeight="1" x14ac:dyDescent="0.2">
      <c r="A139" s="398"/>
      <c r="B139" s="402"/>
      <c r="C139" s="402"/>
      <c r="D139" s="379"/>
      <c r="E139" s="402"/>
      <c r="F139" s="396"/>
      <c r="G139" s="397"/>
      <c r="H139" s="397"/>
      <c r="I139" s="397"/>
    </row>
    <row r="140" spans="1:9" ht="15" customHeight="1" x14ac:dyDescent="0.2">
      <c r="A140" s="398"/>
      <c r="B140" s="402"/>
      <c r="C140" s="402"/>
      <c r="D140" s="379"/>
      <c r="E140" s="402"/>
      <c r="F140" s="396"/>
      <c r="G140" s="397"/>
      <c r="H140" s="397"/>
      <c r="I140" s="397"/>
    </row>
    <row r="141" spans="1:9" ht="14.1" customHeight="1" x14ac:dyDescent="0.2">
      <c r="A141" s="398"/>
      <c r="B141" s="402"/>
      <c r="C141" s="402"/>
      <c r="D141" s="379"/>
      <c r="E141" s="402"/>
      <c r="F141" s="396" t="s">
        <v>3241</v>
      </c>
      <c r="G141" s="397" t="s">
        <v>3302</v>
      </c>
      <c r="H141" s="397"/>
      <c r="I141" s="397"/>
    </row>
    <row r="142" spans="1:9" ht="15" customHeight="1" x14ac:dyDescent="0.2">
      <c r="A142" s="398"/>
      <c r="B142" s="402"/>
      <c r="C142" s="402"/>
      <c r="D142" s="379"/>
      <c r="E142" s="402"/>
      <c r="F142" s="396"/>
      <c r="G142" s="397"/>
      <c r="H142" s="397"/>
      <c r="I142" s="397"/>
    </row>
    <row r="143" spans="1:9" ht="14.1" customHeight="1" x14ac:dyDescent="0.2">
      <c r="A143" s="398"/>
      <c r="B143" s="402"/>
      <c r="C143" s="402"/>
      <c r="D143" s="379"/>
      <c r="E143" s="402"/>
      <c r="F143" s="396"/>
      <c r="G143" s="397"/>
      <c r="H143" s="397"/>
      <c r="I143" s="397"/>
    </row>
    <row r="144" spans="1:9" ht="14.1" customHeight="1" x14ac:dyDescent="0.2">
      <c r="A144" s="398"/>
      <c r="B144" s="402"/>
      <c r="C144" s="402"/>
      <c r="D144" s="379"/>
      <c r="E144" s="402"/>
      <c r="F144" s="396" t="s">
        <v>3242</v>
      </c>
      <c r="G144" s="397" t="s">
        <v>3303</v>
      </c>
      <c r="H144" s="397"/>
      <c r="I144" s="397"/>
    </row>
    <row r="145" spans="1:9" ht="14.1" customHeight="1" x14ac:dyDescent="0.2">
      <c r="A145" s="398"/>
      <c r="B145" s="402"/>
      <c r="C145" s="402"/>
      <c r="D145" s="379"/>
      <c r="E145" s="402"/>
      <c r="F145" s="396"/>
      <c r="G145" s="397"/>
      <c r="H145" s="397"/>
      <c r="I145" s="397"/>
    </row>
    <row r="146" spans="1:9" ht="14.1" customHeight="1" x14ac:dyDescent="0.2">
      <c r="A146" s="398"/>
      <c r="B146" s="402"/>
      <c r="C146" s="402"/>
      <c r="D146" s="379"/>
      <c r="E146" s="402"/>
      <c r="F146" s="396"/>
      <c r="G146" s="397"/>
      <c r="H146" s="397"/>
      <c r="I146" s="397"/>
    </row>
    <row r="147" spans="1:9" ht="14.1" customHeight="1" x14ac:dyDescent="0.2">
      <c r="A147" s="398"/>
      <c r="B147" s="402"/>
      <c r="C147" s="402"/>
      <c r="D147" s="379"/>
      <c r="E147" s="402"/>
      <c r="F147" s="396" t="s">
        <v>3243</v>
      </c>
      <c r="G147" s="397" t="s">
        <v>3304</v>
      </c>
      <c r="H147" s="397"/>
      <c r="I147" s="397"/>
    </row>
    <row r="148" spans="1:9" ht="14.1" customHeight="1" x14ac:dyDescent="0.2">
      <c r="A148" s="398"/>
      <c r="B148" s="402"/>
      <c r="C148" s="402"/>
      <c r="D148" s="379"/>
      <c r="E148" s="402"/>
      <c r="F148" s="396"/>
      <c r="G148" s="397"/>
      <c r="H148" s="397"/>
      <c r="I148" s="397"/>
    </row>
    <row r="149" spans="1:9" ht="14.1" customHeight="1" x14ac:dyDescent="0.2">
      <c r="A149" s="398"/>
      <c r="B149" s="402"/>
      <c r="C149" s="402"/>
      <c r="D149" s="379"/>
      <c r="E149" s="402"/>
      <c r="F149" s="396"/>
      <c r="G149" s="397"/>
      <c r="H149" s="397"/>
      <c r="I149" s="397"/>
    </row>
    <row r="150" spans="1:9" ht="14.1" customHeight="1" x14ac:dyDescent="0.2">
      <c r="A150" s="398"/>
      <c r="B150" s="402"/>
      <c r="C150" s="402"/>
      <c r="D150" s="379"/>
      <c r="E150" s="402"/>
      <c r="F150" s="396" t="s">
        <v>3244</v>
      </c>
      <c r="G150" s="397" t="s">
        <v>3305</v>
      </c>
      <c r="H150" s="397"/>
      <c r="I150" s="397"/>
    </row>
    <row r="151" spans="1:9" ht="14.1" customHeight="1" x14ac:dyDescent="0.2">
      <c r="A151" s="398"/>
      <c r="B151" s="402"/>
      <c r="C151" s="402"/>
      <c r="D151" s="379"/>
      <c r="E151" s="402"/>
      <c r="F151" s="396"/>
      <c r="G151" s="397"/>
      <c r="H151" s="397"/>
      <c r="I151" s="397"/>
    </row>
    <row r="152" spans="1:9" ht="14.1" customHeight="1" x14ac:dyDescent="0.2">
      <c r="A152" s="398"/>
      <c r="B152" s="402"/>
      <c r="C152" s="402"/>
      <c r="D152" s="379"/>
      <c r="E152" s="402"/>
      <c r="F152" s="396"/>
      <c r="G152" s="397"/>
      <c r="H152" s="397"/>
      <c r="I152" s="397"/>
    </row>
    <row r="153" spans="1:9" ht="14.1" customHeight="1" x14ac:dyDescent="0.2">
      <c r="A153" s="398"/>
      <c r="B153" s="402"/>
      <c r="C153" s="402"/>
      <c r="D153" s="379"/>
      <c r="E153" s="402"/>
      <c r="F153" s="396" t="s">
        <v>3245</v>
      </c>
      <c r="G153" s="397"/>
      <c r="H153" s="397"/>
      <c r="I153" s="397"/>
    </row>
    <row r="154" spans="1:9" ht="14.1" customHeight="1" x14ac:dyDescent="0.2">
      <c r="A154" s="398"/>
      <c r="B154" s="402"/>
      <c r="C154" s="402"/>
      <c r="D154" s="379"/>
      <c r="E154" s="402"/>
      <c r="F154" s="396"/>
      <c r="G154" s="397"/>
      <c r="H154" s="397"/>
      <c r="I154" s="397"/>
    </row>
    <row r="155" spans="1:9" ht="14.1" customHeight="1" x14ac:dyDescent="0.2">
      <c r="A155" s="398"/>
      <c r="B155" s="402"/>
      <c r="C155" s="402"/>
      <c r="D155" s="380"/>
      <c r="E155" s="402"/>
      <c r="F155" s="396"/>
      <c r="G155" s="397"/>
      <c r="H155" s="397"/>
      <c r="I155" s="397"/>
    </row>
    <row r="156" spans="1:9" ht="14.1" customHeight="1" x14ac:dyDescent="0.2">
      <c r="A156" s="398"/>
      <c r="B156" s="402" t="s">
        <v>590</v>
      </c>
      <c r="C156" s="395" t="s">
        <v>3169</v>
      </c>
      <c r="D156" s="392"/>
      <c r="E156" s="395"/>
      <c r="F156" s="396" t="s">
        <v>3218</v>
      </c>
      <c r="G156" s="403" t="s">
        <v>3306</v>
      </c>
      <c r="H156" s="397"/>
      <c r="I156" s="397"/>
    </row>
    <row r="157" spans="1:9" ht="14.1" customHeight="1" x14ac:dyDescent="0.2">
      <c r="A157" s="398"/>
      <c r="B157" s="402"/>
      <c r="C157" s="395"/>
      <c r="D157" s="393"/>
      <c r="E157" s="395"/>
      <c r="F157" s="396"/>
      <c r="G157" s="403"/>
      <c r="H157" s="397"/>
      <c r="I157" s="397"/>
    </row>
    <row r="158" spans="1:9" ht="14.1" customHeight="1" x14ac:dyDescent="0.2">
      <c r="A158" s="398"/>
      <c r="B158" s="402"/>
      <c r="C158" s="395"/>
      <c r="D158" s="393"/>
      <c r="E158" s="395"/>
      <c r="F158" s="396"/>
      <c r="G158" s="403"/>
      <c r="H158" s="397"/>
      <c r="I158" s="397"/>
    </row>
    <row r="159" spans="1:9" ht="14.1" customHeight="1" x14ac:dyDescent="0.2">
      <c r="A159" s="398"/>
      <c r="B159" s="402"/>
      <c r="C159" s="395"/>
      <c r="D159" s="393"/>
      <c r="E159" s="395"/>
      <c r="F159" s="396" t="s">
        <v>3219</v>
      </c>
      <c r="G159" s="403" t="s">
        <v>3307</v>
      </c>
      <c r="H159" s="397"/>
      <c r="I159" s="397"/>
    </row>
    <row r="160" spans="1:9" ht="14.1" customHeight="1" x14ac:dyDescent="0.2">
      <c r="A160" s="398"/>
      <c r="B160" s="402"/>
      <c r="C160" s="395"/>
      <c r="D160" s="393"/>
      <c r="E160" s="395"/>
      <c r="F160" s="396"/>
      <c r="G160" s="403"/>
      <c r="H160" s="397"/>
      <c r="I160" s="397"/>
    </row>
    <row r="161" spans="1:9" ht="14.1" customHeight="1" x14ac:dyDescent="0.2">
      <c r="A161" s="398"/>
      <c r="B161" s="402"/>
      <c r="C161" s="395"/>
      <c r="D161" s="393"/>
      <c r="E161" s="395"/>
      <c r="F161" s="396"/>
      <c r="G161" s="403"/>
      <c r="H161" s="397"/>
      <c r="I161" s="397"/>
    </row>
    <row r="162" spans="1:9" ht="14.1" customHeight="1" x14ac:dyDescent="0.2">
      <c r="A162" s="398"/>
      <c r="B162" s="402"/>
      <c r="C162" s="395"/>
      <c r="D162" s="393"/>
      <c r="E162" s="395"/>
      <c r="F162" s="396" t="s">
        <v>3220</v>
      </c>
      <c r="G162" s="403" t="s">
        <v>3308</v>
      </c>
      <c r="H162" s="397"/>
      <c r="I162" s="397"/>
    </row>
    <row r="163" spans="1:9" ht="14.1" customHeight="1" x14ac:dyDescent="0.2">
      <c r="A163" s="398"/>
      <c r="B163" s="402"/>
      <c r="C163" s="395"/>
      <c r="D163" s="393"/>
      <c r="E163" s="395"/>
      <c r="F163" s="396"/>
      <c r="G163" s="403"/>
      <c r="H163" s="397"/>
      <c r="I163" s="397"/>
    </row>
    <row r="164" spans="1:9" ht="14.1" customHeight="1" x14ac:dyDescent="0.2">
      <c r="A164" s="398"/>
      <c r="B164" s="402"/>
      <c r="C164" s="395"/>
      <c r="D164" s="393"/>
      <c r="E164" s="395"/>
      <c r="F164" s="396"/>
      <c r="G164" s="403"/>
      <c r="H164" s="397"/>
      <c r="I164" s="397"/>
    </row>
    <row r="165" spans="1:9" ht="14.1" customHeight="1" x14ac:dyDescent="0.2">
      <c r="A165" s="398"/>
      <c r="B165" s="402"/>
      <c r="C165" s="395"/>
      <c r="D165" s="393"/>
      <c r="E165" s="395"/>
      <c r="F165" s="396" t="s">
        <v>3221</v>
      </c>
      <c r="G165" s="403" t="s">
        <v>3309</v>
      </c>
      <c r="H165" s="397"/>
      <c r="I165" s="397"/>
    </row>
    <row r="166" spans="1:9" ht="14.1" customHeight="1" x14ac:dyDescent="0.2">
      <c r="A166" s="398"/>
      <c r="B166" s="402"/>
      <c r="C166" s="395"/>
      <c r="D166" s="393"/>
      <c r="E166" s="395"/>
      <c r="F166" s="396"/>
      <c r="G166" s="403"/>
      <c r="H166" s="397"/>
      <c r="I166" s="397"/>
    </row>
    <row r="167" spans="1:9" ht="14.1" customHeight="1" x14ac:dyDescent="0.2">
      <c r="A167" s="398"/>
      <c r="B167" s="402"/>
      <c r="C167" s="395"/>
      <c r="D167" s="393"/>
      <c r="E167" s="395"/>
      <c r="F167" s="396"/>
      <c r="G167" s="403"/>
      <c r="H167" s="397"/>
      <c r="I167" s="397"/>
    </row>
    <row r="168" spans="1:9" ht="14.1" customHeight="1" x14ac:dyDescent="0.2">
      <c r="A168" s="398"/>
      <c r="B168" s="402"/>
      <c r="C168" s="395"/>
      <c r="D168" s="393"/>
      <c r="E168" s="395"/>
      <c r="F168" s="396" t="s">
        <v>3222</v>
      </c>
      <c r="G168" s="403" t="s">
        <v>3315</v>
      </c>
      <c r="H168" s="397"/>
      <c r="I168" s="397"/>
    </row>
    <row r="169" spans="1:9" ht="14.1" customHeight="1" x14ac:dyDescent="0.2">
      <c r="A169" s="398"/>
      <c r="B169" s="402"/>
      <c r="C169" s="395"/>
      <c r="D169" s="393"/>
      <c r="E169" s="395"/>
      <c r="F169" s="396"/>
      <c r="G169" s="403"/>
      <c r="H169" s="397"/>
      <c r="I169" s="397"/>
    </row>
    <row r="170" spans="1:9" ht="14.1" customHeight="1" x14ac:dyDescent="0.2">
      <c r="A170" s="398"/>
      <c r="B170" s="402"/>
      <c r="C170" s="395"/>
      <c r="D170" s="393"/>
      <c r="E170" s="395"/>
      <c r="F170" s="396"/>
      <c r="G170" s="403"/>
      <c r="H170" s="397"/>
      <c r="I170" s="397"/>
    </row>
    <row r="171" spans="1:9" ht="14.1" customHeight="1" x14ac:dyDescent="0.2">
      <c r="A171" s="398"/>
      <c r="B171" s="402"/>
      <c r="C171" s="395"/>
      <c r="D171" s="393"/>
      <c r="E171" s="395"/>
      <c r="F171" s="396" t="s">
        <v>3223</v>
      </c>
      <c r="G171" s="403" t="s">
        <v>3310</v>
      </c>
      <c r="H171" s="397"/>
      <c r="I171" s="397"/>
    </row>
    <row r="172" spans="1:9" ht="14.1" customHeight="1" x14ac:dyDescent="0.2">
      <c r="A172" s="398"/>
      <c r="B172" s="402"/>
      <c r="C172" s="395"/>
      <c r="D172" s="393"/>
      <c r="E172" s="395"/>
      <c r="F172" s="396"/>
      <c r="G172" s="403"/>
      <c r="H172" s="397"/>
      <c r="I172" s="397"/>
    </row>
    <row r="173" spans="1:9" ht="14.1" customHeight="1" x14ac:dyDescent="0.2">
      <c r="A173" s="398"/>
      <c r="B173" s="402"/>
      <c r="C173" s="395"/>
      <c r="D173" s="393"/>
      <c r="E173" s="395"/>
      <c r="F173" s="396"/>
      <c r="G173" s="403"/>
      <c r="H173" s="397"/>
      <c r="I173" s="397"/>
    </row>
    <row r="174" spans="1:9" ht="14.1" customHeight="1" x14ac:dyDescent="0.2">
      <c r="A174" s="398"/>
      <c r="B174" s="402"/>
      <c r="C174" s="395"/>
      <c r="D174" s="393"/>
      <c r="E174" s="395"/>
      <c r="F174" s="396" t="s">
        <v>3224</v>
      </c>
      <c r="G174" s="403" t="s">
        <v>3311</v>
      </c>
      <c r="H174" s="397"/>
      <c r="I174" s="397"/>
    </row>
    <row r="175" spans="1:9" ht="14.1" customHeight="1" x14ac:dyDescent="0.2">
      <c r="A175" s="398"/>
      <c r="B175" s="402"/>
      <c r="C175" s="395"/>
      <c r="D175" s="393"/>
      <c r="E175" s="395"/>
      <c r="F175" s="396"/>
      <c r="G175" s="403"/>
      <c r="H175" s="397"/>
      <c r="I175" s="397"/>
    </row>
    <row r="176" spans="1:9" ht="14.1" customHeight="1" x14ac:dyDescent="0.2">
      <c r="A176" s="398"/>
      <c r="B176" s="402"/>
      <c r="C176" s="395"/>
      <c r="D176" s="394"/>
      <c r="E176" s="395"/>
      <c r="F176" s="396"/>
      <c r="G176" s="403"/>
      <c r="H176" s="397"/>
      <c r="I176" s="397"/>
    </row>
    <row r="177" spans="1:9" ht="14.1" customHeight="1" x14ac:dyDescent="0.2">
      <c r="A177" s="398"/>
      <c r="B177" s="402" t="s">
        <v>593</v>
      </c>
      <c r="C177" s="395" t="s">
        <v>3170</v>
      </c>
      <c r="D177" s="392"/>
      <c r="E177" s="395"/>
      <c r="F177" s="399" t="s">
        <v>3225</v>
      </c>
      <c r="G177" s="403" t="s">
        <v>3268</v>
      </c>
      <c r="H177" s="397" t="s">
        <v>515</v>
      </c>
      <c r="I177" s="397"/>
    </row>
    <row r="178" spans="1:9" ht="14.1" customHeight="1" x14ac:dyDescent="0.2">
      <c r="A178" s="398"/>
      <c r="B178" s="402"/>
      <c r="C178" s="395"/>
      <c r="D178" s="393"/>
      <c r="E178" s="395"/>
      <c r="F178" s="400"/>
      <c r="G178" s="403"/>
      <c r="H178" s="397"/>
      <c r="I178" s="397"/>
    </row>
    <row r="179" spans="1:9" ht="14.1" customHeight="1" x14ac:dyDescent="0.2">
      <c r="A179" s="398"/>
      <c r="B179" s="402"/>
      <c r="C179" s="395"/>
      <c r="D179" s="393"/>
      <c r="E179" s="395"/>
      <c r="F179" s="401"/>
      <c r="G179" s="403"/>
      <c r="H179" s="397"/>
      <c r="I179" s="397"/>
    </row>
    <row r="180" spans="1:9" ht="14.1" customHeight="1" x14ac:dyDescent="0.2">
      <c r="A180" s="398"/>
      <c r="B180" s="402"/>
      <c r="C180" s="395"/>
      <c r="D180" s="393"/>
      <c r="E180" s="395"/>
      <c r="F180" s="399" t="s">
        <v>3226</v>
      </c>
      <c r="G180" s="403" t="s">
        <v>3269</v>
      </c>
      <c r="H180" s="397" t="s">
        <v>515</v>
      </c>
      <c r="I180" s="397"/>
    </row>
    <row r="181" spans="1:9" ht="14.1" customHeight="1" x14ac:dyDescent="0.2">
      <c r="A181" s="398"/>
      <c r="B181" s="402"/>
      <c r="C181" s="395"/>
      <c r="D181" s="393"/>
      <c r="E181" s="395"/>
      <c r="F181" s="400"/>
      <c r="G181" s="403"/>
      <c r="H181" s="397"/>
      <c r="I181" s="397"/>
    </row>
    <row r="182" spans="1:9" ht="14.1" customHeight="1" x14ac:dyDescent="0.2">
      <c r="A182" s="398"/>
      <c r="B182" s="402"/>
      <c r="C182" s="395"/>
      <c r="D182" s="393"/>
      <c r="E182" s="395"/>
      <c r="F182" s="401"/>
      <c r="G182" s="403"/>
      <c r="H182" s="397"/>
      <c r="I182" s="397"/>
    </row>
    <row r="183" spans="1:9" ht="14.1" customHeight="1" x14ac:dyDescent="0.2">
      <c r="A183" s="398"/>
      <c r="B183" s="402"/>
      <c r="C183" s="395"/>
      <c r="D183" s="393"/>
      <c r="E183" s="395"/>
      <c r="F183" s="399" t="s">
        <v>3227</v>
      </c>
      <c r="G183" s="403" t="s">
        <v>3270</v>
      </c>
      <c r="H183" s="397" t="s">
        <v>515</v>
      </c>
      <c r="I183" s="397"/>
    </row>
    <row r="184" spans="1:9" ht="14.1" customHeight="1" x14ac:dyDescent="0.2">
      <c r="A184" s="398"/>
      <c r="B184" s="402"/>
      <c r="C184" s="395"/>
      <c r="D184" s="393"/>
      <c r="E184" s="395"/>
      <c r="F184" s="400"/>
      <c r="G184" s="403"/>
      <c r="H184" s="397"/>
      <c r="I184" s="397"/>
    </row>
    <row r="185" spans="1:9" ht="14.1" customHeight="1" x14ac:dyDescent="0.2">
      <c r="A185" s="398"/>
      <c r="B185" s="402"/>
      <c r="C185" s="395"/>
      <c r="D185" s="393"/>
      <c r="E185" s="395"/>
      <c r="F185" s="401"/>
      <c r="G185" s="403"/>
      <c r="H185" s="397"/>
      <c r="I185" s="397"/>
    </row>
    <row r="186" spans="1:9" ht="14.1" customHeight="1" x14ac:dyDescent="0.2">
      <c r="A186" s="398"/>
      <c r="B186" s="402"/>
      <c r="C186" s="395"/>
      <c r="D186" s="393"/>
      <c r="E186" s="395"/>
      <c r="F186" s="399" t="s">
        <v>3228</v>
      </c>
      <c r="G186" s="403" t="s">
        <v>3271</v>
      </c>
      <c r="H186" s="397" t="s">
        <v>515</v>
      </c>
      <c r="I186" s="397"/>
    </row>
    <row r="187" spans="1:9" ht="14.1" customHeight="1" x14ac:dyDescent="0.2">
      <c r="A187" s="398"/>
      <c r="B187" s="402"/>
      <c r="C187" s="395"/>
      <c r="D187" s="393"/>
      <c r="E187" s="395"/>
      <c r="F187" s="400"/>
      <c r="G187" s="403"/>
      <c r="H187" s="397"/>
      <c r="I187" s="397"/>
    </row>
    <row r="188" spans="1:9" ht="14.1" customHeight="1" x14ac:dyDescent="0.2">
      <c r="A188" s="398"/>
      <c r="B188" s="402"/>
      <c r="C188" s="395"/>
      <c r="D188" s="393"/>
      <c r="E188" s="395"/>
      <c r="F188" s="401"/>
      <c r="G188" s="403"/>
      <c r="H188" s="397"/>
      <c r="I188" s="397"/>
    </row>
    <row r="189" spans="1:9" ht="14.1" customHeight="1" x14ac:dyDescent="0.2">
      <c r="A189" s="398"/>
      <c r="B189" s="402"/>
      <c r="C189" s="395"/>
      <c r="D189" s="393"/>
      <c r="E189" s="395"/>
      <c r="F189" s="399" t="s">
        <v>3229</v>
      </c>
      <c r="G189" s="403" t="s">
        <v>3272</v>
      </c>
      <c r="H189" s="397" t="s">
        <v>515</v>
      </c>
      <c r="I189" s="397"/>
    </row>
    <row r="190" spans="1:9" ht="14.1" customHeight="1" x14ac:dyDescent="0.2">
      <c r="A190" s="398"/>
      <c r="B190" s="402"/>
      <c r="C190" s="395"/>
      <c r="D190" s="393"/>
      <c r="E190" s="395"/>
      <c r="F190" s="400"/>
      <c r="G190" s="403"/>
      <c r="H190" s="397"/>
      <c r="I190" s="397"/>
    </row>
    <row r="191" spans="1:9" ht="14.1" customHeight="1" x14ac:dyDescent="0.2">
      <c r="A191" s="398"/>
      <c r="B191" s="402"/>
      <c r="C191" s="395"/>
      <c r="D191" s="393"/>
      <c r="E191" s="395"/>
      <c r="F191" s="401"/>
      <c r="G191" s="403"/>
      <c r="H191" s="397"/>
      <c r="I191" s="397"/>
    </row>
    <row r="192" spans="1:9" ht="14.1" customHeight="1" x14ac:dyDescent="0.2">
      <c r="A192" s="398"/>
      <c r="B192" s="402"/>
      <c r="C192" s="395"/>
      <c r="D192" s="393"/>
      <c r="E192" s="395"/>
      <c r="F192" s="399" t="s">
        <v>3230</v>
      </c>
      <c r="G192" s="403" t="s">
        <v>3273</v>
      </c>
      <c r="H192" s="397" t="s">
        <v>515</v>
      </c>
      <c r="I192" s="397"/>
    </row>
    <row r="193" spans="1:9" ht="14.1" customHeight="1" x14ac:dyDescent="0.2">
      <c r="A193" s="398"/>
      <c r="B193" s="402"/>
      <c r="C193" s="395"/>
      <c r="D193" s="393"/>
      <c r="E193" s="395"/>
      <c r="F193" s="400"/>
      <c r="G193" s="403"/>
      <c r="H193" s="397"/>
      <c r="I193" s="397"/>
    </row>
    <row r="194" spans="1:9" ht="14.1" customHeight="1" x14ac:dyDescent="0.2">
      <c r="A194" s="398"/>
      <c r="B194" s="402"/>
      <c r="C194" s="395"/>
      <c r="D194" s="393"/>
      <c r="E194" s="395"/>
      <c r="F194" s="401"/>
      <c r="G194" s="403"/>
      <c r="H194" s="397"/>
      <c r="I194" s="397"/>
    </row>
    <row r="195" spans="1:9" ht="14.1" customHeight="1" x14ac:dyDescent="0.2">
      <c r="A195" s="398"/>
      <c r="B195" s="402"/>
      <c r="C195" s="395"/>
      <c r="D195" s="393"/>
      <c r="E195" s="395"/>
      <c r="F195" s="399" t="s">
        <v>3231</v>
      </c>
      <c r="G195" s="403" t="s">
        <v>3274</v>
      </c>
      <c r="H195" s="397" t="s">
        <v>515</v>
      </c>
      <c r="I195" s="397"/>
    </row>
    <row r="196" spans="1:9" ht="14.1" customHeight="1" x14ac:dyDescent="0.2">
      <c r="A196" s="398"/>
      <c r="B196" s="402"/>
      <c r="C196" s="395"/>
      <c r="D196" s="393"/>
      <c r="E196" s="395"/>
      <c r="F196" s="400"/>
      <c r="G196" s="403"/>
      <c r="H196" s="397"/>
      <c r="I196" s="397"/>
    </row>
    <row r="197" spans="1:9" ht="14.1" customHeight="1" x14ac:dyDescent="0.2">
      <c r="A197" s="398"/>
      <c r="B197" s="402"/>
      <c r="C197" s="395"/>
      <c r="D197" s="394"/>
      <c r="E197" s="395"/>
      <c r="F197" s="401"/>
      <c r="G197" s="403"/>
      <c r="H197" s="397"/>
      <c r="I197" s="397"/>
    </row>
    <row r="198" spans="1:9" ht="14.1" customHeight="1" x14ac:dyDescent="0.2">
      <c r="A198" s="398"/>
      <c r="B198" s="402" t="s">
        <v>595</v>
      </c>
      <c r="C198" s="395" t="s">
        <v>3171</v>
      </c>
      <c r="D198" s="392"/>
      <c r="E198" s="395"/>
      <c r="F198" s="399" t="s">
        <v>3232</v>
      </c>
      <c r="G198" s="403" t="s">
        <v>3312</v>
      </c>
      <c r="H198" s="397"/>
      <c r="I198" s="397"/>
    </row>
    <row r="199" spans="1:9" ht="14.1" customHeight="1" x14ac:dyDescent="0.2">
      <c r="A199" s="398"/>
      <c r="B199" s="402"/>
      <c r="C199" s="395"/>
      <c r="D199" s="393"/>
      <c r="E199" s="395"/>
      <c r="F199" s="400"/>
      <c r="G199" s="403"/>
      <c r="H199" s="397"/>
      <c r="I199" s="397"/>
    </row>
    <row r="200" spans="1:9" ht="14.1" customHeight="1" x14ac:dyDescent="0.2">
      <c r="A200" s="398"/>
      <c r="B200" s="402"/>
      <c r="C200" s="395"/>
      <c r="D200" s="393"/>
      <c r="E200" s="395"/>
      <c r="F200" s="401"/>
      <c r="G200" s="403"/>
      <c r="H200" s="397"/>
      <c r="I200" s="397"/>
    </row>
    <row r="201" spans="1:9" ht="14.1" customHeight="1" x14ac:dyDescent="0.2">
      <c r="A201" s="398"/>
      <c r="B201" s="402"/>
      <c r="C201" s="395"/>
      <c r="D201" s="393"/>
      <c r="E201" s="395"/>
      <c r="F201" s="399" t="s">
        <v>3233</v>
      </c>
      <c r="G201" s="403" t="s">
        <v>3313</v>
      </c>
      <c r="H201" s="397"/>
      <c r="I201" s="397"/>
    </row>
    <row r="202" spans="1:9" ht="14.1" customHeight="1" x14ac:dyDescent="0.2">
      <c r="A202" s="398"/>
      <c r="B202" s="402"/>
      <c r="C202" s="395"/>
      <c r="D202" s="393"/>
      <c r="E202" s="395"/>
      <c r="F202" s="400"/>
      <c r="G202" s="403"/>
      <c r="H202" s="397"/>
      <c r="I202" s="397"/>
    </row>
    <row r="203" spans="1:9" ht="14.1" customHeight="1" x14ac:dyDescent="0.2">
      <c r="A203" s="398"/>
      <c r="B203" s="402"/>
      <c r="C203" s="395"/>
      <c r="D203" s="393"/>
      <c r="E203" s="395"/>
      <c r="F203" s="401"/>
      <c r="G203" s="403"/>
      <c r="H203" s="397"/>
      <c r="I203" s="397"/>
    </row>
    <row r="204" spans="1:9" ht="14.1" customHeight="1" x14ac:dyDescent="0.2">
      <c r="A204" s="398"/>
      <c r="B204" s="402"/>
      <c r="C204" s="395"/>
      <c r="D204" s="393"/>
      <c r="E204" s="395"/>
      <c r="F204" s="399" t="s">
        <v>3234</v>
      </c>
      <c r="G204" s="403" t="s">
        <v>3314</v>
      </c>
      <c r="H204" s="397"/>
      <c r="I204" s="397"/>
    </row>
    <row r="205" spans="1:9" ht="14.1" customHeight="1" x14ac:dyDescent="0.2">
      <c r="A205" s="398"/>
      <c r="B205" s="402"/>
      <c r="C205" s="395"/>
      <c r="D205" s="393"/>
      <c r="E205" s="395"/>
      <c r="F205" s="400"/>
      <c r="G205" s="403"/>
      <c r="H205" s="397"/>
      <c r="I205" s="397"/>
    </row>
    <row r="206" spans="1:9" ht="14.1" customHeight="1" x14ac:dyDescent="0.2">
      <c r="A206" s="398"/>
      <c r="B206" s="402"/>
      <c r="C206" s="395"/>
      <c r="D206" s="393"/>
      <c r="E206" s="395"/>
      <c r="F206" s="401"/>
      <c r="G206" s="403"/>
      <c r="H206" s="397"/>
      <c r="I206" s="397"/>
    </row>
    <row r="207" spans="1:9" ht="14.1" customHeight="1" x14ac:dyDescent="0.2">
      <c r="A207" s="398"/>
      <c r="B207" s="402"/>
      <c r="C207" s="395"/>
      <c r="D207" s="393"/>
      <c r="E207" s="395"/>
      <c r="F207" s="399" t="s">
        <v>3235</v>
      </c>
      <c r="G207" s="403"/>
      <c r="H207" s="397"/>
      <c r="I207" s="397"/>
    </row>
    <row r="208" spans="1:9" ht="14.1" customHeight="1" x14ac:dyDescent="0.2">
      <c r="A208" s="398"/>
      <c r="B208" s="402"/>
      <c r="C208" s="395"/>
      <c r="D208" s="393"/>
      <c r="E208" s="395"/>
      <c r="F208" s="400"/>
      <c r="G208" s="403"/>
      <c r="H208" s="397"/>
      <c r="I208" s="397"/>
    </row>
    <row r="209" spans="1:9" ht="14.1" customHeight="1" x14ac:dyDescent="0.2">
      <c r="A209" s="398"/>
      <c r="B209" s="402"/>
      <c r="C209" s="395"/>
      <c r="D209" s="393"/>
      <c r="E209" s="395"/>
      <c r="F209" s="401"/>
      <c r="G209" s="403"/>
      <c r="H209" s="397"/>
      <c r="I209" s="397"/>
    </row>
    <row r="210" spans="1:9" ht="14.1" customHeight="1" x14ac:dyDescent="0.2">
      <c r="A210" s="398"/>
      <c r="B210" s="402"/>
      <c r="C210" s="395"/>
      <c r="D210" s="393"/>
      <c r="E210" s="395"/>
      <c r="F210" s="399" t="s">
        <v>3236</v>
      </c>
      <c r="G210" s="403"/>
      <c r="H210" s="397"/>
      <c r="I210" s="397"/>
    </row>
    <row r="211" spans="1:9" ht="14.1" customHeight="1" x14ac:dyDescent="0.2">
      <c r="A211" s="398"/>
      <c r="B211" s="402"/>
      <c r="C211" s="395"/>
      <c r="D211" s="393"/>
      <c r="E211" s="395"/>
      <c r="F211" s="400"/>
      <c r="G211" s="403"/>
      <c r="H211" s="397"/>
      <c r="I211" s="397"/>
    </row>
    <row r="212" spans="1:9" ht="14.1" customHeight="1" x14ac:dyDescent="0.2">
      <c r="A212" s="398"/>
      <c r="B212" s="402"/>
      <c r="C212" s="395"/>
      <c r="D212" s="393"/>
      <c r="E212" s="395"/>
      <c r="F212" s="401"/>
      <c r="G212" s="403"/>
      <c r="H212" s="397"/>
      <c r="I212" s="397"/>
    </row>
    <row r="213" spans="1:9" ht="14.1" customHeight="1" x14ac:dyDescent="0.2">
      <c r="A213" s="398"/>
      <c r="B213" s="402"/>
      <c r="C213" s="395"/>
      <c r="D213" s="393"/>
      <c r="E213" s="395"/>
      <c r="F213" s="399" t="s">
        <v>3237</v>
      </c>
      <c r="G213" s="403"/>
      <c r="H213" s="397"/>
      <c r="I213" s="397"/>
    </row>
    <row r="214" spans="1:9" ht="14.1" customHeight="1" x14ac:dyDescent="0.2">
      <c r="A214" s="398"/>
      <c r="B214" s="402"/>
      <c r="C214" s="395"/>
      <c r="D214" s="393"/>
      <c r="E214" s="395"/>
      <c r="F214" s="400"/>
      <c r="G214" s="403"/>
      <c r="H214" s="397"/>
      <c r="I214" s="397"/>
    </row>
    <row r="215" spans="1:9" ht="14.1" customHeight="1" x14ac:dyDescent="0.2">
      <c r="A215" s="398"/>
      <c r="B215" s="402"/>
      <c r="C215" s="395"/>
      <c r="D215" s="393"/>
      <c r="E215" s="395"/>
      <c r="F215" s="401"/>
      <c r="G215" s="403"/>
      <c r="H215" s="397"/>
      <c r="I215" s="397"/>
    </row>
    <row r="216" spans="1:9" ht="14.1" customHeight="1" x14ac:dyDescent="0.2">
      <c r="A216" s="398"/>
      <c r="B216" s="402"/>
      <c r="C216" s="395"/>
      <c r="D216" s="393"/>
      <c r="E216" s="395"/>
      <c r="F216" s="399" t="s">
        <v>3238</v>
      </c>
      <c r="G216" s="403"/>
      <c r="H216" s="397"/>
      <c r="I216" s="397"/>
    </row>
    <row r="217" spans="1:9" ht="14.1" customHeight="1" x14ac:dyDescent="0.2">
      <c r="A217" s="398"/>
      <c r="B217" s="402"/>
      <c r="C217" s="395"/>
      <c r="D217" s="393"/>
      <c r="E217" s="395"/>
      <c r="F217" s="400"/>
      <c r="G217" s="403"/>
      <c r="H217" s="397"/>
      <c r="I217" s="397"/>
    </row>
    <row r="218" spans="1:9" ht="14.1" customHeight="1" x14ac:dyDescent="0.2">
      <c r="A218" s="398"/>
      <c r="B218" s="402"/>
      <c r="C218" s="395"/>
      <c r="D218" s="394"/>
      <c r="E218" s="395"/>
      <c r="F218" s="401"/>
      <c r="G218" s="403"/>
      <c r="H218" s="397"/>
      <c r="I218" s="397"/>
    </row>
    <row r="219" spans="1:9" ht="15" customHeight="1" x14ac:dyDescent="0.2">
      <c r="A219" s="398"/>
      <c r="B219" s="402" t="s">
        <v>597</v>
      </c>
      <c r="C219" s="408" t="s">
        <v>3172</v>
      </c>
      <c r="D219" s="409"/>
      <c r="E219" s="408"/>
      <c r="F219" s="399" t="s">
        <v>3246</v>
      </c>
      <c r="G219" s="397" t="s">
        <v>1861</v>
      </c>
      <c r="H219" s="397"/>
      <c r="I219" s="397"/>
    </row>
    <row r="220" spans="1:9" ht="15" customHeight="1" x14ac:dyDescent="0.2">
      <c r="A220" s="398"/>
      <c r="B220" s="402"/>
      <c r="C220" s="408"/>
      <c r="D220" s="410"/>
      <c r="E220" s="408"/>
      <c r="F220" s="400"/>
      <c r="G220" s="397"/>
      <c r="H220" s="397"/>
      <c r="I220" s="397"/>
    </row>
    <row r="221" spans="1:9" ht="14.1" customHeight="1" x14ac:dyDescent="0.2">
      <c r="A221" s="398"/>
      <c r="B221" s="402"/>
      <c r="C221" s="408"/>
      <c r="D221" s="410"/>
      <c r="E221" s="408"/>
      <c r="F221" s="401"/>
      <c r="G221" s="397"/>
      <c r="H221" s="397"/>
      <c r="I221" s="397"/>
    </row>
    <row r="222" spans="1:9" ht="14.1" customHeight="1" x14ac:dyDescent="0.2">
      <c r="A222" s="398"/>
      <c r="B222" s="402"/>
      <c r="C222" s="408"/>
      <c r="D222" s="410"/>
      <c r="E222" s="408"/>
      <c r="F222" s="399" t="s">
        <v>3247</v>
      </c>
      <c r="G222" s="397" t="s">
        <v>1862</v>
      </c>
      <c r="H222" s="397"/>
      <c r="I222" s="397"/>
    </row>
    <row r="223" spans="1:9" ht="14.1" customHeight="1" x14ac:dyDescent="0.2">
      <c r="A223" s="398"/>
      <c r="B223" s="402"/>
      <c r="C223" s="408"/>
      <c r="D223" s="410"/>
      <c r="E223" s="408"/>
      <c r="F223" s="400"/>
      <c r="G223" s="397"/>
      <c r="H223" s="397"/>
      <c r="I223" s="397"/>
    </row>
    <row r="224" spans="1:9" ht="14.1" customHeight="1" x14ac:dyDescent="0.2">
      <c r="A224" s="398"/>
      <c r="B224" s="402"/>
      <c r="C224" s="408"/>
      <c r="D224" s="410"/>
      <c r="E224" s="408"/>
      <c r="F224" s="401"/>
      <c r="G224" s="397"/>
      <c r="H224" s="397"/>
      <c r="I224" s="397"/>
    </row>
    <row r="225" spans="1:9" ht="14.1" customHeight="1" x14ac:dyDescent="0.2">
      <c r="A225" s="398"/>
      <c r="B225" s="402"/>
      <c r="C225" s="408"/>
      <c r="D225" s="410"/>
      <c r="E225" s="408"/>
      <c r="F225" s="399" t="s">
        <v>3248</v>
      </c>
      <c r="G225" s="397" t="s">
        <v>1863</v>
      </c>
      <c r="H225" s="397"/>
      <c r="I225" s="397"/>
    </row>
    <row r="226" spans="1:9" ht="14.1" customHeight="1" x14ac:dyDescent="0.2">
      <c r="A226" s="398"/>
      <c r="B226" s="402"/>
      <c r="C226" s="408"/>
      <c r="D226" s="410"/>
      <c r="E226" s="408"/>
      <c r="F226" s="400"/>
      <c r="G226" s="397"/>
      <c r="H226" s="397"/>
      <c r="I226" s="397"/>
    </row>
    <row r="227" spans="1:9" ht="14.1" customHeight="1" x14ac:dyDescent="0.2">
      <c r="A227" s="398"/>
      <c r="B227" s="402"/>
      <c r="C227" s="408"/>
      <c r="D227" s="410"/>
      <c r="E227" s="408"/>
      <c r="F227" s="401"/>
      <c r="G227" s="397"/>
      <c r="H227" s="397"/>
      <c r="I227" s="397"/>
    </row>
    <row r="228" spans="1:9" ht="14.1" customHeight="1" x14ac:dyDescent="0.2">
      <c r="A228" s="398"/>
      <c r="B228" s="402"/>
      <c r="C228" s="408"/>
      <c r="D228" s="410"/>
      <c r="E228" s="408"/>
      <c r="F228" s="399" t="s">
        <v>3249</v>
      </c>
      <c r="G228" s="397" t="s">
        <v>1864</v>
      </c>
      <c r="H228" s="397"/>
      <c r="I228" s="397"/>
    </row>
    <row r="229" spans="1:9" ht="14.1" customHeight="1" x14ac:dyDescent="0.2">
      <c r="A229" s="398"/>
      <c r="B229" s="402"/>
      <c r="C229" s="408"/>
      <c r="D229" s="410"/>
      <c r="E229" s="408"/>
      <c r="F229" s="400"/>
      <c r="G229" s="397"/>
      <c r="H229" s="397"/>
      <c r="I229" s="397"/>
    </row>
    <row r="230" spans="1:9" ht="14.1" customHeight="1" x14ac:dyDescent="0.2">
      <c r="A230" s="398"/>
      <c r="B230" s="402"/>
      <c r="C230" s="408"/>
      <c r="D230" s="410"/>
      <c r="E230" s="408"/>
      <c r="F230" s="401"/>
      <c r="G230" s="397"/>
      <c r="H230" s="397"/>
      <c r="I230" s="397"/>
    </row>
    <row r="231" spans="1:9" ht="14.1" customHeight="1" x14ac:dyDescent="0.2">
      <c r="A231" s="398"/>
      <c r="B231" s="402"/>
      <c r="C231" s="408"/>
      <c r="D231" s="410"/>
      <c r="E231" s="408"/>
      <c r="F231" s="399" t="s">
        <v>3250</v>
      </c>
      <c r="G231" s="397" t="s">
        <v>1865</v>
      </c>
      <c r="H231" s="397"/>
      <c r="I231" s="397"/>
    </row>
    <row r="232" spans="1:9" ht="14.1" customHeight="1" x14ac:dyDescent="0.2">
      <c r="A232" s="398"/>
      <c r="B232" s="402"/>
      <c r="C232" s="408"/>
      <c r="D232" s="410"/>
      <c r="E232" s="408"/>
      <c r="F232" s="400"/>
      <c r="G232" s="397"/>
      <c r="H232" s="397"/>
      <c r="I232" s="397"/>
    </row>
    <row r="233" spans="1:9" ht="14.1" customHeight="1" x14ac:dyDescent="0.2">
      <c r="A233" s="398"/>
      <c r="B233" s="402"/>
      <c r="C233" s="408"/>
      <c r="D233" s="410"/>
      <c r="E233" s="408"/>
      <c r="F233" s="401"/>
      <c r="G233" s="397"/>
      <c r="H233" s="397"/>
      <c r="I233" s="397"/>
    </row>
    <row r="234" spans="1:9" ht="14.1" customHeight="1" x14ac:dyDescent="0.2">
      <c r="A234" s="398"/>
      <c r="B234" s="402"/>
      <c r="C234" s="408"/>
      <c r="D234" s="410"/>
      <c r="E234" s="408"/>
      <c r="F234" s="399" t="s">
        <v>3251</v>
      </c>
      <c r="G234" s="397" t="s">
        <v>1866</v>
      </c>
      <c r="H234" s="397"/>
      <c r="I234" s="397"/>
    </row>
    <row r="235" spans="1:9" ht="14.1" customHeight="1" x14ac:dyDescent="0.2">
      <c r="A235" s="398"/>
      <c r="B235" s="402"/>
      <c r="C235" s="408"/>
      <c r="D235" s="410"/>
      <c r="E235" s="408"/>
      <c r="F235" s="400"/>
      <c r="G235" s="397"/>
      <c r="H235" s="397"/>
      <c r="I235" s="397"/>
    </row>
    <row r="236" spans="1:9" ht="14.1" customHeight="1" x14ac:dyDescent="0.2">
      <c r="A236" s="398"/>
      <c r="B236" s="402"/>
      <c r="C236" s="408"/>
      <c r="D236" s="410"/>
      <c r="E236" s="408"/>
      <c r="F236" s="401"/>
      <c r="G236" s="397"/>
      <c r="H236" s="397"/>
      <c r="I236" s="397"/>
    </row>
    <row r="237" spans="1:9" ht="14.1" customHeight="1" x14ac:dyDescent="0.2">
      <c r="A237" s="398"/>
      <c r="B237" s="402"/>
      <c r="C237" s="408"/>
      <c r="D237" s="410"/>
      <c r="E237" s="408"/>
      <c r="F237" s="399" t="s">
        <v>3252</v>
      </c>
      <c r="G237" s="397" t="s">
        <v>1867</v>
      </c>
      <c r="H237" s="397"/>
      <c r="I237" s="397"/>
    </row>
    <row r="238" spans="1:9" ht="15" customHeight="1" x14ac:dyDescent="0.2">
      <c r="A238" s="398"/>
      <c r="B238" s="402"/>
      <c r="C238" s="408"/>
      <c r="D238" s="410"/>
      <c r="E238" s="408"/>
      <c r="F238" s="400"/>
      <c r="G238" s="397"/>
      <c r="H238" s="397"/>
      <c r="I238" s="397"/>
    </row>
    <row r="239" spans="1:9" ht="14.1" customHeight="1" x14ac:dyDescent="0.2">
      <c r="A239" s="398"/>
      <c r="B239" s="402"/>
      <c r="C239" s="408"/>
      <c r="D239" s="411"/>
      <c r="E239" s="408"/>
      <c r="F239" s="401"/>
      <c r="G239" s="397"/>
      <c r="H239" s="397"/>
      <c r="I239" s="397"/>
    </row>
    <row r="240" spans="1:9" ht="14.1" customHeight="1" x14ac:dyDescent="0.2">
      <c r="A240" s="398"/>
      <c r="B240" s="402" t="s">
        <v>599</v>
      </c>
      <c r="C240" s="402"/>
      <c r="D240" s="378"/>
      <c r="E240" s="402"/>
      <c r="F240" s="399" t="s">
        <v>3253</v>
      </c>
      <c r="G240" s="397"/>
      <c r="H240" s="397"/>
      <c r="I240" s="397"/>
    </row>
    <row r="241" spans="1:9" x14ac:dyDescent="0.2">
      <c r="A241" s="398"/>
      <c r="B241" s="402"/>
      <c r="C241" s="402"/>
      <c r="D241" s="379"/>
      <c r="E241" s="402"/>
      <c r="F241" s="400"/>
      <c r="G241" s="397"/>
      <c r="H241" s="397"/>
      <c r="I241" s="397"/>
    </row>
    <row r="242" spans="1:9" ht="15" customHeight="1" x14ac:dyDescent="0.2">
      <c r="A242" s="398"/>
      <c r="B242" s="402"/>
      <c r="C242" s="402"/>
      <c r="D242" s="379"/>
      <c r="E242" s="402"/>
      <c r="F242" s="401"/>
      <c r="G242" s="397"/>
      <c r="H242" s="397"/>
      <c r="I242" s="397"/>
    </row>
    <row r="243" spans="1:9" ht="14.1" customHeight="1" x14ac:dyDescent="0.2">
      <c r="A243" s="398"/>
      <c r="B243" s="402"/>
      <c r="C243" s="402"/>
      <c r="D243" s="379"/>
      <c r="E243" s="402"/>
      <c r="F243" s="399" t="s">
        <v>3254</v>
      </c>
      <c r="G243" s="397"/>
      <c r="H243" s="397"/>
      <c r="I243" s="397"/>
    </row>
    <row r="244" spans="1:9" x14ac:dyDescent="0.2">
      <c r="A244" s="398"/>
      <c r="B244" s="402"/>
      <c r="C244" s="402"/>
      <c r="D244" s="379"/>
      <c r="E244" s="402"/>
      <c r="F244" s="400"/>
      <c r="G244" s="397"/>
      <c r="H244" s="397"/>
      <c r="I244" s="397"/>
    </row>
    <row r="245" spans="1:9" ht="15" customHeight="1" x14ac:dyDescent="0.2">
      <c r="A245" s="398"/>
      <c r="B245" s="402"/>
      <c r="C245" s="402"/>
      <c r="D245" s="379"/>
      <c r="E245" s="402"/>
      <c r="F245" s="401"/>
      <c r="G245" s="397"/>
      <c r="H245" s="397"/>
      <c r="I245" s="397"/>
    </row>
    <row r="246" spans="1:9" ht="14.1" customHeight="1" x14ac:dyDescent="0.2">
      <c r="A246" s="398"/>
      <c r="B246" s="402"/>
      <c r="C246" s="402"/>
      <c r="D246" s="379"/>
      <c r="E246" s="402"/>
      <c r="F246" s="399" t="s">
        <v>3255</v>
      </c>
      <c r="G246" s="397"/>
      <c r="H246" s="397"/>
      <c r="I246" s="397"/>
    </row>
    <row r="247" spans="1:9" x14ac:dyDescent="0.2">
      <c r="A247" s="398"/>
      <c r="B247" s="402"/>
      <c r="C247" s="402"/>
      <c r="D247" s="379"/>
      <c r="E247" s="402"/>
      <c r="F247" s="400"/>
      <c r="G247" s="397"/>
      <c r="H247" s="397"/>
      <c r="I247" s="397"/>
    </row>
    <row r="248" spans="1:9" ht="14.1" customHeight="1" x14ac:dyDescent="0.2">
      <c r="A248" s="398"/>
      <c r="B248" s="402"/>
      <c r="C248" s="402"/>
      <c r="D248" s="379"/>
      <c r="E248" s="402"/>
      <c r="F248" s="401"/>
      <c r="G248" s="397"/>
      <c r="H248" s="397"/>
      <c r="I248" s="397"/>
    </row>
    <row r="249" spans="1:9" ht="14.1" customHeight="1" x14ac:dyDescent="0.2">
      <c r="A249" s="398"/>
      <c r="B249" s="402"/>
      <c r="C249" s="402"/>
      <c r="D249" s="379"/>
      <c r="E249" s="402"/>
      <c r="F249" s="399" t="s">
        <v>3256</v>
      </c>
      <c r="G249" s="397"/>
      <c r="H249" s="397"/>
      <c r="I249" s="397"/>
    </row>
    <row r="250" spans="1:9" x14ac:dyDescent="0.2">
      <c r="A250" s="398"/>
      <c r="B250" s="402"/>
      <c r="C250" s="402"/>
      <c r="D250" s="379"/>
      <c r="E250" s="402"/>
      <c r="F250" s="400"/>
      <c r="G250" s="397"/>
      <c r="H250" s="397"/>
      <c r="I250" s="397"/>
    </row>
    <row r="251" spans="1:9" ht="14.1" customHeight="1" x14ac:dyDescent="0.2">
      <c r="A251" s="398"/>
      <c r="B251" s="402"/>
      <c r="C251" s="402"/>
      <c r="D251" s="379"/>
      <c r="E251" s="402"/>
      <c r="F251" s="401"/>
      <c r="G251" s="397"/>
      <c r="H251" s="397"/>
      <c r="I251" s="397"/>
    </row>
    <row r="252" spans="1:9" ht="14.1" customHeight="1" x14ac:dyDescent="0.2">
      <c r="A252" s="398"/>
      <c r="B252" s="402"/>
      <c r="C252" s="402"/>
      <c r="D252" s="379"/>
      <c r="E252" s="402"/>
      <c r="F252" s="399" t="s">
        <v>3257</v>
      </c>
      <c r="G252" s="397"/>
      <c r="H252" s="397"/>
      <c r="I252" s="397"/>
    </row>
    <row r="253" spans="1:9" x14ac:dyDescent="0.2">
      <c r="A253" s="398"/>
      <c r="B253" s="402"/>
      <c r="C253" s="402"/>
      <c r="D253" s="379"/>
      <c r="E253" s="402"/>
      <c r="F253" s="400"/>
      <c r="G253" s="397"/>
      <c r="H253" s="397"/>
      <c r="I253" s="397"/>
    </row>
    <row r="254" spans="1:9" ht="14.1" customHeight="1" x14ac:dyDescent="0.2">
      <c r="A254" s="398"/>
      <c r="B254" s="402"/>
      <c r="C254" s="402"/>
      <c r="D254" s="379"/>
      <c r="E254" s="402"/>
      <c r="F254" s="401"/>
      <c r="G254" s="397"/>
      <c r="H254" s="397"/>
      <c r="I254" s="397"/>
    </row>
    <row r="255" spans="1:9" ht="14.1" customHeight="1" x14ac:dyDescent="0.2">
      <c r="A255" s="398"/>
      <c r="B255" s="402"/>
      <c r="C255" s="402"/>
      <c r="D255" s="379"/>
      <c r="E255" s="402"/>
      <c r="F255" s="399" t="s">
        <v>3258</v>
      </c>
      <c r="G255" s="397"/>
      <c r="H255" s="397"/>
      <c r="I255" s="397"/>
    </row>
    <row r="256" spans="1:9" x14ac:dyDescent="0.2">
      <c r="A256" s="398"/>
      <c r="B256" s="402"/>
      <c r="C256" s="402"/>
      <c r="D256" s="379"/>
      <c r="E256" s="402"/>
      <c r="F256" s="400"/>
      <c r="G256" s="397"/>
      <c r="H256" s="397"/>
      <c r="I256" s="397"/>
    </row>
    <row r="257" spans="1:9" ht="14.1" customHeight="1" x14ac:dyDescent="0.2">
      <c r="A257" s="398"/>
      <c r="B257" s="402"/>
      <c r="C257" s="402"/>
      <c r="D257" s="379"/>
      <c r="E257" s="402"/>
      <c r="F257" s="401"/>
      <c r="G257" s="397"/>
      <c r="H257" s="397"/>
      <c r="I257" s="397"/>
    </row>
    <row r="258" spans="1:9" ht="14.1" customHeight="1" x14ac:dyDescent="0.2">
      <c r="A258" s="398"/>
      <c r="B258" s="402"/>
      <c r="C258" s="402"/>
      <c r="D258" s="379"/>
      <c r="E258" s="402"/>
      <c r="F258" s="399" t="s">
        <v>3259</v>
      </c>
      <c r="G258" s="397"/>
      <c r="H258" s="397"/>
      <c r="I258" s="397"/>
    </row>
    <row r="259" spans="1:9" ht="14.1" customHeight="1" x14ac:dyDescent="0.2">
      <c r="A259" s="398"/>
      <c r="B259" s="402"/>
      <c r="C259" s="402"/>
      <c r="D259" s="379"/>
      <c r="E259" s="402"/>
      <c r="F259" s="400"/>
      <c r="G259" s="397"/>
      <c r="H259" s="397"/>
      <c r="I259" s="397"/>
    </row>
    <row r="260" spans="1:9" ht="14.1" customHeight="1" x14ac:dyDescent="0.2">
      <c r="A260" s="398"/>
      <c r="B260" s="402"/>
      <c r="C260" s="402"/>
      <c r="D260" s="380"/>
      <c r="E260" s="402"/>
      <c r="F260" s="401"/>
      <c r="G260" s="397"/>
      <c r="H260" s="397"/>
      <c r="I260" s="397"/>
    </row>
    <row r="261" spans="1:9" ht="14.1" customHeight="1" x14ac:dyDescent="0.2">
      <c r="A261" s="398"/>
      <c r="B261" s="402" t="s">
        <v>602</v>
      </c>
      <c r="C261" s="402"/>
      <c r="D261" s="378"/>
      <c r="E261" s="402"/>
      <c r="F261" s="399" t="s">
        <v>3260</v>
      </c>
      <c r="G261" s="397"/>
      <c r="H261" s="397" t="s">
        <v>507</v>
      </c>
      <c r="I261" s="397"/>
    </row>
    <row r="262" spans="1:9" x14ac:dyDescent="0.2">
      <c r="A262" s="398"/>
      <c r="B262" s="402"/>
      <c r="C262" s="402"/>
      <c r="D262" s="379"/>
      <c r="E262" s="402"/>
      <c r="F262" s="400"/>
      <c r="G262" s="397"/>
      <c r="H262" s="397"/>
      <c r="I262" s="397"/>
    </row>
    <row r="263" spans="1:9" ht="15" customHeight="1" x14ac:dyDescent="0.2">
      <c r="A263" s="398"/>
      <c r="B263" s="402"/>
      <c r="C263" s="402"/>
      <c r="D263" s="379"/>
      <c r="E263" s="402"/>
      <c r="F263" s="401"/>
      <c r="G263" s="397"/>
      <c r="H263" s="397"/>
      <c r="I263" s="397"/>
    </row>
    <row r="264" spans="1:9" ht="14.1" customHeight="1" x14ac:dyDescent="0.2">
      <c r="A264" s="398"/>
      <c r="B264" s="402"/>
      <c r="C264" s="402"/>
      <c r="D264" s="379"/>
      <c r="E264" s="402"/>
      <c r="F264" s="399" t="s">
        <v>3261</v>
      </c>
      <c r="G264" s="397"/>
      <c r="H264" s="397" t="s">
        <v>507</v>
      </c>
      <c r="I264" s="397"/>
    </row>
    <row r="265" spans="1:9" x14ac:dyDescent="0.2">
      <c r="A265" s="398"/>
      <c r="B265" s="402"/>
      <c r="C265" s="402"/>
      <c r="D265" s="379"/>
      <c r="E265" s="402"/>
      <c r="F265" s="400"/>
      <c r="G265" s="397"/>
      <c r="H265" s="397"/>
      <c r="I265" s="397"/>
    </row>
    <row r="266" spans="1:9" ht="15" customHeight="1" x14ac:dyDescent="0.2">
      <c r="A266" s="398"/>
      <c r="B266" s="402"/>
      <c r="C266" s="402"/>
      <c r="D266" s="379"/>
      <c r="E266" s="402"/>
      <c r="F266" s="401"/>
      <c r="G266" s="397"/>
      <c r="H266" s="397"/>
      <c r="I266" s="397"/>
    </row>
    <row r="267" spans="1:9" ht="14.1" customHeight="1" x14ac:dyDescent="0.2">
      <c r="A267" s="398"/>
      <c r="B267" s="402"/>
      <c r="C267" s="402"/>
      <c r="D267" s="379"/>
      <c r="E267" s="402"/>
      <c r="F267" s="399" t="s">
        <v>3262</v>
      </c>
      <c r="G267" s="397"/>
      <c r="H267" s="397" t="s">
        <v>507</v>
      </c>
      <c r="I267" s="397"/>
    </row>
    <row r="268" spans="1:9" x14ac:dyDescent="0.2">
      <c r="A268" s="398"/>
      <c r="B268" s="402"/>
      <c r="C268" s="402"/>
      <c r="D268" s="379"/>
      <c r="E268" s="402"/>
      <c r="F268" s="400"/>
      <c r="G268" s="397"/>
      <c r="H268" s="397"/>
      <c r="I268" s="397"/>
    </row>
    <row r="269" spans="1:9" ht="14.1" customHeight="1" x14ac:dyDescent="0.2">
      <c r="A269" s="398"/>
      <c r="B269" s="402"/>
      <c r="C269" s="402"/>
      <c r="D269" s="379"/>
      <c r="E269" s="402"/>
      <c r="F269" s="401"/>
      <c r="G269" s="397"/>
      <c r="H269" s="397"/>
      <c r="I269" s="397"/>
    </row>
    <row r="270" spans="1:9" ht="14.1" customHeight="1" x14ac:dyDescent="0.2">
      <c r="A270" s="398"/>
      <c r="B270" s="402"/>
      <c r="C270" s="402"/>
      <c r="D270" s="379"/>
      <c r="E270" s="402"/>
      <c r="F270" s="399" t="s">
        <v>3263</v>
      </c>
      <c r="G270" s="397"/>
      <c r="H270" s="397" t="s">
        <v>507</v>
      </c>
      <c r="I270" s="397"/>
    </row>
    <row r="271" spans="1:9" x14ac:dyDescent="0.2">
      <c r="A271" s="398"/>
      <c r="B271" s="402"/>
      <c r="C271" s="402"/>
      <c r="D271" s="379"/>
      <c r="E271" s="402"/>
      <c r="F271" s="400"/>
      <c r="G271" s="397"/>
      <c r="H271" s="397"/>
      <c r="I271" s="397"/>
    </row>
    <row r="272" spans="1:9" ht="14.1" customHeight="1" x14ac:dyDescent="0.2">
      <c r="A272" s="398"/>
      <c r="B272" s="402"/>
      <c r="C272" s="402"/>
      <c r="D272" s="379"/>
      <c r="E272" s="402"/>
      <c r="F272" s="401"/>
      <c r="G272" s="397"/>
      <c r="H272" s="397"/>
      <c r="I272" s="397"/>
    </row>
    <row r="273" spans="1:9" ht="14.1" customHeight="1" x14ac:dyDescent="0.2">
      <c r="A273" s="398"/>
      <c r="B273" s="402"/>
      <c r="C273" s="402"/>
      <c r="D273" s="379"/>
      <c r="E273" s="402"/>
      <c r="F273" s="399" t="s">
        <v>3264</v>
      </c>
      <c r="G273" s="397"/>
      <c r="H273" s="397" t="s">
        <v>507</v>
      </c>
      <c r="I273" s="397"/>
    </row>
    <row r="274" spans="1:9" x14ac:dyDescent="0.2">
      <c r="A274" s="398"/>
      <c r="B274" s="402"/>
      <c r="C274" s="402"/>
      <c r="D274" s="379"/>
      <c r="E274" s="402"/>
      <c r="F274" s="400"/>
      <c r="G274" s="397"/>
      <c r="H274" s="397"/>
      <c r="I274" s="397"/>
    </row>
    <row r="275" spans="1:9" ht="14.1" customHeight="1" x14ac:dyDescent="0.2">
      <c r="A275" s="398"/>
      <c r="B275" s="402"/>
      <c r="C275" s="402"/>
      <c r="D275" s="379"/>
      <c r="E275" s="402"/>
      <c r="F275" s="401"/>
      <c r="G275" s="397"/>
      <c r="H275" s="397"/>
      <c r="I275" s="397"/>
    </row>
    <row r="276" spans="1:9" ht="14.1" customHeight="1" x14ac:dyDescent="0.2">
      <c r="A276" s="398"/>
      <c r="B276" s="402"/>
      <c r="C276" s="402"/>
      <c r="D276" s="379"/>
      <c r="E276" s="402"/>
      <c r="F276" s="399" t="s">
        <v>3265</v>
      </c>
      <c r="G276" s="397"/>
      <c r="H276" s="397" t="s">
        <v>507</v>
      </c>
      <c r="I276" s="397"/>
    </row>
    <row r="277" spans="1:9" x14ac:dyDescent="0.2">
      <c r="A277" s="398"/>
      <c r="B277" s="402"/>
      <c r="C277" s="402"/>
      <c r="D277" s="379"/>
      <c r="E277" s="402"/>
      <c r="F277" s="400"/>
      <c r="G277" s="397"/>
      <c r="H277" s="397"/>
      <c r="I277" s="397"/>
    </row>
    <row r="278" spans="1:9" ht="14.1" customHeight="1" x14ac:dyDescent="0.2">
      <c r="A278" s="398"/>
      <c r="B278" s="402"/>
      <c r="C278" s="402"/>
      <c r="D278" s="379"/>
      <c r="E278" s="402"/>
      <c r="F278" s="401"/>
      <c r="G278" s="397"/>
      <c r="H278" s="397"/>
      <c r="I278" s="397"/>
    </row>
    <row r="279" spans="1:9" ht="14.1" customHeight="1" x14ac:dyDescent="0.2">
      <c r="A279" s="398"/>
      <c r="B279" s="402"/>
      <c r="C279" s="402"/>
      <c r="D279" s="379"/>
      <c r="E279" s="402"/>
      <c r="F279" s="399" t="s">
        <v>3266</v>
      </c>
      <c r="G279" s="397"/>
      <c r="H279" s="397"/>
      <c r="I279" s="397"/>
    </row>
    <row r="280" spans="1:9" ht="14.1" customHeight="1" x14ac:dyDescent="0.2">
      <c r="A280" s="398"/>
      <c r="B280" s="402"/>
      <c r="C280" s="402"/>
      <c r="D280" s="379"/>
      <c r="E280" s="402"/>
      <c r="F280" s="400"/>
      <c r="G280" s="397"/>
      <c r="H280" s="397"/>
      <c r="I280" s="397"/>
    </row>
    <row r="281" spans="1:9" ht="14.1" customHeight="1" x14ac:dyDescent="0.2">
      <c r="A281" s="398"/>
      <c r="B281" s="402"/>
      <c r="C281" s="402"/>
      <c r="D281" s="380"/>
      <c r="E281" s="402"/>
      <c r="F281" s="401"/>
      <c r="G281" s="397"/>
      <c r="H281" s="397"/>
      <c r="I281" s="397"/>
    </row>
    <row r="295" spans="5:5" x14ac:dyDescent="0.2">
      <c r="E295" s="92" t="s">
        <v>528</v>
      </c>
    </row>
    <row r="296" spans="5:5" x14ac:dyDescent="0.2">
      <c r="E296" s="92" t="s">
        <v>511</v>
      </c>
    </row>
    <row r="297" spans="5:5" x14ac:dyDescent="0.2">
      <c r="E297" s="92" t="s">
        <v>515</v>
      </c>
    </row>
    <row r="298" spans="5:5" x14ac:dyDescent="0.2">
      <c r="E298" s="92" t="s">
        <v>505</v>
      </c>
    </row>
    <row r="299" spans="5:5" x14ac:dyDescent="0.2">
      <c r="E299" s="92" t="s">
        <v>507</v>
      </c>
    </row>
  </sheetData>
  <mergeCells count="425">
    <mergeCell ref="G117:G119"/>
    <mergeCell ref="G18:G20"/>
    <mergeCell ref="C66:C92"/>
    <mergeCell ref="G84:G86"/>
    <mergeCell ref="G87:G89"/>
    <mergeCell ref="G90:G92"/>
    <mergeCell ref="G69:G71"/>
    <mergeCell ref="G78:G80"/>
    <mergeCell ref="C114:C134"/>
    <mergeCell ref="G114:G116"/>
    <mergeCell ref="G132:G134"/>
    <mergeCell ref="C3:C23"/>
    <mergeCell ref="G3:G5"/>
    <mergeCell ref="G6:G8"/>
    <mergeCell ref="G9:G11"/>
    <mergeCell ref="G12:G14"/>
    <mergeCell ref="G15:G17"/>
    <mergeCell ref="G21:G23"/>
    <mergeCell ref="G45:G47"/>
    <mergeCell ref="G48:G50"/>
    <mergeCell ref="G51:G53"/>
    <mergeCell ref="G54:G56"/>
    <mergeCell ref="G120:G122"/>
    <mergeCell ref="G123:G125"/>
    <mergeCell ref="G126:G128"/>
    <mergeCell ref="G129:G131"/>
    <mergeCell ref="G156:G158"/>
    <mergeCell ref="G159:G161"/>
    <mergeCell ref="G162:G164"/>
    <mergeCell ref="G165:G167"/>
    <mergeCell ref="G168:G170"/>
    <mergeCell ref="G144:G146"/>
    <mergeCell ref="G147:G149"/>
    <mergeCell ref="G150:G152"/>
    <mergeCell ref="G135:G137"/>
    <mergeCell ref="G240:G242"/>
    <mergeCell ref="G243:G245"/>
    <mergeCell ref="G246:G248"/>
    <mergeCell ref="G249:G251"/>
    <mergeCell ref="G252:G254"/>
    <mergeCell ref="G255:G257"/>
    <mergeCell ref="G258:G260"/>
    <mergeCell ref="C219:C239"/>
    <mergeCell ref="G219:G221"/>
    <mergeCell ref="G222:G224"/>
    <mergeCell ref="G225:G227"/>
    <mergeCell ref="G228:G230"/>
    <mergeCell ref="G231:G233"/>
    <mergeCell ref="G234:G236"/>
    <mergeCell ref="G237:G239"/>
    <mergeCell ref="D219:D239"/>
    <mergeCell ref="E219:E239"/>
    <mergeCell ref="D240:D260"/>
    <mergeCell ref="E240:E260"/>
    <mergeCell ref="F255:F257"/>
    <mergeCell ref="F258:F260"/>
    <mergeCell ref="F252:F254"/>
    <mergeCell ref="H42:H44"/>
    <mergeCell ref="H39:H41"/>
    <mergeCell ref="H36:H38"/>
    <mergeCell ref="H33:H35"/>
    <mergeCell ref="H30:H32"/>
    <mergeCell ref="H27:H29"/>
    <mergeCell ref="E24:E44"/>
    <mergeCell ref="H24:H26"/>
    <mergeCell ref="G72:G74"/>
    <mergeCell ref="G66:G68"/>
    <mergeCell ref="G57:G59"/>
    <mergeCell ref="G24:G26"/>
    <mergeCell ref="G27:G29"/>
    <mergeCell ref="G30:G32"/>
    <mergeCell ref="G33:G35"/>
    <mergeCell ref="G36:G38"/>
    <mergeCell ref="G39:G41"/>
    <mergeCell ref="G42:G44"/>
    <mergeCell ref="F33:F35"/>
    <mergeCell ref="F36:F38"/>
    <mergeCell ref="F39:F41"/>
    <mergeCell ref="F42:F44"/>
    <mergeCell ref="F45:F47"/>
    <mergeCell ref="F48:F50"/>
    <mergeCell ref="F18:F20"/>
    <mergeCell ref="F21:F23"/>
    <mergeCell ref="F24:F26"/>
    <mergeCell ref="F27:F29"/>
    <mergeCell ref="F30:F32"/>
    <mergeCell ref="F3:F5"/>
    <mergeCell ref="F6:F8"/>
    <mergeCell ref="F9:F11"/>
    <mergeCell ref="F12:F14"/>
    <mergeCell ref="F15:F17"/>
    <mergeCell ref="F120:F122"/>
    <mergeCell ref="F123:F125"/>
    <mergeCell ref="F126:F128"/>
    <mergeCell ref="F129:F131"/>
    <mergeCell ref="F81:F83"/>
    <mergeCell ref="F84:F86"/>
    <mergeCell ref="F87:F89"/>
    <mergeCell ref="F90:F92"/>
    <mergeCell ref="F114:F116"/>
    <mergeCell ref="F108:F110"/>
    <mergeCell ref="F51:F53"/>
    <mergeCell ref="F54:F56"/>
    <mergeCell ref="F57:F59"/>
    <mergeCell ref="F240:F242"/>
    <mergeCell ref="F243:F245"/>
    <mergeCell ref="F246:F248"/>
    <mergeCell ref="F249:F251"/>
    <mergeCell ref="F225:F227"/>
    <mergeCell ref="F228:F230"/>
    <mergeCell ref="F231:F233"/>
    <mergeCell ref="F234:F236"/>
    <mergeCell ref="F237:F239"/>
    <mergeCell ref="F219:F221"/>
    <mergeCell ref="F222:F224"/>
    <mergeCell ref="F189:F191"/>
    <mergeCell ref="F195:F197"/>
    <mergeCell ref="F132:F134"/>
    <mergeCell ref="F165:F167"/>
    <mergeCell ref="F168:F170"/>
    <mergeCell ref="F171:F173"/>
    <mergeCell ref="F174:F176"/>
    <mergeCell ref="F117:F119"/>
    <mergeCell ref="F93:F95"/>
    <mergeCell ref="F156:F158"/>
    <mergeCell ref="B3:B23"/>
    <mergeCell ref="B24:B44"/>
    <mergeCell ref="B66:B92"/>
    <mergeCell ref="B114:B134"/>
    <mergeCell ref="B156:B176"/>
    <mergeCell ref="B219:B239"/>
    <mergeCell ref="B240:B260"/>
    <mergeCell ref="B45:B65"/>
    <mergeCell ref="C45:C65"/>
    <mergeCell ref="C24:C44"/>
    <mergeCell ref="C240:C260"/>
    <mergeCell ref="C156:C176"/>
    <mergeCell ref="B93:B113"/>
    <mergeCell ref="C93:C113"/>
    <mergeCell ref="B135:B155"/>
    <mergeCell ref="C135:C155"/>
    <mergeCell ref="B198:B218"/>
    <mergeCell ref="C198:C218"/>
    <mergeCell ref="G93:G95"/>
    <mergeCell ref="F96:F98"/>
    <mergeCell ref="G96:G98"/>
    <mergeCell ref="F99:F101"/>
    <mergeCell ref="G99:G101"/>
    <mergeCell ref="F102:F104"/>
    <mergeCell ref="G102:G104"/>
    <mergeCell ref="F105:F107"/>
    <mergeCell ref="G105:G107"/>
    <mergeCell ref="G108:G110"/>
    <mergeCell ref="F111:F113"/>
    <mergeCell ref="G111:G113"/>
    <mergeCell ref="H111:H113"/>
    <mergeCell ref="I111:I113"/>
    <mergeCell ref="F60:F62"/>
    <mergeCell ref="G60:G62"/>
    <mergeCell ref="F63:F65"/>
    <mergeCell ref="G63:G65"/>
    <mergeCell ref="F66:F68"/>
    <mergeCell ref="F69:F71"/>
    <mergeCell ref="F72:F74"/>
    <mergeCell ref="F75:F77"/>
    <mergeCell ref="F78:F80"/>
    <mergeCell ref="G75:G77"/>
    <mergeCell ref="G81:G83"/>
    <mergeCell ref="H102:H104"/>
    <mergeCell ref="I102:I104"/>
    <mergeCell ref="H105:H107"/>
    <mergeCell ref="I105:I107"/>
    <mergeCell ref="H108:H110"/>
    <mergeCell ref="I108:I110"/>
    <mergeCell ref="H93:H95"/>
    <mergeCell ref="I93:I95"/>
    <mergeCell ref="H96:H98"/>
    <mergeCell ref="I96:I98"/>
    <mergeCell ref="H99:H101"/>
    <mergeCell ref="I99:I101"/>
    <mergeCell ref="H66:H68"/>
    <mergeCell ref="I66:I68"/>
    <mergeCell ref="H87:H89"/>
    <mergeCell ref="I87:I89"/>
    <mergeCell ref="H90:H92"/>
    <mergeCell ref="I90:I92"/>
    <mergeCell ref="H69:H71"/>
    <mergeCell ref="I69:I71"/>
    <mergeCell ref="H72:H74"/>
    <mergeCell ref="I72:I74"/>
    <mergeCell ref="H75:H77"/>
    <mergeCell ref="I75:I77"/>
    <mergeCell ref="H78:H80"/>
    <mergeCell ref="I78:I80"/>
    <mergeCell ref="H81:H83"/>
    <mergeCell ref="I81:I83"/>
    <mergeCell ref="H84:H86"/>
    <mergeCell ref="I84:I86"/>
    <mergeCell ref="I45:I47"/>
    <mergeCell ref="H48:H50"/>
    <mergeCell ref="I48:I50"/>
    <mergeCell ref="H51:H53"/>
    <mergeCell ref="I51:I53"/>
    <mergeCell ref="H60:H62"/>
    <mergeCell ref="I60:I62"/>
    <mergeCell ref="H63:H65"/>
    <mergeCell ref="I63:I65"/>
    <mergeCell ref="H12:H14"/>
    <mergeCell ref="I12:I14"/>
    <mergeCell ref="H15:H17"/>
    <mergeCell ref="I15:I17"/>
    <mergeCell ref="H18:H20"/>
    <mergeCell ref="I18:I20"/>
    <mergeCell ref="H3:H5"/>
    <mergeCell ref="I3:I5"/>
    <mergeCell ref="H6:H8"/>
    <mergeCell ref="I6:I8"/>
    <mergeCell ref="H9:H11"/>
    <mergeCell ref="I9:I11"/>
    <mergeCell ref="H120:H122"/>
    <mergeCell ref="I120:I122"/>
    <mergeCell ref="H123:H125"/>
    <mergeCell ref="I123:I125"/>
    <mergeCell ref="H126:H128"/>
    <mergeCell ref="I126:I128"/>
    <mergeCell ref="H21:H23"/>
    <mergeCell ref="I21:I23"/>
    <mergeCell ref="H114:H116"/>
    <mergeCell ref="I114:I116"/>
    <mergeCell ref="H117:H119"/>
    <mergeCell ref="I117:I119"/>
    <mergeCell ref="H54:H56"/>
    <mergeCell ref="I54:I56"/>
    <mergeCell ref="H57:H59"/>
    <mergeCell ref="I57:I59"/>
    <mergeCell ref="I24:I26"/>
    <mergeCell ref="I27:I29"/>
    <mergeCell ref="I30:I32"/>
    <mergeCell ref="I33:I35"/>
    <mergeCell ref="I36:I38"/>
    <mergeCell ref="I39:I41"/>
    <mergeCell ref="I42:I44"/>
    <mergeCell ref="H45:H47"/>
    <mergeCell ref="H216:H218"/>
    <mergeCell ref="I216:I218"/>
    <mergeCell ref="H195:H197"/>
    <mergeCell ref="I195:I197"/>
    <mergeCell ref="H189:H191"/>
    <mergeCell ref="H129:H131"/>
    <mergeCell ref="I129:I131"/>
    <mergeCell ref="H132:H134"/>
    <mergeCell ref="I132:I134"/>
    <mergeCell ref="H156:H158"/>
    <mergeCell ref="I156:I158"/>
    <mergeCell ref="H141:H143"/>
    <mergeCell ref="I141:I143"/>
    <mergeCell ref="H144:H146"/>
    <mergeCell ref="I144:I146"/>
    <mergeCell ref="H147:H149"/>
    <mergeCell ref="I147:I149"/>
    <mergeCell ref="H150:H152"/>
    <mergeCell ref="I150:I152"/>
    <mergeCell ref="H135:H137"/>
    <mergeCell ref="I135:I137"/>
    <mergeCell ref="H228:H230"/>
    <mergeCell ref="I228:I230"/>
    <mergeCell ref="H231:H233"/>
    <mergeCell ref="I231:I233"/>
    <mergeCell ref="H234:H236"/>
    <mergeCell ref="I234:I236"/>
    <mergeCell ref="H219:H221"/>
    <mergeCell ref="I219:I221"/>
    <mergeCell ref="H222:H224"/>
    <mergeCell ref="I222:I224"/>
    <mergeCell ref="H225:H227"/>
    <mergeCell ref="I225:I227"/>
    <mergeCell ref="H246:H248"/>
    <mergeCell ref="I246:I248"/>
    <mergeCell ref="H249:H251"/>
    <mergeCell ref="I249:I251"/>
    <mergeCell ref="H252:H254"/>
    <mergeCell ref="I252:I254"/>
    <mergeCell ref="H237:H239"/>
    <mergeCell ref="I237:I239"/>
    <mergeCell ref="H240:H242"/>
    <mergeCell ref="I240:I242"/>
    <mergeCell ref="H243:H245"/>
    <mergeCell ref="I243:I245"/>
    <mergeCell ref="F159:F161"/>
    <mergeCell ref="G138:G140"/>
    <mergeCell ref="H138:H140"/>
    <mergeCell ref="I138:I140"/>
    <mergeCell ref="G141:G143"/>
    <mergeCell ref="H159:H161"/>
    <mergeCell ref="I159:I161"/>
    <mergeCell ref="B177:B197"/>
    <mergeCell ref="C177:C197"/>
    <mergeCell ref="F177:F179"/>
    <mergeCell ref="G177:G179"/>
    <mergeCell ref="H177:H179"/>
    <mergeCell ref="I177:I179"/>
    <mergeCell ref="F180:F182"/>
    <mergeCell ref="G180:G182"/>
    <mergeCell ref="H180:H182"/>
    <mergeCell ref="I180:I182"/>
    <mergeCell ref="F183:F185"/>
    <mergeCell ref="G183:G185"/>
    <mergeCell ref="H183:H185"/>
    <mergeCell ref="I189:I191"/>
    <mergeCell ref="G192:G194"/>
    <mergeCell ref="H192:H194"/>
    <mergeCell ref="I192:I194"/>
    <mergeCell ref="G186:G188"/>
    <mergeCell ref="H186:H188"/>
    <mergeCell ref="I186:I188"/>
    <mergeCell ref="G153:G155"/>
    <mergeCell ref="H153:H155"/>
    <mergeCell ref="I153:I155"/>
    <mergeCell ref="H162:H164"/>
    <mergeCell ref="I162:I164"/>
    <mergeCell ref="H165:H167"/>
    <mergeCell ref="I165:I167"/>
    <mergeCell ref="G171:G173"/>
    <mergeCell ref="G174:G176"/>
    <mergeCell ref="H168:H170"/>
    <mergeCell ref="I168:I170"/>
    <mergeCell ref="H171:H173"/>
    <mergeCell ref="I171:I173"/>
    <mergeCell ref="H174:H176"/>
    <mergeCell ref="I174:I176"/>
    <mergeCell ref="I183:I185"/>
    <mergeCell ref="F198:F200"/>
    <mergeCell ref="G198:G200"/>
    <mergeCell ref="H198:H200"/>
    <mergeCell ref="I198:I200"/>
    <mergeCell ref="F201:F203"/>
    <mergeCell ref="G201:G203"/>
    <mergeCell ref="F204:F206"/>
    <mergeCell ref="G204:G206"/>
    <mergeCell ref="F207:F209"/>
    <mergeCell ref="G207:G209"/>
    <mergeCell ref="F210:F212"/>
    <mergeCell ref="H210:H212"/>
    <mergeCell ref="I210:I212"/>
    <mergeCell ref="H213:H215"/>
    <mergeCell ref="I213:I215"/>
    <mergeCell ref="H201:H203"/>
    <mergeCell ref="I201:I203"/>
    <mergeCell ref="H204:H206"/>
    <mergeCell ref="I204:I206"/>
    <mergeCell ref="H207:H209"/>
    <mergeCell ref="I207:I209"/>
    <mergeCell ref="D3:D23"/>
    <mergeCell ref="E3:E23"/>
    <mergeCell ref="D24:D44"/>
    <mergeCell ref="D45:D65"/>
    <mergeCell ref="E45:E65"/>
    <mergeCell ref="D66:D92"/>
    <mergeCell ref="E66:E92"/>
    <mergeCell ref="D93:D113"/>
    <mergeCell ref="E93:E113"/>
    <mergeCell ref="D114:D134"/>
    <mergeCell ref="E114:E134"/>
    <mergeCell ref="D135:D155"/>
    <mergeCell ref="E135:E155"/>
    <mergeCell ref="D156:D176"/>
    <mergeCell ref="G210:G212"/>
    <mergeCell ref="G213:G215"/>
    <mergeCell ref="G216:G218"/>
    <mergeCell ref="G195:G197"/>
    <mergeCell ref="G189:G191"/>
    <mergeCell ref="F135:F137"/>
    <mergeCell ref="F138:F140"/>
    <mergeCell ref="F141:F143"/>
    <mergeCell ref="F144:F146"/>
    <mergeCell ref="F147:F149"/>
    <mergeCell ref="F150:F152"/>
    <mergeCell ref="F153:F155"/>
    <mergeCell ref="F186:F188"/>
    <mergeCell ref="F192:F194"/>
    <mergeCell ref="F213:F215"/>
    <mergeCell ref="F216:F218"/>
    <mergeCell ref="E156:E176"/>
    <mergeCell ref="D177:D197"/>
    <mergeCell ref="E177:E197"/>
    <mergeCell ref="I261:I263"/>
    <mergeCell ref="F264:F266"/>
    <mergeCell ref="G264:G266"/>
    <mergeCell ref="I264:I266"/>
    <mergeCell ref="B261:B281"/>
    <mergeCell ref="C261:C281"/>
    <mergeCell ref="D261:D281"/>
    <mergeCell ref="E261:E281"/>
    <mergeCell ref="F261:F263"/>
    <mergeCell ref="F267:F269"/>
    <mergeCell ref="F273:F275"/>
    <mergeCell ref="F279:F281"/>
    <mergeCell ref="G279:G281"/>
    <mergeCell ref="H279:H281"/>
    <mergeCell ref="I279:I281"/>
    <mergeCell ref="H264:H266"/>
    <mergeCell ref="D198:D218"/>
    <mergeCell ref="E198:E218"/>
    <mergeCell ref="F162:F164"/>
    <mergeCell ref="H255:H257"/>
    <mergeCell ref="I255:I257"/>
    <mergeCell ref="H258:H260"/>
    <mergeCell ref="I258:I260"/>
    <mergeCell ref="A3:A281"/>
    <mergeCell ref="G273:G275"/>
    <mergeCell ref="H273:H275"/>
    <mergeCell ref="I273:I275"/>
    <mergeCell ref="F276:F278"/>
    <mergeCell ref="G276:G278"/>
    <mergeCell ref="H276:H278"/>
    <mergeCell ref="I276:I278"/>
    <mergeCell ref="G267:G269"/>
    <mergeCell ref="H267:H269"/>
    <mergeCell ref="I267:I269"/>
    <mergeCell ref="F270:F272"/>
    <mergeCell ref="G270:G272"/>
    <mergeCell ref="H270:H272"/>
    <mergeCell ref="I270:I272"/>
    <mergeCell ref="G261:G263"/>
    <mergeCell ref="H261:H263"/>
  </mergeCells>
  <phoneticPr fontId="14" type="noConversion"/>
  <dataValidations count="1">
    <dataValidation type="list" allowBlank="1" showInputMessage="1" showErrorMessage="1" sqref="E3:E281 H3:H281" xr:uid="{CF258F21-6AB9-4B4B-A8BD-621CDE1E0D0D}">
      <formula1>$E$295:$E$299</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7CDD-61AD-254D-B9BC-ECADE6143F13}">
  <sheetPr>
    <tabColor theme="9"/>
  </sheetPr>
  <dimension ref="A1:K176"/>
  <sheetViews>
    <sheetView topLeftCell="AG1" zoomScale="104" workbookViewId="0">
      <selection activeCell="C3" sqref="C3:C32"/>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7109375" style="15" customWidth="1"/>
    <col min="7" max="7" width="46.140625" style="15" customWidth="1"/>
    <col min="8" max="8" width="18.85546875" style="15" customWidth="1"/>
    <col min="9" max="9" width="32.28515625" style="15" customWidth="1"/>
    <col min="10" max="10" width="9.7109375" style="15" customWidth="1"/>
    <col min="11" max="11" width="45.140625" style="3" customWidth="1"/>
    <col min="12"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1" ht="30"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337" t="s">
        <v>1787</v>
      </c>
      <c r="B3" s="275" t="s">
        <v>1053</v>
      </c>
      <c r="C3" s="390" t="s">
        <v>1873</v>
      </c>
      <c r="D3" s="275"/>
      <c r="E3" s="275"/>
      <c r="F3" s="288" t="s">
        <v>1054</v>
      </c>
      <c r="G3" s="337" t="s">
        <v>1869</v>
      </c>
      <c r="H3" s="272" t="s">
        <v>511</v>
      </c>
      <c r="I3" s="337" t="s">
        <v>3138</v>
      </c>
      <c r="J3" s="109" t="s">
        <v>1055</v>
      </c>
      <c r="K3" s="7"/>
    </row>
    <row r="4" spans="1:11" x14ac:dyDescent="0.2">
      <c r="A4" s="288"/>
      <c r="B4" s="275"/>
      <c r="C4" s="275"/>
      <c r="D4" s="275"/>
      <c r="E4" s="275"/>
      <c r="F4" s="288"/>
      <c r="G4" s="272"/>
      <c r="H4" s="272"/>
      <c r="I4" s="272"/>
      <c r="J4" s="109" t="s">
        <v>1056</v>
      </c>
      <c r="K4" s="7"/>
    </row>
    <row r="5" spans="1:11" x14ac:dyDescent="0.2">
      <c r="A5" s="273"/>
      <c r="B5" s="276"/>
      <c r="C5" s="276"/>
      <c r="D5" s="276"/>
      <c r="E5" s="276"/>
      <c r="F5" s="273"/>
      <c r="G5" s="273"/>
      <c r="H5" s="273"/>
      <c r="I5" s="273"/>
      <c r="J5" s="109" t="s">
        <v>1057</v>
      </c>
      <c r="K5" s="7"/>
    </row>
    <row r="6" spans="1:11" ht="15" customHeight="1" x14ac:dyDescent="0.2">
      <c r="A6" s="273"/>
      <c r="B6" s="276"/>
      <c r="C6" s="276"/>
      <c r="D6" s="276"/>
      <c r="E6" s="276"/>
      <c r="F6" s="288" t="s">
        <v>1058</v>
      </c>
      <c r="G6" s="337" t="s">
        <v>1870</v>
      </c>
      <c r="H6" s="272" t="s">
        <v>515</v>
      </c>
      <c r="I6" s="337" t="s">
        <v>3138</v>
      </c>
      <c r="J6" s="109" t="s">
        <v>1059</v>
      </c>
      <c r="K6" s="7"/>
    </row>
    <row r="7" spans="1:11" ht="15" customHeight="1" x14ac:dyDescent="0.2">
      <c r="A7" s="273"/>
      <c r="B7" s="276"/>
      <c r="C7" s="276"/>
      <c r="D7" s="276"/>
      <c r="E7" s="276"/>
      <c r="F7" s="288"/>
      <c r="G7" s="289"/>
      <c r="H7" s="272"/>
      <c r="I7" s="272"/>
      <c r="J7" s="109" t="s">
        <v>1060</v>
      </c>
      <c r="K7" s="7"/>
    </row>
    <row r="8" spans="1:11" x14ac:dyDescent="0.2">
      <c r="A8" s="273"/>
      <c r="B8" s="276"/>
      <c r="C8" s="276"/>
      <c r="D8" s="276"/>
      <c r="E8" s="276"/>
      <c r="F8" s="273"/>
      <c r="G8" s="273"/>
      <c r="H8" s="273"/>
      <c r="I8" s="273"/>
      <c r="J8" s="109" t="s">
        <v>1061</v>
      </c>
      <c r="K8" s="7"/>
    </row>
    <row r="9" spans="1:11" ht="15" customHeight="1" x14ac:dyDescent="0.2">
      <c r="A9" s="273"/>
      <c r="B9" s="276"/>
      <c r="C9" s="276"/>
      <c r="D9" s="276"/>
      <c r="E9" s="276"/>
      <c r="F9" s="288" t="s">
        <v>1062</v>
      </c>
      <c r="G9" s="337" t="s">
        <v>1871</v>
      </c>
      <c r="H9" s="272" t="s">
        <v>515</v>
      </c>
      <c r="I9" s="337" t="s">
        <v>3138</v>
      </c>
      <c r="J9" s="26"/>
      <c r="K9" s="7"/>
    </row>
    <row r="10" spans="1:11" ht="15" customHeight="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ht="15" customHeight="1" x14ac:dyDescent="0.2">
      <c r="A12" s="273"/>
      <c r="B12" s="276"/>
      <c r="C12" s="276"/>
      <c r="D12" s="276"/>
      <c r="E12" s="276"/>
      <c r="F12" s="288" t="s">
        <v>1063</v>
      </c>
      <c r="G12" s="337" t="s">
        <v>1872</v>
      </c>
      <c r="H12" s="412" t="s">
        <v>515</v>
      </c>
      <c r="I12" s="337" t="s">
        <v>3138</v>
      </c>
      <c r="J12" s="26"/>
      <c r="K12" s="7"/>
    </row>
    <row r="13" spans="1:11" ht="15" customHeight="1" x14ac:dyDescent="0.2">
      <c r="A13" s="273"/>
      <c r="B13" s="276"/>
      <c r="C13" s="276"/>
      <c r="D13" s="276"/>
      <c r="E13" s="276"/>
      <c r="F13" s="288"/>
      <c r="G13" s="272"/>
      <c r="H13" s="413"/>
      <c r="I13" s="272"/>
      <c r="J13" s="26"/>
      <c r="K13" s="7"/>
    </row>
    <row r="14" spans="1:11" x14ac:dyDescent="0.2">
      <c r="A14" s="273"/>
      <c r="B14" s="276"/>
      <c r="C14" s="276"/>
      <c r="D14" s="276"/>
      <c r="E14" s="276"/>
      <c r="F14" s="273"/>
      <c r="G14" s="273"/>
      <c r="H14" s="414"/>
      <c r="I14" s="273"/>
      <c r="J14" s="89"/>
      <c r="K14" s="7"/>
    </row>
    <row r="15" spans="1:11" ht="15" customHeight="1" x14ac:dyDescent="0.2">
      <c r="A15" s="273"/>
      <c r="B15" s="276"/>
      <c r="C15" s="276"/>
      <c r="D15" s="276"/>
      <c r="E15" s="276"/>
      <c r="F15" s="288" t="s">
        <v>1064</v>
      </c>
      <c r="G15" s="337" t="s">
        <v>1874</v>
      </c>
      <c r="H15" s="412" t="s">
        <v>515</v>
      </c>
      <c r="I15" s="337" t="s">
        <v>3138</v>
      </c>
      <c r="J15" s="26"/>
      <c r="K15" s="7"/>
    </row>
    <row r="16" spans="1:11" ht="15" customHeight="1" x14ac:dyDescent="0.2">
      <c r="A16" s="273"/>
      <c r="B16" s="276"/>
      <c r="C16" s="276"/>
      <c r="D16" s="276"/>
      <c r="E16" s="276"/>
      <c r="F16" s="288"/>
      <c r="G16" s="272"/>
      <c r="H16" s="413"/>
      <c r="I16" s="272"/>
      <c r="J16" s="26"/>
      <c r="K16" s="7"/>
    </row>
    <row r="17" spans="1:11" x14ac:dyDescent="0.2">
      <c r="A17" s="273"/>
      <c r="B17" s="276"/>
      <c r="C17" s="276"/>
      <c r="D17" s="276"/>
      <c r="E17" s="276"/>
      <c r="F17" s="273"/>
      <c r="G17" s="273"/>
      <c r="H17" s="414"/>
      <c r="I17" s="273"/>
      <c r="J17" s="89"/>
      <c r="K17" s="7"/>
    </row>
    <row r="18" spans="1:11" ht="15" customHeight="1" x14ac:dyDescent="0.2">
      <c r="A18" s="273"/>
      <c r="B18" s="276"/>
      <c r="C18" s="276"/>
      <c r="D18" s="276"/>
      <c r="E18" s="276"/>
      <c r="F18" s="288" t="s">
        <v>1065</v>
      </c>
      <c r="G18" s="337" t="s">
        <v>1876</v>
      </c>
      <c r="H18" s="412" t="s">
        <v>515</v>
      </c>
      <c r="I18" s="337" t="s">
        <v>3138</v>
      </c>
      <c r="J18" s="26"/>
      <c r="K18" s="7"/>
    </row>
    <row r="19" spans="1:11" ht="15" customHeight="1" x14ac:dyDescent="0.2">
      <c r="A19" s="273"/>
      <c r="B19" s="276"/>
      <c r="C19" s="276"/>
      <c r="D19" s="276"/>
      <c r="E19" s="276"/>
      <c r="F19" s="288"/>
      <c r="G19" s="272"/>
      <c r="H19" s="413"/>
      <c r="I19" s="272"/>
      <c r="J19" s="26"/>
      <c r="K19" s="7"/>
    </row>
    <row r="20" spans="1:11" x14ac:dyDescent="0.2">
      <c r="A20" s="273"/>
      <c r="B20" s="276"/>
      <c r="C20" s="276"/>
      <c r="D20" s="276"/>
      <c r="E20" s="276"/>
      <c r="F20" s="273"/>
      <c r="G20" s="273"/>
      <c r="H20" s="414"/>
      <c r="I20" s="273"/>
      <c r="J20" s="89"/>
      <c r="K20" s="7"/>
    </row>
    <row r="21" spans="1:11" ht="15" customHeight="1" x14ac:dyDescent="0.2">
      <c r="A21" s="273"/>
      <c r="B21" s="276"/>
      <c r="C21" s="276"/>
      <c r="D21" s="276"/>
      <c r="E21" s="276"/>
      <c r="F21" s="288" t="s">
        <v>1770</v>
      </c>
      <c r="G21" s="337" t="s">
        <v>1877</v>
      </c>
      <c r="H21" s="412" t="s">
        <v>515</v>
      </c>
      <c r="I21" s="337" t="s">
        <v>3138</v>
      </c>
      <c r="J21" s="26"/>
      <c r="K21" s="7"/>
    </row>
    <row r="22" spans="1:11" ht="15" customHeight="1" x14ac:dyDescent="0.2">
      <c r="A22" s="273"/>
      <c r="B22" s="276"/>
      <c r="C22" s="276"/>
      <c r="D22" s="276"/>
      <c r="E22" s="276"/>
      <c r="F22" s="288"/>
      <c r="G22" s="272"/>
      <c r="H22" s="413"/>
      <c r="I22" s="272"/>
      <c r="J22" s="26"/>
      <c r="K22" s="7"/>
    </row>
    <row r="23" spans="1:11" x14ac:dyDescent="0.2">
      <c r="A23" s="273"/>
      <c r="B23" s="276"/>
      <c r="C23" s="276"/>
      <c r="D23" s="276"/>
      <c r="E23" s="276"/>
      <c r="F23" s="273"/>
      <c r="G23" s="273"/>
      <c r="H23" s="414"/>
      <c r="I23" s="273"/>
      <c r="J23" s="89"/>
      <c r="K23" s="7"/>
    </row>
    <row r="24" spans="1:11" ht="15" customHeight="1" x14ac:dyDescent="0.2">
      <c r="A24" s="273"/>
      <c r="B24" s="276"/>
      <c r="C24" s="276"/>
      <c r="D24" s="276"/>
      <c r="E24" s="276"/>
      <c r="F24" s="288" t="s">
        <v>1771</v>
      </c>
      <c r="G24" s="272"/>
      <c r="H24" s="412"/>
      <c r="I24" s="272"/>
      <c r="J24" s="26"/>
      <c r="K24" s="7"/>
    </row>
    <row r="25" spans="1:11" ht="15" customHeight="1" x14ac:dyDescent="0.2">
      <c r="A25" s="273"/>
      <c r="B25" s="276"/>
      <c r="C25" s="276"/>
      <c r="D25" s="276"/>
      <c r="E25" s="276"/>
      <c r="F25" s="288"/>
      <c r="G25" s="272"/>
      <c r="H25" s="413"/>
      <c r="I25" s="272"/>
      <c r="J25" s="26"/>
      <c r="K25" s="7"/>
    </row>
    <row r="26" spans="1:11" x14ac:dyDescent="0.2">
      <c r="A26" s="273"/>
      <c r="B26" s="276"/>
      <c r="C26" s="276"/>
      <c r="D26" s="276"/>
      <c r="E26" s="276"/>
      <c r="F26" s="273"/>
      <c r="G26" s="273"/>
      <c r="H26" s="414"/>
      <c r="I26" s="273"/>
      <c r="J26" s="89"/>
      <c r="K26" s="7"/>
    </row>
    <row r="27" spans="1:11" ht="15" customHeight="1" x14ac:dyDescent="0.2">
      <c r="A27" s="273"/>
      <c r="B27" s="276"/>
      <c r="C27" s="276"/>
      <c r="D27" s="276"/>
      <c r="E27" s="276"/>
      <c r="F27" s="288" t="s">
        <v>1772</v>
      </c>
      <c r="G27" s="272"/>
      <c r="H27" s="412"/>
      <c r="I27" s="272"/>
      <c r="J27" s="26"/>
      <c r="K27" s="7"/>
    </row>
    <row r="28" spans="1:11" ht="15" customHeight="1" x14ac:dyDescent="0.2">
      <c r="A28" s="273"/>
      <c r="B28" s="276"/>
      <c r="C28" s="276"/>
      <c r="D28" s="276"/>
      <c r="E28" s="276"/>
      <c r="F28" s="288"/>
      <c r="G28" s="272"/>
      <c r="H28" s="413"/>
      <c r="I28" s="272"/>
      <c r="J28" s="26"/>
      <c r="K28" s="7"/>
    </row>
    <row r="29" spans="1:11" x14ac:dyDescent="0.2">
      <c r="A29" s="273"/>
      <c r="B29" s="276"/>
      <c r="C29" s="276"/>
      <c r="D29" s="276"/>
      <c r="E29" s="276"/>
      <c r="F29" s="273"/>
      <c r="G29" s="273"/>
      <c r="H29" s="414"/>
      <c r="I29" s="273"/>
      <c r="J29" s="89"/>
      <c r="K29" s="7"/>
    </row>
    <row r="30" spans="1:11" ht="15" customHeight="1" x14ac:dyDescent="0.2">
      <c r="A30" s="273"/>
      <c r="B30" s="276"/>
      <c r="C30" s="276"/>
      <c r="D30" s="276"/>
      <c r="E30" s="276"/>
      <c r="F30" s="288" t="s">
        <v>1875</v>
      </c>
      <c r="G30" s="272"/>
      <c r="H30" s="412"/>
      <c r="I30" s="272"/>
      <c r="J30" s="26"/>
      <c r="K30" s="7"/>
    </row>
    <row r="31" spans="1:11" ht="15" customHeight="1" x14ac:dyDescent="0.2">
      <c r="A31" s="273"/>
      <c r="B31" s="276"/>
      <c r="C31" s="276"/>
      <c r="D31" s="276"/>
      <c r="E31" s="276"/>
      <c r="F31" s="288"/>
      <c r="G31" s="272"/>
      <c r="H31" s="413"/>
      <c r="I31" s="272"/>
      <c r="J31" s="26"/>
      <c r="K31" s="7"/>
    </row>
    <row r="32" spans="1:11" x14ac:dyDescent="0.2">
      <c r="A32" s="273"/>
      <c r="B32" s="276"/>
      <c r="C32" s="276"/>
      <c r="D32" s="276"/>
      <c r="E32" s="276"/>
      <c r="F32" s="273"/>
      <c r="G32" s="273"/>
      <c r="H32" s="414"/>
      <c r="I32" s="273"/>
      <c r="J32" s="89"/>
      <c r="K32" s="7"/>
    </row>
    <row r="33" spans="1:11" ht="15" customHeight="1" x14ac:dyDescent="0.2">
      <c r="A33" s="273"/>
      <c r="B33" s="277" t="s">
        <v>1066</v>
      </c>
      <c r="C33" s="277" t="s">
        <v>611</v>
      </c>
      <c r="D33" s="277"/>
      <c r="E33" s="277"/>
      <c r="F33" s="288" t="s">
        <v>1067</v>
      </c>
      <c r="G33" s="415" t="s">
        <v>1900</v>
      </c>
      <c r="H33" s="412" t="s">
        <v>507</v>
      </c>
      <c r="I33" s="337" t="s">
        <v>3139</v>
      </c>
      <c r="J33" s="39"/>
      <c r="K33" s="7"/>
    </row>
    <row r="34" spans="1:11" x14ac:dyDescent="0.2">
      <c r="A34" s="273"/>
      <c r="B34" s="278"/>
      <c r="C34" s="278"/>
      <c r="D34" s="278"/>
      <c r="E34" s="278"/>
      <c r="F34" s="288"/>
      <c r="G34" s="416"/>
      <c r="H34" s="413"/>
      <c r="I34" s="289"/>
      <c r="J34" s="39"/>
      <c r="K34" s="7"/>
    </row>
    <row r="35" spans="1:11" x14ac:dyDescent="0.2">
      <c r="A35" s="273"/>
      <c r="B35" s="279"/>
      <c r="C35" s="279"/>
      <c r="D35" s="279"/>
      <c r="E35" s="279"/>
      <c r="F35" s="273"/>
      <c r="G35" s="417"/>
      <c r="H35" s="414"/>
      <c r="I35" s="273"/>
      <c r="J35" s="89"/>
      <c r="K35" s="7"/>
    </row>
    <row r="36" spans="1:11" ht="15" customHeight="1" x14ac:dyDescent="0.2">
      <c r="A36" s="273"/>
      <c r="B36" s="279"/>
      <c r="C36" s="279"/>
      <c r="D36" s="279"/>
      <c r="E36" s="279"/>
      <c r="F36" s="288" t="s">
        <v>1068</v>
      </c>
      <c r="G36" s="337" t="s">
        <v>1901</v>
      </c>
      <c r="H36" s="412" t="s">
        <v>507</v>
      </c>
      <c r="I36" s="337" t="s">
        <v>3138</v>
      </c>
      <c r="J36" s="26"/>
      <c r="K36" s="7"/>
    </row>
    <row r="37" spans="1:11" ht="15" customHeight="1" x14ac:dyDescent="0.2">
      <c r="A37" s="273"/>
      <c r="B37" s="279"/>
      <c r="C37" s="279"/>
      <c r="D37" s="279"/>
      <c r="E37" s="279"/>
      <c r="F37" s="288"/>
      <c r="G37" s="272"/>
      <c r="H37" s="413"/>
      <c r="I37" s="272"/>
      <c r="J37" s="26"/>
      <c r="K37" s="7"/>
    </row>
    <row r="38" spans="1:11" x14ac:dyDescent="0.2">
      <c r="A38" s="273"/>
      <c r="B38" s="279"/>
      <c r="C38" s="279"/>
      <c r="D38" s="279"/>
      <c r="E38" s="279"/>
      <c r="F38" s="273"/>
      <c r="G38" s="273"/>
      <c r="H38" s="414"/>
      <c r="I38" s="273"/>
      <c r="J38" s="89"/>
      <c r="K38" s="7"/>
    </row>
    <row r="39" spans="1:11" x14ac:dyDescent="0.2">
      <c r="A39" s="273"/>
      <c r="B39" s="279"/>
      <c r="C39" s="279"/>
      <c r="D39" s="279"/>
      <c r="E39" s="279"/>
      <c r="F39" s="288" t="s">
        <v>1069</v>
      </c>
      <c r="G39" s="337" t="s">
        <v>1902</v>
      </c>
      <c r="H39" s="412" t="s">
        <v>507</v>
      </c>
      <c r="I39" s="337" t="s">
        <v>3138</v>
      </c>
      <c r="J39" s="26"/>
      <c r="K39" s="7"/>
    </row>
    <row r="40" spans="1:11" x14ac:dyDescent="0.2">
      <c r="A40" s="273"/>
      <c r="B40" s="279"/>
      <c r="C40" s="279"/>
      <c r="D40" s="279"/>
      <c r="E40" s="279"/>
      <c r="F40" s="288"/>
      <c r="G40" s="272"/>
      <c r="H40" s="413"/>
      <c r="I40" s="272"/>
      <c r="J40" s="26"/>
      <c r="K40" s="7"/>
    </row>
    <row r="41" spans="1:11" x14ac:dyDescent="0.2">
      <c r="A41" s="273"/>
      <c r="B41" s="279"/>
      <c r="C41" s="279"/>
      <c r="D41" s="279"/>
      <c r="E41" s="279"/>
      <c r="F41" s="273"/>
      <c r="G41" s="273"/>
      <c r="H41" s="414"/>
      <c r="I41" s="273"/>
      <c r="J41" s="89"/>
      <c r="K41" s="7"/>
    </row>
    <row r="42" spans="1:11" x14ac:dyDescent="0.2">
      <c r="A42" s="273"/>
      <c r="B42" s="279"/>
      <c r="C42" s="279"/>
      <c r="D42" s="279"/>
      <c r="E42" s="279"/>
      <c r="F42" s="288" t="s">
        <v>1070</v>
      </c>
      <c r="G42" s="337" t="s">
        <v>1903</v>
      </c>
      <c r="H42" s="412" t="s">
        <v>507</v>
      </c>
      <c r="I42" s="337" t="s">
        <v>3138</v>
      </c>
      <c r="J42" s="39"/>
      <c r="K42" s="7"/>
    </row>
    <row r="43" spans="1:11" x14ac:dyDescent="0.2">
      <c r="A43" s="273"/>
      <c r="B43" s="279"/>
      <c r="C43" s="279"/>
      <c r="D43" s="279"/>
      <c r="E43" s="279"/>
      <c r="F43" s="288"/>
      <c r="G43" s="289"/>
      <c r="H43" s="413"/>
      <c r="I43" s="272"/>
      <c r="J43" s="39"/>
      <c r="K43" s="7"/>
    </row>
    <row r="44" spans="1:11" x14ac:dyDescent="0.2">
      <c r="A44" s="273"/>
      <c r="B44" s="279"/>
      <c r="C44" s="279"/>
      <c r="D44" s="279"/>
      <c r="E44" s="279"/>
      <c r="F44" s="273"/>
      <c r="G44" s="273"/>
      <c r="H44" s="414"/>
      <c r="I44" s="273"/>
      <c r="J44" s="89"/>
      <c r="K44" s="37"/>
    </row>
    <row r="45" spans="1:11" x14ac:dyDescent="0.2">
      <c r="A45" s="273"/>
      <c r="B45" s="279"/>
      <c r="C45" s="279"/>
      <c r="D45" s="279"/>
      <c r="E45" s="279"/>
      <c r="F45" s="288" t="s">
        <v>1071</v>
      </c>
      <c r="G45" s="337" t="s">
        <v>1904</v>
      </c>
      <c r="H45" s="412" t="s">
        <v>507</v>
      </c>
      <c r="I45" s="337" t="s">
        <v>3138</v>
      </c>
      <c r="J45" s="26"/>
      <c r="K45" s="37"/>
    </row>
    <row r="46" spans="1:11" x14ac:dyDescent="0.2">
      <c r="A46" s="273"/>
      <c r="B46" s="279"/>
      <c r="C46" s="279"/>
      <c r="D46" s="279"/>
      <c r="E46" s="279"/>
      <c r="F46" s="288"/>
      <c r="G46" s="272"/>
      <c r="H46" s="413"/>
      <c r="I46" s="272"/>
      <c r="J46" s="26"/>
      <c r="K46" s="37"/>
    </row>
    <row r="47" spans="1:11" x14ac:dyDescent="0.2">
      <c r="A47" s="273"/>
      <c r="B47" s="279"/>
      <c r="C47" s="279"/>
      <c r="D47" s="279"/>
      <c r="E47" s="279"/>
      <c r="F47" s="273"/>
      <c r="G47" s="273"/>
      <c r="H47" s="414"/>
      <c r="I47" s="273"/>
      <c r="J47" s="89"/>
      <c r="K47" s="37"/>
    </row>
    <row r="48" spans="1:11" ht="15" customHeight="1" x14ac:dyDescent="0.25">
      <c r="A48" s="273"/>
      <c r="B48" s="279"/>
      <c r="C48" s="279"/>
      <c r="D48" s="279"/>
      <c r="E48" s="279"/>
      <c r="F48" s="288" t="s">
        <v>1072</v>
      </c>
      <c r="G48" s="337" t="s">
        <v>1905</v>
      </c>
      <c r="H48" s="412" t="s">
        <v>507</v>
      </c>
      <c r="I48" s="337" t="s">
        <v>3138</v>
      </c>
      <c r="J48" s="26"/>
      <c r="K48" s="104"/>
    </row>
    <row r="49" spans="1:11" ht="15" customHeight="1" x14ac:dyDescent="0.25">
      <c r="A49" s="273"/>
      <c r="B49" s="279"/>
      <c r="C49" s="279"/>
      <c r="D49" s="279"/>
      <c r="E49" s="279"/>
      <c r="F49" s="288"/>
      <c r="G49" s="272"/>
      <c r="H49" s="413"/>
      <c r="I49" s="272"/>
      <c r="J49" s="26"/>
      <c r="K49" s="104"/>
    </row>
    <row r="50" spans="1:11" x14ac:dyDescent="0.25">
      <c r="A50" s="273"/>
      <c r="B50" s="279"/>
      <c r="C50" s="279"/>
      <c r="D50" s="279"/>
      <c r="E50" s="279"/>
      <c r="F50" s="273"/>
      <c r="G50" s="273"/>
      <c r="H50" s="414"/>
      <c r="I50" s="273"/>
      <c r="J50" s="89"/>
      <c r="K50" s="33"/>
    </row>
    <row r="51" spans="1:11" x14ac:dyDescent="0.25">
      <c r="A51" s="276"/>
      <c r="B51" s="280" t="s">
        <v>1073</v>
      </c>
      <c r="C51" s="280" t="s">
        <v>613</v>
      </c>
      <c r="D51" s="280"/>
      <c r="E51" s="280"/>
      <c r="F51" s="288" t="s">
        <v>1074</v>
      </c>
      <c r="G51" s="415" t="s">
        <v>1878</v>
      </c>
      <c r="H51" s="412" t="s">
        <v>515</v>
      </c>
      <c r="I51" s="337" t="s">
        <v>3138</v>
      </c>
      <c r="J51" s="26"/>
      <c r="K51" s="33"/>
    </row>
    <row r="52" spans="1:11" x14ac:dyDescent="0.25">
      <c r="A52" s="276"/>
      <c r="B52" s="280"/>
      <c r="C52" s="280"/>
      <c r="D52" s="280"/>
      <c r="E52" s="280"/>
      <c r="F52" s="288"/>
      <c r="G52" s="416"/>
      <c r="H52" s="413"/>
      <c r="I52" s="272"/>
      <c r="J52" s="26"/>
      <c r="K52" s="33"/>
    </row>
    <row r="53" spans="1:11" x14ac:dyDescent="0.25">
      <c r="A53" s="276"/>
      <c r="B53" s="281"/>
      <c r="C53" s="281"/>
      <c r="D53" s="281"/>
      <c r="E53" s="281"/>
      <c r="F53" s="273"/>
      <c r="G53" s="417"/>
      <c r="H53" s="414"/>
      <c r="I53" s="273"/>
      <c r="J53" s="89"/>
      <c r="K53" s="33"/>
    </row>
    <row r="54" spans="1:11" ht="15" customHeight="1" x14ac:dyDescent="0.25">
      <c r="A54" s="276"/>
      <c r="B54" s="281"/>
      <c r="C54" s="281"/>
      <c r="D54" s="281"/>
      <c r="E54" s="281"/>
      <c r="F54" s="288" t="s">
        <v>1075</v>
      </c>
      <c r="G54" s="337" t="s">
        <v>1879</v>
      </c>
      <c r="H54" s="412" t="s">
        <v>515</v>
      </c>
      <c r="I54" s="337" t="s">
        <v>3138</v>
      </c>
      <c r="J54" s="26"/>
      <c r="K54" s="33"/>
    </row>
    <row r="55" spans="1:11" ht="15" customHeight="1" x14ac:dyDescent="0.25">
      <c r="A55" s="276"/>
      <c r="B55" s="281"/>
      <c r="C55" s="281"/>
      <c r="D55" s="281"/>
      <c r="E55" s="281"/>
      <c r="F55" s="288"/>
      <c r="G55" s="272"/>
      <c r="H55" s="413"/>
      <c r="I55" s="272"/>
      <c r="J55" s="26"/>
      <c r="K55" s="33"/>
    </row>
    <row r="56" spans="1:11" x14ac:dyDescent="0.25">
      <c r="A56" s="276"/>
      <c r="B56" s="281"/>
      <c r="C56" s="281"/>
      <c r="D56" s="281"/>
      <c r="E56" s="281"/>
      <c r="F56" s="273"/>
      <c r="G56" s="273"/>
      <c r="H56" s="414"/>
      <c r="I56" s="273"/>
      <c r="J56" s="89"/>
      <c r="K56" s="33"/>
    </row>
    <row r="57" spans="1:11" ht="15" customHeight="1" x14ac:dyDescent="0.25">
      <c r="A57" s="276"/>
      <c r="B57" s="281"/>
      <c r="C57" s="281"/>
      <c r="D57" s="281"/>
      <c r="E57" s="281"/>
      <c r="F57" s="288" t="s">
        <v>1076</v>
      </c>
      <c r="G57" s="337" t="s">
        <v>1885</v>
      </c>
      <c r="H57" s="412" t="s">
        <v>515</v>
      </c>
      <c r="I57" s="337" t="s">
        <v>3138</v>
      </c>
      <c r="J57" s="26"/>
      <c r="K57" s="33"/>
    </row>
    <row r="58" spans="1:11" ht="15" customHeight="1" x14ac:dyDescent="0.25">
      <c r="A58" s="276"/>
      <c r="B58" s="281"/>
      <c r="C58" s="281"/>
      <c r="D58" s="281"/>
      <c r="E58" s="281"/>
      <c r="F58" s="288"/>
      <c r="G58" s="272"/>
      <c r="H58" s="413"/>
      <c r="I58" s="272"/>
      <c r="J58" s="26"/>
      <c r="K58" s="33"/>
    </row>
    <row r="59" spans="1:11" x14ac:dyDescent="0.25">
      <c r="A59" s="276"/>
      <c r="B59" s="281"/>
      <c r="C59" s="281"/>
      <c r="D59" s="281"/>
      <c r="E59" s="281"/>
      <c r="F59" s="273"/>
      <c r="G59" s="273"/>
      <c r="H59" s="414"/>
      <c r="I59" s="273"/>
      <c r="J59" s="89"/>
      <c r="K59" s="33"/>
    </row>
    <row r="60" spans="1:11" ht="15" customHeight="1" x14ac:dyDescent="0.25">
      <c r="A60" s="276"/>
      <c r="B60" s="281"/>
      <c r="C60" s="281"/>
      <c r="D60" s="281"/>
      <c r="E60" s="281"/>
      <c r="F60" s="288" t="s">
        <v>1077</v>
      </c>
      <c r="G60" s="337" t="s">
        <v>3140</v>
      </c>
      <c r="H60" s="412" t="s">
        <v>507</v>
      </c>
      <c r="I60" s="337" t="s">
        <v>3138</v>
      </c>
      <c r="J60" s="26"/>
      <c r="K60" s="33"/>
    </row>
    <row r="61" spans="1:11" x14ac:dyDescent="0.25">
      <c r="A61" s="276"/>
      <c r="B61" s="281"/>
      <c r="C61" s="281"/>
      <c r="D61" s="281"/>
      <c r="E61" s="281"/>
      <c r="F61" s="288"/>
      <c r="G61" s="272"/>
      <c r="H61" s="413"/>
      <c r="I61" s="272"/>
      <c r="J61" s="26"/>
      <c r="K61" s="33"/>
    </row>
    <row r="62" spans="1:11" x14ac:dyDescent="0.25">
      <c r="A62" s="276"/>
      <c r="B62" s="281"/>
      <c r="C62" s="281"/>
      <c r="D62" s="281"/>
      <c r="E62" s="281"/>
      <c r="F62" s="273"/>
      <c r="G62" s="273"/>
      <c r="H62" s="414"/>
      <c r="I62" s="273"/>
      <c r="J62" s="89"/>
      <c r="K62" s="33"/>
    </row>
    <row r="63" spans="1:11" ht="15" customHeight="1" x14ac:dyDescent="0.25">
      <c r="A63" s="276"/>
      <c r="B63" s="281"/>
      <c r="C63" s="281"/>
      <c r="D63" s="281"/>
      <c r="E63" s="281"/>
      <c r="F63" s="288" t="s">
        <v>1078</v>
      </c>
      <c r="G63" s="337"/>
      <c r="H63" s="412"/>
      <c r="I63" s="272"/>
      <c r="J63" s="26"/>
      <c r="K63" s="33"/>
    </row>
    <row r="64" spans="1:11" x14ac:dyDescent="0.25">
      <c r="A64" s="276"/>
      <c r="B64" s="281"/>
      <c r="C64" s="281"/>
      <c r="D64" s="281"/>
      <c r="E64" s="281"/>
      <c r="F64" s="288"/>
      <c r="G64" s="272"/>
      <c r="H64" s="413"/>
      <c r="I64" s="272"/>
      <c r="J64" s="26"/>
      <c r="K64" s="33"/>
    </row>
    <row r="65" spans="1:11" x14ac:dyDescent="0.25">
      <c r="A65" s="276"/>
      <c r="B65" s="281"/>
      <c r="C65" s="281"/>
      <c r="D65" s="281"/>
      <c r="E65" s="281"/>
      <c r="F65" s="273"/>
      <c r="G65" s="273"/>
      <c r="H65" s="414"/>
      <c r="I65" s="273"/>
      <c r="J65" s="89"/>
      <c r="K65" s="33"/>
    </row>
    <row r="66" spans="1:11" ht="15" customHeight="1" x14ac:dyDescent="0.25">
      <c r="A66" s="276"/>
      <c r="B66" s="281"/>
      <c r="C66" s="281"/>
      <c r="D66" s="281"/>
      <c r="E66" s="281"/>
      <c r="F66" s="418" t="s">
        <v>1079</v>
      </c>
      <c r="G66" s="415"/>
      <c r="H66" s="412"/>
      <c r="I66" s="412"/>
      <c r="J66" s="26"/>
      <c r="K66" s="33"/>
    </row>
    <row r="67" spans="1:11" ht="15" customHeight="1" x14ac:dyDescent="0.25">
      <c r="A67" s="276"/>
      <c r="B67" s="281"/>
      <c r="C67" s="281"/>
      <c r="D67" s="281"/>
      <c r="E67" s="281"/>
      <c r="F67" s="419"/>
      <c r="G67" s="416"/>
      <c r="H67" s="413"/>
      <c r="I67" s="413"/>
      <c r="J67" s="26"/>
      <c r="K67" s="33"/>
    </row>
    <row r="68" spans="1:11" x14ac:dyDescent="0.25">
      <c r="A68" s="276"/>
      <c r="B68" s="281"/>
      <c r="C68" s="281"/>
      <c r="D68" s="281"/>
      <c r="E68" s="281"/>
      <c r="F68" s="420"/>
      <c r="G68" s="417"/>
      <c r="H68" s="414"/>
      <c r="I68" s="414"/>
      <c r="J68" s="89"/>
      <c r="K68" s="33"/>
    </row>
    <row r="69" spans="1:11" ht="15" customHeight="1" x14ac:dyDescent="0.25">
      <c r="A69" s="276"/>
      <c r="B69" s="281"/>
      <c r="C69" s="281"/>
      <c r="D69" s="281"/>
      <c r="E69" s="281"/>
      <c r="F69" s="418" t="s">
        <v>1880</v>
      </c>
      <c r="G69" s="415"/>
      <c r="H69" s="412"/>
      <c r="I69" s="412"/>
      <c r="J69" s="26"/>
      <c r="K69" s="33"/>
    </row>
    <row r="70" spans="1:11" x14ac:dyDescent="0.25">
      <c r="A70" s="276"/>
      <c r="B70" s="281"/>
      <c r="C70" s="281"/>
      <c r="D70" s="281"/>
      <c r="E70" s="281"/>
      <c r="F70" s="419"/>
      <c r="G70" s="416"/>
      <c r="H70" s="413"/>
      <c r="I70" s="413"/>
      <c r="J70" s="26"/>
      <c r="K70" s="33"/>
    </row>
    <row r="71" spans="1:11" x14ac:dyDescent="0.25">
      <c r="A71" s="276"/>
      <c r="B71" s="281"/>
      <c r="C71" s="281"/>
      <c r="D71" s="281"/>
      <c r="E71" s="281"/>
      <c r="F71" s="420"/>
      <c r="G71" s="417"/>
      <c r="H71" s="414"/>
      <c r="I71" s="414"/>
      <c r="J71" s="89"/>
      <c r="K71" s="33"/>
    </row>
    <row r="72" spans="1:11" x14ac:dyDescent="0.25">
      <c r="A72" s="276"/>
      <c r="B72" s="282" t="s">
        <v>1080</v>
      </c>
      <c r="C72" s="282" t="s">
        <v>616</v>
      </c>
      <c r="D72" s="282"/>
      <c r="E72" s="282"/>
      <c r="F72" s="288" t="s">
        <v>1081</v>
      </c>
      <c r="G72" s="337" t="s">
        <v>1882</v>
      </c>
      <c r="H72" s="412" t="s">
        <v>507</v>
      </c>
      <c r="I72" s="337" t="s">
        <v>3138</v>
      </c>
      <c r="J72" s="26"/>
      <c r="K72" s="33"/>
    </row>
    <row r="73" spans="1:11" x14ac:dyDescent="0.25">
      <c r="A73" s="276"/>
      <c r="B73" s="283"/>
      <c r="C73" s="283"/>
      <c r="D73" s="283"/>
      <c r="E73" s="283"/>
      <c r="F73" s="288"/>
      <c r="G73" s="289"/>
      <c r="H73" s="413"/>
      <c r="I73" s="272"/>
      <c r="J73" s="26"/>
      <c r="K73" s="33"/>
    </row>
    <row r="74" spans="1:11" x14ac:dyDescent="0.2">
      <c r="A74" s="276"/>
      <c r="B74" s="284"/>
      <c r="C74" s="284"/>
      <c r="D74" s="284"/>
      <c r="E74" s="284"/>
      <c r="F74" s="273"/>
      <c r="G74" s="273"/>
      <c r="H74" s="414"/>
      <c r="I74" s="273"/>
      <c r="J74" s="89"/>
      <c r="K74" s="34"/>
    </row>
    <row r="75" spans="1:11" x14ac:dyDescent="0.2">
      <c r="A75" s="276"/>
      <c r="B75" s="285"/>
      <c r="C75" s="285"/>
      <c r="D75" s="285"/>
      <c r="E75" s="285"/>
      <c r="F75" s="288" t="s">
        <v>1082</v>
      </c>
      <c r="G75" s="337" t="s">
        <v>1886</v>
      </c>
      <c r="H75" s="412" t="s">
        <v>507</v>
      </c>
      <c r="I75" s="337" t="s">
        <v>3138</v>
      </c>
      <c r="J75" s="26"/>
      <c r="K75" s="34"/>
    </row>
    <row r="76" spans="1:11" x14ac:dyDescent="0.2">
      <c r="A76" s="276"/>
      <c r="B76" s="285"/>
      <c r="C76" s="285"/>
      <c r="D76" s="285"/>
      <c r="E76" s="285"/>
      <c r="F76" s="288"/>
      <c r="G76" s="272"/>
      <c r="H76" s="413"/>
      <c r="I76" s="272"/>
      <c r="J76" s="26"/>
      <c r="K76" s="34"/>
    </row>
    <row r="77" spans="1:11" x14ac:dyDescent="0.2">
      <c r="A77" s="276"/>
      <c r="B77" s="285"/>
      <c r="C77" s="285"/>
      <c r="D77" s="285"/>
      <c r="E77" s="285"/>
      <c r="F77" s="273"/>
      <c r="G77" s="273"/>
      <c r="H77" s="414"/>
      <c r="I77" s="273"/>
      <c r="J77" s="89"/>
      <c r="K77" s="34"/>
    </row>
    <row r="78" spans="1:11" ht="16.350000000000001" customHeight="1" x14ac:dyDescent="0.2">
      <c r="A78" s="276"/>
      <c r="B78" s="285"/>
      <c r="C78" s="285"/>
      <c r="D78" s="285"/>
      <c r="E78" s="285"/>
      <c r="F78" s="288" t="s">
        <v>1083</v>
      </c>
      <c r="G78" s="337" t="s">
        <v>1881</v>
      </c>
      <c r="H78" s="412" t="s">
        <v>507</v>
      </c>
      <c r="I78" s="337" t="s">
        <v>3138</v>
      </c>
      <c r="J78" s="26"/>
      <c r="K78" s="34"/>
    </row>
    <row r="79" spans="1:11" ht="16.350000000000001" customHeight="1" x14ac:dyDescent="0.2">
      <c r="A79" s="276"/>
      <c r="B79" s="285"/>
      <c r="C79" s="285"/>
      <c r="D79" s="285"/>
      <c r="E79" s="285"/>
      <c r="F79" s="288"/>
      <c r="G79" s="272"/>
      <c r="H79" s="413"/>
      <c r="I79" s="272"/>
      <c r="J79" s="26"/>
      <c r="K79" s="34"/>
    </row>
    <row r="80" spans="1:11" x14ac:dyDescent="0.2">
      <c r="A80" s="276"/>
      <c r="B80" s="285"/>
      <c r="C80" s="285"/>
      <c r="D80" s="285"/>
      <c r="E80" s="285"/>
      <c r="F80" s="273"/>
      <c r="G80" s="273"/>
      <c r="H80" s="414"/>
      <c r="I80" s="273"/>
      <c r="J80" s="89"/>
      <c r="K80" s="34"/>
    </row>
    <row r="81" spans="1:11" ht="16.350000000000001" customHeight="1" x14ac:dyDescent="0.2">
      <c r="A81" s="276"/>
      <c r="B81" s="285"/>
      <c r="C81" s="285"/>
      <c r="D81" s="285"/>
      <c r="E81" s="285"/>
      <c r="F81" s="288" t="s">
        <v>1084</v>
      </c>
      <c r="G81" s="415" t="s">
        <v>1883</v>
      </c>
      <c r="H81" s="412" t="s">
        <v>507</v>
      </c>
      <c r="I81" s="337" t="s">
        <v>3138</v>
      </c>
      <c r="J81" s="26"/>
      <c r="K81" s="34"/>
    </row>
    <row r="82" spans="1:11" ht="16.350000000000001" customHeight="1" x14ac:dyDescent="0.2">
      <c r="A82" s="276"/>
      <c r="B82" s="285"/>
      <c r="C82" s="285"/>
      <c r="D82" s="285"/>
      <c r="E82" s="285"/>
      <c r="F82" s="288"/>
      <c r="G82" s="416"/>
      <c r="H82" s="413"/>
      <c r="I82" s="272"/>
      <c r="J82" s="26"/>
      <c r="K82" s="34"/>
    </row>
    <row r="83" spans="1:11" x14ac:dyDescent="0.2">
      <c r="A83" s="276"/>
      <c r="B83" s="285"/>
      <c r="C83" s="285"/>
      <c r="D83" s="285"/>
      <c r="E83" s="285"/>
      <c r="F83" s="273"/>
      <c r="G83" s="417"/>
      <c r="H83" s="414"/>
      <c r="I83" s="273"/>
      <c r="J83" s="89"/>
      <c r="K83" s="100"/>
    </row>
    <row r="84" spans="1:11" ht="16.350000000000001" customHeight="1" x14ac:dyDescent="0.2">
      <c r="A84" s="276"/>
      <c r="B84" s="285"/>
      <c r="C84" s="285"/>
      <c r="D84" s="285"/>
      <c r="E84" s="285"/>
      <c r="F84" s="288" t="s">
        <v>1085</v>
      </c>
      <c r="G84" s="415" t="s">
        <v>1884</v>
      </c>
      <c r="H84" s="412" t="s">
        <v>528</v>
      </c>
      <c r="I84" s="337" t="s">
        <v>3138</v>
      </c>
      <c r="J84" s="26"/>
      <c r="K84" s="100"/>
    </row>
    <row r="85" spans="1:11" ht="16.350000000000001" customHeight="1" x14ac:dyDescent="0.2">
      <c r="A85" s="276"/>
      <c r="B85" s="285"/>
      <c r="C85" s="285"/>
      <c r="D85" s="285"/>
      <c r="E85" s="285"/>
      <c r="F85" s="288"/>
      <c r="G85" s="416"/>
      <c r="H85" s="413"/>
      <c r="I85" s="272"/>
      <c r="J85" s="26"/>
      <c r="K85" s="100"/>
    </row>
    <row r="86" spans="1:11" x14ac:dyDescent="0.2">
      <c r="A86" s="276"/>
      <c r="B86" s="285"/>
      <c r="C86" s="285"/>
      <c r="D86" s="285"/>
      <c r="E86" s="285"/>
      <c r="F86" s="273"/>
      <c r="G86" s="417"/>
      <c r="H86" s="414"/>
      <c r="I86" s="273"/>
      <c r="J86" s="89"/>
      <c r="K86" s="37"/>
    </row>
    <row r="87" spans="1:11" ht="16.350000000000001" customHeight="1" x14ac:dyDescent="0.2">
      <c r="A87" s="276"/>
      <c r="B87" s="285"/>
      <c r="C87" s="285"/>
      <c r="D87" s="285"/>
      <c r="E87" s="285"/>
      <c r="F87" s="288" t="s">
        <v>1086</v>
      </c>
      <c r="H87" s="412"/>
      <c r="I87" s="337" t="s">
        <v>3114</v>
      </c>
      <c r="J87" s="26"/>
      <c r="K87" s="34"/>
    </row>
    <row r="88" spans="1:11" ht="16.350000000000001" customHeight="1" x14ac:dyDescent="0.2">
      <c r="A88" s="276"/>
      <c r="B88" s="285"/>
      <c r="C88" s="285"/>
      <c r="D88" s="285"/>
      <c r="E88" s="285"/>
      <c r="F88" s="288"/>
      <c r="G88" s="161" t="s">
        <v>3114</v>
      </c>
      <c r="H88" s="413"/>
      <c r="I88" s="272"/>
      <c r="J88" s="26"/>
      <c r="K88" s="34"/>
    </row>
    <row r="89" spans="1:11" x14ac:dyDescent="0.2">
      <c r="A89" s="276"/>
      <c r="B89" s="285"/>
      <c r="C89" s="285"/>
      <c r="D89" s="285"/>
      <c r="E89" s="285"/>
      <c r="F89" s="273"/>
      <c r="H89" s="414"/>
      <c r="I89" s="273"/>
      <c r="J89" s="89"/>
      <c r="K89" s="100"/>
    </row>
    <row r="90" spans="1:11" x14ac:dyDescent="0.25">
      <c r="A90" s="276"/>
      <c r="B90" s="282" t="s">
        <v>1087</v>
      </c>
      <c r="C90" s="347" t="s">
        <v>1887</v>
      </c>
      <c r="D90" s="282"/>
      <c r="E90" s="282"/>
      <c r="F90" s="288" t="s">
        <v>1088</v>
      </c>
      <c r="G90" s="337" t="s">
        <v>1888</v>
      </c>
      <c r="H90" s="412" t="s">
        <v>507</v>
      </c>
      <c r="I90" s="337" t="s">
        <v>3138</v>
      </c>
      <c r="J90" s="26"/>
      <c r="K90" s="33"/>
    </row>
    <row r="91" spans="1:11" x14ac:dyDescent="0.25">
      <c r="A91" s="276"/>
      <c r="B91" s="283"/>
      <c r="C91" s="283"/>
      <c r="D91" s="283"/>
      <c r="E91" s="283"/>
      <c r="F91" s="288"/>
      <c r="G91" s="272"/>
      <c r="H91" s="413"/>
      <c r="I91" s="272"/>
      <c r="J91" s="26"/>
      <c r="K91" s="33"/>
    </row>
    <row r="92" spans="1:11" x14ac:dyDescent="0.2">
      <c r="A92" s="276"/>
      <c r="B92" s="284"/>
      <c r="C92" s="284"/>
      <c r="D92" s="284"/>
      <c r="E92" s="284"/>
      <c r="F92" s="273"/>
      <c r="G92" s="273"/>
      <c r="H92" s="414"/>
      <c r="I92" s="273"/>
      <c r="J92" s="89"/>
      <c r="K92" s="34"/>
    </row>
    <row r="93" spans="1:11" ht="15" customHeight="1" x14ac:dyDescent="0.2">
      <c r="A93" s="276"/>
      <c r="B93" s="285"/>
      <c r="C93" s="285"/>
      <c r="D93" s="285"/>
      <c r="E93" s="285"/>
      <c r="F93" s="288" t="s">
        <v>1089</v>
      </c>
      <c r="G93" s="337" t="s">
        <v>1889</v>
      </c>
      <c r="H93" s="412" t="s">
        <v>515</v>
      </c>
      <c r="I93" s="337" t="s">
        <v>3138</v>
      </c>
      <c r="J93" s="26"/>
      <c r="K93" s="34"/>
    </row>
    <row r="94" spans="1:11" x14ac:dyDescent="0.2">
      <c r="A94" s="276"/>
      <c r="B94" s="285"/>
      <c r="C94" s="285"/>
      <c r="D94" s="285"/>
      <c r="E94" s="285"/>
      <c r="F94" s="288"/>
      <c r="G94" s="272"/>
      <c r="H94" s="413"/>
      <c r="I94" s="272"/>
      <c r="J94" s="26"/>
      <c r="K94" s="34"/>
    </row>
    <row r="95" spans="1:11" x14ac:dyDescent="0.2">
      <c r="A95" s="276"/>
      <c r="B95" s="285"/>
      <c r="C95" s="285"/>
      <c r="D95" s="285"/>
      <c r="E95" s="285"/>
      <c r="F95" s="273"/>
      <c r="G95" s="273"/>
      <c r="H95" s="414"/>
      <c r="I95" s="273"/>
      <c r="J95" s="89"/>
      <c r="K95" s="34"/>
    </row>
    <row r="96" spans="1:11" ht="16.350000000000001" customHeight="1" x14ac:dyDescent="0.2">
      <c r="A96" s="276"/>
      <c r="B96" s="285"/>
      <c r="C96" s="285"/>
      <c r="D96" s="285"/>
      <c r="E96" s="285"/>
      <c r="F96" s="288" t="s">
        <v>1090</v>
      </c>
      <c r="G96" s="337" t="s">
        <v>1890</v>
      </c>
      <c r="H96" s="412" t="s">
        <v>507</v>
      </c>
      <c r="I96" s="337" t="s">
        <v>3138</v>
      </c>
      <c r="J96" s="26"/>
      <c r="K96" s="34"/>
    </row>
    <row r="97" spans="1:11" ht="16.350000000000001" customHeight="1" x14ac:dyDescent="0.2">
      <c r="A97" s="276"/>
      <c r="B97" s="285"/>
      <c r="C97" s="285"/>
      <c r="D97" s="285"/>
      <c r="E97" s="285"/>
      <c r="F97" s="288"/>
      <c r="G97" s="272"/>
      <c r="H97" s="413"/>
      <c r="I97" s="272"/>
      <c r="J97" s="26"/>
      <c r="K97" s="34"/>
    </row>
    <row r="98" spans="1:11" x14ac:dyDescent="0.2">
      <c r="A98" s="276"/>
      <c r="B98" s="285"/>
      <c r="C98" s="285"/>
      <c r="D98" s="285"/>
      <c r="E98" s="285"/>
      <c r="F98" s="273"/>
      <c r="G98" s="273"/>
      <c r="H98" s="414"/>
      <c r="I98" s="273"/>
      <c r="J98" s="89"/>
      <c r="K98" s="34"/>
    </row>
    <row r="99" spans="1:11" ht="16.350000000000001" customHeight="1" x14ac:dyDescent="0.2">
      <c r="A99" s="276"/>
      <c r="B99" s="285"/>
      <c r="C99" s="285"/>
      <c r="D99" s="285"/>
      <c r="E99" s="285"/>
      <c r="F99" s="288" t="s">
        <v>1091</v>
      </c>
      <c r="G99" s="337" t="s">
        <v>1891</v>
      </c>
      <c r="H99" s="412" t="s">
        <v>515</v>
      </c>
      <c r="I99" s="337" t="s">
        <v>3138</v>
      </c>
      <c r="J99" s="26"/>
      <c r="K99" s="34"/>
    </row>
    <row r="100" spans="1:11" ht="16.350000000000001" customHeight="1" x14ac:dyDescent="0.2">
      <c r="A100" s="276"/>
      <c r="B100" s="285"/>
      <c r="C100" s="285"/>
      <c r="D100" s="285"/>
      <c r="E100" s="285"/>
      <c r="F100" s="288"/>
      <c r="G100" s="272"/>
      <c r="H100" s="413"/>
      <c r="I100" s="272"/>
      <c r="J100" s="26"/>
      <c r="K100" s="34"/>
    </row>
    <row r="101" spans="1:11" x14ac:dyDescent="0.2">
      <c r="A101" s="276"/>
      <c r="B101" s="285"/>
      <c r="C101" s="285"/>
      <c r="D101" s="285"/>
      <c r="E101" s="285"/>
      <c r="F101" s="273"/>
      <c r="G101" s="273"/>
      <c r="H101" s="414"/>
      <c r="I101" s="273"/>
      <c r="J101" s="89"/>
      <c r="K101" s="100"/>
    </row>
    <row r="102" spans="1:11" ht="16.350000000000001" customHeight="1" x14ac:dyDescent="0.2">
      <c r="A102" s="276"/>
      <c r="B102" s="285"/>
      <c r="C102" s="285"/>
      <c r="D102" s="285"/>
      <c r="E102" s="285"/>
      <c r="F102" s="288" t="s">
        <v>1094</v>
      </c>
      <c r="G102" s="337" t="s">
        <v>1892</v>
      </c>
      <c r="H102" s="412" t="s">
        <v>507</v>
      </c>
      <c r="I102" s="337" t="s">
        <v>3138</v>
      </c>
      <c r="J102" s="26"/>
      <c r="K102" s="100"/>
    </row>
    <row r="103" spans="1:11" ht="16.350000000000001" customHeight="1" x14ac:dyDescent="0.2">
      <c r="A103" s="276"/>
      <c r="B103" s="285"/>
      <c r="C103" s="285"/>
      <c r="D103" s="285"/>
      <c r="E103" s="285"/>
      <c r="F103" s="288"/>
      <c r="G103" s="272"/>
      <c r="H103" s="413"/>
      <c r="I103" s="272"/>
      <c r="J103" s="26"/>
      <c r="K103" s="100"/>
    </row>
    <row r="104" spans="1:11" x14ac:dyDescent="0.2">
      <c r="A104" s="276"/>
      <c r="B104" s="285"/>
      <c r="C104" s="285"/>
      <c r="D104" s="285"/>
      <c r="E104" s="285"/>
      <c r="F104" s="273"/>
      <c r="G104" s="273"/>
      <c r="H104" s="414"/>
      <c r="I104" s="273"/>
      <c r="J104" s="89"/>
      <c r="K104" s="37"/>
    </row>
    <row r="105" spans="1:11" ht="16.350000000000001" customHeight="1" x14ac:dyDescent="0.2">
      <c r="A105" s="276"/>
      <c r="B105" s="285"/>
      <c r="C105" s="285"/>
      <c r="D105" s="285"/>
      <c r="E105" s="285"/>
      <c r="F105" s="288" t="s">
        <v>1095</v>
      </c>
      <c r="G105" s="272"/>
      <c r="H105" s="412"/>
      <c r="I105" s="272"/>
      <c r="J105" s="26"/>
      <c r="K105" s="34"/>
    </row>
    <row r="106" spans="1:11" ht="16.350000000000001" customHeight="1" x14ac:dyDescent="0.2">
      <c r="A106" s="276"/>
      <c r="B106" s="285"/>
      <c r="C106" s="285"/>
      <c r="D106" s="285"/>
      <c r="E106" s="285"/>
      <c r="F106" s="288"/>
      <c r="G106" s="272"/>
      <c r="H106" s="413"/>
      <c r="I106" s="272"/>
      <c r="J106" s="26"/>
      <c r="K106" s="34"/>
    </row>
    <row r="107" spans="1:11" x14ac:dyDescent="0.2">
      <c r="A107" s="276"/>
      <c r="B107" s="285"/>
      <c r="C107" s="285"/>
      <c r="D107" s="285"/>
      <c r="E107" s="285"/>
      <c r="F107" s="273"/>
      <c r="G107" s="273"/>
      <c r="H107" s="414"/>
      <c r="I107" s="273"/>
      <c r="J107" s="89"/>
      <c r="K107" s="100"/>
    </row>
    <row r="108" spans="1:11" x14ac:dyDescent="0.25">
      <c r="A108" s="276"/>
      <c r="B108" s="282" t="s">
        <v>1092</v>
      </c>
      <c r="C108" s="347" t="s">
        <v>1899</v>
      </c>
      <c r="D108" s="282"/>
      <c r="E108" s="282"/>
      <c r="F108" s="288" t="s">
        <v>1096</v>
      </c>
      <c r="G108" s="337" t="s">
        <v>1893</v>
      </c>
      <c r="H108" s="412" t="s">
        <v>515</v>
      </c>
      <c r="I108" s="337" t="s">
        <v>3138</v>
      </c>
      <c r="J108" s="26"/>
      <c r="K108" s="33"/>
    </row>
    <row r="109" spans="1:11" x14ac:dyDescent="0.25">
      <c r="A109" s="276"/>
      <c r="B109" s="283"/>
      <c r="C109" s="283"/>
      <c r="D109" s="283"/>
      <c r="E109" s="283"/>
      <c r="F109" s="288"/>
      <c r="G109" s="272"/>
      <c r="H109" s="413"/>
      <c r="I109" s="272"/>
      <c r="J109" s="26"/>
      <c r="K109" s="33"/>
    </row>
    <row r="110" spans="1:11" x14ac:dyDescent="0.2">
      <c r="A110" s="276"/>
      <c r="B110" s="284"/>
      <c r="C110" s="284"/>
      <c r="D110" s="284"/>
      <c r="E110" s="284"/>
      <c r="F110" s="273"/>
      <c r="G110" s="273"/>
      <c r="H110" s="414"/>
      <c r="I110" s="273"/>
      <c r="J110" s="89"/>
      <c r="K110" s="34"/>
    </row>
    <row r="111" spans="1:11" ht="15" customHeight="1" x14ac:dyDescent="0.2">
      <c r="A111" s="276"/>
      <c r="B111" s="285"/>
      <c r="C111" s="285"/>
      <c r="D111" s="285"/>
      <c r="E111" s="285"/>
      <c r="F111" s="288" t="s">
        <v>1097</v>
      </c>
      <c r="G111" s="337" t="s">
        <v>1894</v>
      </c>
      <c r="H111" s="412" t="s">
        <v>515</v>
      </c>
      <c r="I111" s="337" t="s">
        <v>3138</v>
      </c>
      <c r="J111" s="26"/>
      <c r="K111" s="34"/>
    </row>
    <row r="112" spans="1:11" x14ac:dyDescent="0.2">
      <c r="A112" s="276"/>
      <c r="B112" s="285"/>
      <c r="C112" s="285"/>
      <c r="D112" s="285"/>
      <c r="E112" s="285"/>
      <c r="F112" s="288"/>
      <c r="G112" s="272"/>
      <c r="H112" s="413"/>
      <c r="I112" s="272"/>
      <c r="J112" s="26"/>
      <c r="K112" s="34"/>
    </row>
    <row r="113" spans="1:11" x14ac:dyDescent="0.2">
      <c r="A113" s="276"/>
      <c r="B113" s="285"/>
      <c r="C113" s="285"/>
      <c r="D113" s="285"/>
      <c r="E113" s="285"/>
      <c r="F113" s="273"/>
      <c r="G113" s="273"/>
      <c r="H113" s="414"/>
      <c r="I113" s="273"/>
      <c r="J113" s="89"/>
      <c r="K113" s="34"/>
    </row>
    <row r="114" spans="1:11" ht="16.350000000000001" customHeight="1" x14ac:dyDescent="0.2">
      <c r="A114" s="276"/>
      <c r="B114" s="285"/>
      <c r="C114" s="285"/>
      <c r="D114" s="285"/>
      <c r="E114" s="285"/>
      <c r="F114" s="288" t="s">
        <v>1098</v>
      </c>
      <c r="G114" s="337" t="s">
        <v>1895</v>
      </c>
      <c r="H114" s="412" t="s">
        <v>515</v>
      </c>
      <c r="I114" s="337" t="s">
        <v>3138</v>
      </c>
      <c r="J114" s="26"/>
      <c r="K114" s="34"/>
    </row>
    <row r="115" spans="1:11" ht="16.350000000000001" customHeight="1" x14ac:dyDescent="0.2">
      <c r="A115" s="276"/>
      <c r="B115" s="285"/>
      <c r="C115" s="285"/>
      <c r="D115" s="285"/>
      <c r="E115" s="285"/>
      <c r="F115" s="288"/>
      <c r="G115" s="272"/>
      <c r="H115" s="413"/>
      <c r="I115" s="272"/>
      <c r="J115" s="26"/>
      <c r="K115" s="34"/>
    </row>
    <row r="116" spans="1:11" x14ac:dyDescent="0.2">
      <c r="A116" s="276"/>
      <c r="B116" s="285"/>
      <c r="C116" s="285"/>
      <c r="D116" s="285"/>
      <c r="E116" s="285"/>
      <c r="F116" s="273"/>
      <c r="G116" s="273"/>
      <c r="H116" s="414"/>
      <c r="I116" s="273"/>
      <c r="J116" s="89"/>
      <c r="K116" s="34"/>
    </row>
    <row r="117" spans="1:11" ht="16.350000000000001" customHeight="1" x14ac:dyDescent="0.2">
      <c r="A117" s="276"/>
      <c r="B117" s="285"/>
      <c r="C117" s="285"/>
      <c r="D117" s="285"/>
      <c r="E117" s="285"/>
      <c r="F117" s="288" t="s">
        <v>1099</v>
      </c>
      <c r="G117" s="337" t="s">
        <v>1897</v>
      </c>
      <c r="H117" s="412" t="s">
        <v>515</v>
      </c>
      <c r="I117" s="337" t="s">
        <v>3138</v>
      </c>
      <c r="J117" s="26"/>
      <c r="K117" s="34"/>
    </row>
    <row r="118" spans="1:11" ht="16.350000000000001" customHeight="1" x14ac:dyDescent="0.2">
      <c r="A118" s="276"/>
      <c r="B118" s="285"/>
      <c r="C118" s="285"/>
      <c r="D118" s="285"/>
      <c r="E118" s="285"/>
      <c r="F118" s="288"/>
      <c r="G118" s="272"/>
      <c r="H118" s="413"/>
      <c r="I118" s="272"/>
      <c r="J118" s="26"/>
      <c r="K118" s="34"/>
    </row>
    <row r="119" spans="1:11" x14ac:dyDescent="0.2">
      <c r="A119" s="276"/>
      <c r="B119" s="285"/>
      <c r="C119" s="285"/>
      <c r="D119" s="285"/>
      <c r="E119" s="285"/>
      <c r="F119" s="273"/>
      <c r="G119" s="273"/>
      <c r="H119" s="414"/>
      <c r="I119" s="273"/>
      <c r="J119" s="89"/>
      <c r="K119" s="100"/>
    </row>
    <row r="120" spans="1:11" ht="16.350000000000001" customHeight="1" x14ac:dyDescent="0.2">
      <c r="A120" s="276"/>
      <c r="B120" s="285"/>
      <c r="C120" s="285"/>
      <c r="D120" s="285"/>
      <c r="E120" s="285"/>
      <c r="F120" s="288" t="s">
        <v>1100</v>
      </c>
      <c r="G120" s="337" t="s">
        <v>3142</v>
      </c>
      <c r="H120" s="412" t="s">
        <v>507</v>
      </c>
      <c r="I120" s="337" t="s">
        <v>3138</v>
      </c>
      <c r="J120" s="26"/>
      <c r="K120" s="100"/>
    </row>
    <row r="121" spans="1:11" ht="16.350000000000001" customHeight="1" x14ac:dyDescent="0.2">
      <c r="A121" s="276"/>
      <c r="B121" s="285"/>
      <c r="C121" s="285"/>
      <c r="D121" s="285"/>
      <c r="E121" s="285"/>
      <c r="F121" s="288"/>
      <c r="G121" s="272"/>
      <c r="H121" s="413"/>
      <c r="I121" s="272"/>
      <c r="J121" s="26"/>
      <c r="K121" s="100"/>
    </row>
    <row r="122" spans="1:11" x14ac:dyDescent="0.2">
      <c r="A122" s="276"/>
      <c r="B122" s="285"/>
      <c r="C122" s="285"/>
      <c r="D122" s="285"/>
      <c r="E122" s="285"/>
      <c r="F122" s="273"/>
      <c r="G122" s="273"/>
      <c r="H122" s="414"/>
      <c r="I122" s="273"/>
      <c r="J122" s="89"/>
      <c r="K122" s="37"/>
    </row>
    <row r="123" spans="1:11" ht="16.350000000000001" customHeight="1" x14ac:dyDescent="0.2">
      <c r="A123" s="276"/>
      <c r="B123" s="285"/>
      <c r="C123" s="285"/>
      <c r="D123" s="285"/>
      <c r="E123" s="285"/>
      <c r="F123" s="288" t="s">
        <v>1101</v>
      </c>
      <c r="G123" s="337"/>
      <c r="H123" s="412"/>
      <c r="I123" s="272"/>
      <c r="J123" s="26"/>
      <c r="K123" s="34"/>
    </row>
    <row r="124" spans="1:11" ht="16.350000000000001" customHeight="1" x14ac:dyDescent="0.2">
      <c r="A124" s="276"/>
      <c r="B124" s="285"/>
      <c r="C124" s="285"/>
      <c r="D124" s="285"/>
      <c r="E124" s="285"/>
      <c r="F124" s="288"/>
      <c r="G124" s="272"/>
      <c r="H124" s="413"/>
      <c r="I124" s="272"/>
      <c r="J124" s="26"/>
      <c r="K124" s="34"/>
    </row>
    <row r="125" spans="1:11" x14ac:dyDescent="0.2">
      <c r="A125" s="276"/>
      <c r="B125" s="285"/>
      <c r="C125" s="285"/>
      <c r="D125" s="285"/>
      <c r="E125" s="285"/>
      <c r="F125" s="273"/>
      <c r="G125" s="273"/>
      <c r="H125" s="414"/>
      <c r="I125" s="273"/>
      <c r="J125" s="89"/>
      <c r="K125" s="100"/>
    </row>
    <row r="126" spans="1:11" ht="16.350000000000001" customHeight="1" x14ac:dyDescent="0.2">
      <c r="A126" s="276"/>
      <c r="B126" s="285"/>
      <c r="C126" s="285"/>
      <c r="D126" s="285"/>
      <c r="E126" s="285"/>
      <c r="F126" s="288" t="s">
        <v>1898</v>
      </c>
      <c r="G126" s="337"/>
      <c r="H126" s="412"/>
      <c r="I126" s="272"/>
      <c r="J126" s="26"/>
      <c r="K126" s="34"/>
    </row>
    <row r="127" spans="1:11" ht="16.350000000000001" customHeight="1" x14ac:dyDescent="0.2">
      <c r="A127" s="276"/>
      <c r="B127" s="285"/>
      <c r="C127" s="285"/>
      <c r="D127" s="285"/>
      <c r="E127" s="285"/>
      <c r="F127" s="288"/>
      <c r="G127" s="272"/>
      <c r="H127" s="413"/>
      <c r="I127" s="272"/>
      <c r="J127" s="26"/>
      <c r="K127" s="34"/>
    </row>
    <row r="128" spans="1:11" x14ac:dyDescent="0.2">
      <c r="A128" s="276"/>
      <c r="B128" s="285"/>
      <c r="C128" s="285"/>
      <c r="D128" s="285"/>
      <c r="E128" s="285"/>
      <c r="F128" s="273"/>
      <c r="G128" s="273"/>
      <c r="H128" s="414"/>
      <c r="I128" s="273"/>
      <c r="J128" s="89"/>
      <c r="K128" s="100"/>
    </row>
    <row r="129" spans="1:11" ht="15" customHeight="1" x14ac:dyDescent="0.25">
      <c r="A129" s="276"/>
      <c r="B129" s="282" t="s">
        <v>1093</v>
      </c>
      <c r="C129" s="282" t="s">
        <v>624</v>
      </c>
      <c r="D129" s="282"/>
      <c r="E129" s="282"/>
      <c r="F129" s="288" t="s">
        <v>1102</v>
      </c>
      <c r="G129" s="337" t="s">
        <v>1906</v>
      </c>
      <c r="H129" s="412" t="s">
        <v>505</v>
      </c>
      <c r="I129" s="337" t="s">
        <v>3138</v>
      </c>
      <c r="J129" s="26"/>
      <c r="K129" s="33"/>
    </row>
    <row r="130" spans="1:11" x14ac:dyDescent="0.25">
      <c r="A130" s="276"/>
      <c r="B130" s="283"/>
      <c r="C130" s="283"/>
      <c r="D130" s="283"/>
      <c r="E130" s="283"/>
      <c r="F130" s="288"/>
      <c r="G130" s="272"/>
      <c r="H130" s="413"/>
      <c r="I130" s="272"/>
      <c r="J130" s="26"/>
      <c r="K130" s="33"/>
    </row>
    <row r="131" spans="1:11" x14ac:dyDescent="0.2">
      <c r="A131" s="276"/>
      <c r="B131" s="284"/>
      <c r="C131" s="284"/>
      <c r="D131" s="284"/>
      <c r="E131" s="284"/>
      <c r="F131" s="273"/>
      <c r="G131" s="273"/>
      <c r="H131" s="414"/>
      <c r="I131" s="273"/>
      <c r="J131" s="89"/>
      <c r="K131" s="34"/>
    </row>
    <row r="132" spans="1:11" ht="15" customHeight="1" x14ac:dyDescent="0.2">
      <c r="A132" s="276"/>
      <c r="B132" s="285"/>
      <c r="C132" s="285"/>
      <c r="D132" s="285"/>
      <c r="E132" s="285"/>
      <c r="F132" s="288" t="s">
        <v>1103</v>
      </c>
      <c r="G132" s="337" t="s">
        <v>1896</v>
      </c>
      <c r="H132" s="412" t="s">
        <v>505</v>
      </c>
      <c r="I132" s="337" t="s">
        <v>3138</v>
      </c>
      <c r="J132" s="26"/>
      <c r="K132" s="34"/>
    </row>
    <row r="133" spans="1:11" x14ac:dyDescent="0.2">
      <c r="A133" s="276"/>
      <c r="B133" s="285"/>
      <c r="C133" s="285"/>
      <c r="D133" s="285"/>
      <c r="E133" s="285"/>
      <c r="F133" s="288"/>
      <c r="G133" s="272"/>
      <c r="H133" s="413"/>
      <c r="I133" s="272"/>
      <c r="J133" s="26"/>
      <c r="K133" s="34"/>
    </row>
    <row r="134" spans="1:11" x14ac:dyDescent="0.2">
      <c r="A134" s="276"/>
      <c r="B134" s="285"/>
      <c r="C134" s="285"/>
      <c r="D134" s="285"/>
      <c r="E134" s="285"/>
      <c r="F134" s="273"/>
      <c r="G134" s="273"/>
      <c r="H134" s="414"/>
      <c r="I134" s="273"/>
      <c r="J134" s="89"/>
      <c r="K134" s="34"/>
    </row>
    <row r="135" spans="1:11" ht="16.350000000000001" customHeight="1" x14ac:dyDescent="0.2">
      <c r="A135" s="276"/>
      <c r="B135" s="285"/>
      <c r="C135" s="285"/>
      <c r="D135" s="285"/>
      <c r="E135" s="285"/>
      <c r="F135" s="288" t="s">
        <v>1104</v>
      </c>
      <c r="G135" s="337" t="s">
        <v>1884</v>
      </c>
      <c r="H135" s="412" t="s">
        <v>505</v>
      </c>
      <c r="I135" s="337" t="s">
        <v>3138</v>
      </c>
      <c r="J135" s="26"/>
      <c r="K135" s="34"/>
    </row>
    <row r="136" spans="1:11" ht="16.350000000000001" customHeight="1" x14ac:dyDescent="0.2">
      <c r="A136" s="276"/>
      <c r="B136" s="285"/>
      <c r="C136" s="285"/>
      <c r="D136" s="285"/>
      <c r="E136" s="285"/>
      <c r="F136" s="288"/>
      <c r="G136" s="272"/>
      <c r="H136" s="413"/>
      <c r="I136" s="272"/>
      <c r="J136" s="26"/>
      <c r="K136" s="34"/>
    </row>
    <row r="137" spans="1:11" x14ac:dyDescent="0.2">
      <c r="A137" s="276"/>
      <c r="B137" s="285"/>
      <c r="C137" s="285"/>
      <c r="D137" s="285"/>
      <c r="E137" s="285"/>
      <c r="F137" s="273"/>
      <c r="G137" s="273"/>
      <c r="H137" s="414"/>
      <c r="I137" s="273"/>
      <c r="J137" s="89"/>
      <c r="K137" s="34"/>
    </row>
    <row r="138" spans="1:11" ht="16.350000000000001" customHeight="1" x14ac:dyDescent="0.2">
      <c r="A138" s="276"/>
      <c r="B138" s="285"/>
      <c r="C138" s="285"/>
      <c r="D138" s="285"/>
      <c r="E138" s="285"/>
      <c r="F138" s="288" t="s">
        <v>1105</v>
      </c>
      <c r="G138" s="337" t="s">
        <v>1907</v>
      </c>
      <c r="H138" s="412" t="s">
        <v>505</v>
      </c>
      <c r="I138" s="337" t="s">
        <v>3141</v>
      </c>
      <c r="J138" s="26"/>
      <c r="K138" s="34"/>
    </row>
    <row r="139" spans="1:11" ht="16.350000000000001" customHeight="1" x14ac:dyDescent="0.2">
      <c r="A139" s="276"/>
      <c r="B139" s="285"/>
      <c r="C139" s="285"/>
      <c r="D139" s="285"/>
      <c r="E139" s="285"/>
      <c r="F139" s="288"/>
      <c r="G139" s="272"/>
      <c r="H139" s="413"/>
      <c r="I139" s="272"/>
      <c r="J139" s="26"/>
      <c r="K139" s="34"/>
    </row>
    <row r="140" spans="1:11" x14ac:dyDescent="0.2">
      <c r="A140" s="276"/>
      <c r="B140" s="285"/>
      <c r="C140" s="285"/>
      <c r="D140" s="285"/>
      <c r="E140" s="285"/>
      <c r="F140" s="273"/>
      <c r="G140" s="273"/>
      <c r="H140" s="414"/>
      <c r="I140" s="273"/>
      <c r="J140" s="89"/>
      <c r="K140" s="100"/>
    </row>
    <row r="141" spans="1:11" ht="16.350000000000001" customHeight="1" x14ac:dyDescent="0.2">
      <c r="A141" s="276"/>
      <c r="B141" s="285"/>
      <c r="C141" s="285"/>
      <c r="D141" s="285"/>
      <c r="E141" s="285"/>
      <c r="F141" s="288" t="s">
        <v>1106</v>
      </c>
      <c r="G141" s="272"/>
      <c r="H141" s="412"/>
      <c r="I141" s="272"/>
      <c r="J141" s="26"/>
      <c r="K141" s="100"/>
    </row>
    <row r="142" spans="1:11" ht="16.350000000000001" customHeight="1" x14ac:dyDescent="0.2">
      <c r="A142" s="276"/>
      <c r="B142" s="285"/>
      <c r="C142" s="285"/>
      <c r="D142" s="285"/>
      <c r="E142" s="285"/>
      <c r="F142" s="288"/>
      <c r="G142" s="272"/>
      <c r="H142" s="413"/>
      <c r="I142" s="272"/>
      <c r="J142" s="26"/>
      <c r="K142" s="100"/>
    </row>
    <row r="143" spans="1:11" x14ac:dyDescent="0.2">
      <c r="A143" s="276"/>
      <c r="B143" s="285"/>
      <c r="C143" s="285"/>
      <c r="D143" s="285"/>
      <c r="E143" s="285"/>
      <c r="F143" s="273"/>
      <c r="G143" s="273"/>
      <c r="H143" s="414"/>
      <c r="I143" s="273"/>
      <c r="J143" s="89"/>
      <c r="K143" s="37"/>
    </row>
    <row r="144" spans="1:11" ht="16.350000000000001" customHeight="1" x14ac:dyDescent="0.2">
      <c r="A144" s="276"/>
      <c r="B144" s="285"/>
      <c r="C144" s="285"/>
      <c r="D144" s="285"/>
      <c r="E144" s="285"/>
      <c r="F144" s="288" t="s">
        <v>1107</v>
      </c>
      <c r="G144" s="272"/>
      <c r="H144" s="412"/>
      <c r="I144" s="272"/>
      <c r="J144" s="26"/>
      <c r="K144" s="34"/>
    </row>
    <row r="145" spans="1:11" ht="16.350000000000001" customHeight="1" x14ac:dyDescent="0.2">
      <c r="A145" s="276"/>
      <c r="B145" s="285"/>
      <c r="C145" s="285"/>
      <c r="D145" s="285"/>
      <c r="E145" s="285"/>
      <c r="F145" s="288"/>
      <c r="G145" s="272"/>
      <c r="H145" s="413"/>
      <c r="I145" s="272"/>
      <c r="J145" s="26"/>
      <c r="K145" s="34"/>
    </row>
    <row r="146" spans="1:11" x14ac:dyDescent="0.2">
      <c r="A146" s="276"/>
      <c r="B146" s="285"/>
      <c r="C146" s="285"/>
      <c r="D146" s="285"/>
      <c r="E146" s="285"/>
      <c r="F146" s="273"/>
      <c r="G146" s="273"/>
      <c r="H146" s="414"/>
      <c r="I146" s="273"/>
      <c r="J146" s="89"/>
      <c r="K146" s="100"/>
    </row>
    <row r="147" spans="1:11" x14ac:dyDescent="0.2">
      <c r="A147" s="276"/>
      <c r="B147" s="275" t="s">
        <v>1114</v>
      </c>
      <c r="C147" s="286"/>
      <c r="D147" s="286"/>
      <c r="E147" s="286"/>
      <c r="F147" s="288" t="s">
        <v>1108</v>
      </c>
      <c r="G147" s="272"/>
      <c r="H147" s="412"/>
      <c r="I147" s="272"/>
      <c r="J147" s="26"/>
      <c r="K147" s="37"/>
    </row>
    <row r="148" spans="1:11" x14ac:dyDescent="0.2">
      <c r="A148" s="276"/>
      <c r="B148" s="287"/>
      <c r="C148" s="287"/>
      <c r="D148" s="287"/>
      <c r="E148" s="287"/>
      <c r="F148" s="274"/>
      <c r="G148" s="274"/>
      <c r="H148" s="413"/>
      <c r="I148" s="274"/>
      <c r="J148" s="91"/>
      <c r="K148" s="37"/>
    </row>
    <row r="149" spans="1:11" x14ac:dyDescent="0.2">
      <c r="A149" s="276"/>
      <c r="B149" s="276"/>
      <c r="C149" s="276"/>
      <c r="D149" s="276"/>
      <c r="E149" s="276"/>
      <c r="F149" s="273"/>
      <c r="G149" s="273"/>
      <c r="H149" s="414"/>
      <c r="I149" s="273"/>
      <c r="J149" s="89"/>
      <c r="K149" s="37"/>
    </row>
    <row r="150" spans="1:11" ht="15" customHeight="1" x14ac:dyDescent="0.2">
      <c r="A150" s="276"/>
      <c r="B150" s="276"/>
      <c r="C150" s="276"/>
      <c r="D150" s="276"/>
      <c r="E150" s="276"/>
      <c r="F150" s="288" t="s">
        <v>1109</v>
      </c>
      <c r="G150" s="272"/>
      <c r="H150" s="412"/>
      <c r="I150" s="272"/>
      <c r="J150" s="26"/>
      <c r="K150" s="7"/>
    </row>
    <row r="151" spans="1:11" x14ac:dyDescent="0.2">
      <c r="A151" s="276"/>
      <c r="B151" s="276"/>
      <c r="C151" s="276"/>
      <c r="D151" s="276"/>
      <c r="E151" s="276"/>
      <c r="F151" s="274"/>
      <c r="G151" s="274"/>
      <c r="H151" s="413"/>
      <c r="I151" s="274"/>
      <c r="J151" s="91"/>
      <c r="K151" s="7"/>
    </row>
    <row r="152" spans="1:11" x14ac:dyDescent="0.2">
      <c r="A152" s="276"/>
      <c r="B152" s="276"/>
      <c r="C152" s="276"/>
      <c r="D152" s="276"/>
      <c r="E152" s="276"/>
      <c r="F152" s="273"/>
      <c r="G152" s="273"/>
      <c r="H152" s="414"/>
      <c r="I152" s="273"/>
      <c r="J152" s="89"/>
      <c r="K152" s="7"/>
    </row>
    <row r="153" spans="1:11" ht="16.350000000000001" customHeight="1" x14ac:dyDescent="0.2">
      <c r="A153" s="276"/>
      <c r="B153" s="276"/>
      <c r="C153" s="276"/>
      <c r="D153" s="276"/>
      <c r="E153" s="276"/>
      <c r="F153" s="288" t="s">
        <v>1110</v>
      </c>
      <c r="G153" s="272"/>
      <c r="H153" s="412"/>
      <c r="I153" s="272"/>
      <c r="J153" s="26"/>
      <c r="K153" s="7"/>
    </row>
    <row r="154" spans="1:11" x14ac:dyDescent="0.2">
      <c r="A154" s="276"/>
      <c r="B154" s="276"/>
      <c r="C154" s="276"/>
      <c r="D154" s="276"/>
      <c r="E154" s="276"/>
      <c r="F154" s="274"/>
      <c r="G154" s="274"/>
      <c r="H154" s="413"/>
      <c r="I154" s="274"/>
      <c r="J154" s="91"/>
      <c r="K154" s="7"/>
    </row>
    <row r="155" spans="1:11" x14ac:dyDescent="0.2">
      <c r="A155" s="276"/>
      <c r="B155" s="276"/>
      <c r="C155" s="276"/>
      <c r="D155" s="276"/>
      <c r="E155" s="276"/>
      <c r="F155" s="273"/>
      <c r="G155" s="273"/>
      <c r="H155" s="414"/>
      <c r="I155" s="273"/>
      <c r="J155" s="89"/>
      <c r="K155" s="7"/>
    </row>
    <row r="156" spans="1:11" ht="16.350000000000001" customHeight="1" x14ac:dyDescent="0.2">
      <c r="A156" s="276"/>
      <c r="B156" s="276"/>
      <c r="C156" s="276"/>
      <c r="D156" s="276"/>
      <c r="E156" s="276"/>
      <c r="F156" s="288" t="s">
        <v>1111</v>
      </c>
      <c r="G156" s="272"/>
      <c r="H156" s="412"/>
      <c r="I156" s="272"/>
      <c r="J156" s="26"/>
      <c r="K156" s="6"/>
    </row>
    <row r="157" spans="1:11" x14ac:dyDescent="0.2">
      <c r="A157" s="276"/>
      <c r="B157" s="276"/>
      <c r="C157" s="276"/>
      <c r="D157" s="276"/>
      <c r="E157" s="276"/>
      <c r="F157" s="274"/>
      <c r="G157" s="274"/>
      <c r="H157" s="413"/>
      <c r="I157" s="274"/>
      <c r="J157" s="91"/>
      <c r="K157" s="7"/>
    </row>
    <row r="158" spans="1:11" x14ac:dyDescent="0.2">
      <c r="A158" s="276"/>
      <c r="B158" s="276"/>
      <c r="C158" s="276"/>
      <c r="D158" s="276"/>
      <c r="E158" s="276"/>
      <c r="F158" s="273"/>
      <c r="G158" s="273"/>
      <c r="H158" s="414"/>
      <c r="I158" s="273"/>
      <c r="J158" s="89"/>
      <c r="K158" s="7"/>
    </row>
    <row r="159" spans="1:11" ht="16.350000000000001" customHeight="1" x14ac:dyDescent="0.2">
      <c r="A159" s="276"/>
      <c r="B159" s="276"/>
      <c r="C159" s="276"/>
      <c r="D159" s="276"/>
      <c r="E159" s="276"/>
      <c r="F159" s="288" t="s">
        <v>1112</v>
      </c>
      <c r="G159" s="272"/>
      <c r="H159" s="412"/>
      <c r="I159" s="272"/>
      <c r="J159" s="26"/>
      <c r="K159" s="6"/>
    </row>
    <row r="160" spans="1:11" x14ac:dyDescent="0.2">
      <c r="A160" s="276"/>
      <c r="B160" s="276"/>
      <c r="C160" s="276"/>
      <c r="D160" s="276"/>
      <c r="E160" s="276"/>
      <c r="F160" s="274"/>
      <c r="G160" s="274"/>
      <c r="H160" s="413"/>
      <c r="I160" s="274"/>
      <c r="J160" s="91"/>
      <c r="K160" s="7"/>
    </row>
    <row r="161" spans="1:11" x14ac:dyDescent="0.2">
      <c r="A161" s="276"/>
      <c r="B161" s="276"/>
      <c r="C161" s="276"/>
      <c r="D161" s="276"/>
      <c r="E161" s="276"/>
      <c r="F161" s="273"/>
      <c r="G161" s="273"/>
      <c r="H161" s="414"/>
      <c r="I161" s="273"/>
      <c r="J161" s="89"/>
      <c r="K161" s="7"/>
    </row>
    <row r="162" spans="1:11" ht="16.350000000000001" customHeight="1" x14ac:dyDescent="0.2">
      <c r="A162" s="276"/>
      <c r="B162" s="276"/>
      <c r="C162" s="276"/>
      <c r="D162" s="276"/>
      <c r="E162" s="276"/>
      <c r="F162" s="288" t="s">
        <v>1113</v>
      </c>
      <c r="G162" s="272"/>
      <c r="H162" s="412"/>
      <c r="I162" s="272"/>
      <c r="J162" s="26"/>
      <c r="K162" s="6"/>
    </row>
    <row r="163" spans="1:11" x14ac:dyDescent="0.2">
      <c r="A163" s="276"/>
      <c r="B163" s="276"/>
      <c r="C163" s="276"/>
      <c r="D163" s="276"/>
      <c r="E163" s="276"/>
      <c r="F163" s="274"/>
      <c r="G163" s="274"/>
      <c r="H163" s="413"/>
      <c r="I163" s="274"/>
      <c r="J163" s="91"/>
      <c r="K163" s="7"/>
    </row>
    <row r="164" spans="1:11" x14ac:dyDescent="0.2">
      <c r="A164" s="276"/>
      <c r="B164" s="276"/>
      <c r="C164" s="276"/>
      <c r="D164" s="276"/>
      <c r="E164" s="276"/>
      <c r="F164" s="273"/>
      <c r="G164" s="273"/>
      <c r="H164" s="414"/>
      <c r="I164" s="273"/>
      <c r="J164" s="89"/>
      <c r="K164" s="7"/>
    </row>
    <row r="172" spans="1:11" x14ac:dyDescent="0.2">
      <c r="E172" s="92" t="s">
        <v>528</v>
      </c>
    </row>
    <row r="173" spans="1:11" x14ac:dyDescent="0.2">
      <c r="E173" s="92" t="s">
        <v>511</v>
      </c>
    </row>
    <row r="174" spans="1:11" x14ac:dyDescent="0.2">
      <c r="E174" s="92" t="s">
        <v>515</v>
      </c>
    </row>
    <row r="175" spans="1:11" x14ac:dyDescent="0.2">
      <c r="E175" s="92" t="s">
        <v>505</v>
      </c>
    </row>
    <row r="176" spans="1:11" x14ac:dyDescent="0.2">
      <c r="E176" s="92" t="s">
        <v>507</v>
      </c>
    </row>
  </sheetData>
  <mergeCells count="248">
    <mergeCell ref="I75:I77"/>
    <mergeCell ref="I69:I71"/>
    <mergeCell ref="H69:H71"/>
    <mergeCell ref="G69:G71"/>
    <mergeCell ref="F69:F71"/>
    <mergeCell ref="G72:G74"/>
    <mergeCell ref="F78:F80"/>
    <mergeCell ref="F84:F86"/>
    <mergeCell ref="G153:G155"/>
    <mergeCell ref="G138:G140"/>
    <mergeCell ref="H138:H140"/>
    <mergeCell ref="I138:I140"/>
    <mergeCell ref="H147:H149"/>
    <mergeCell ref="I147:I149"/>
    <mergeCell ref="F150:F152"/>
    <mergeCell ref="G150:G152"/>
    <mergeCell ref="H150:H152"/>
    <mergeCell ref="I150:I152"/>
    <mergeCell ref="F147:F149"/>
    <mergeCell ref="G147:G149"/>
    <mergeCell ref="H129:H131"/>
    <mergeCell ref="I129:I131"/>
    <mergeCell ref="F132:F134"/>
    <mergeCell ref="G132:G134"/>
    <mergeCell ref="F159:F161"/>
    <mergeCell ref="G159:G161"/>
    <mergeCell ref="H159:H161"/>
    <mergeCell ref="I159:I161"/>
    <mergeCell ref="F162:F164"/>
    <mergeCell ref="G162:G164"/>
    <mergeCell ref="H162:H164"/>
    <mergeCell ref="I162:I164"/>
    <mergeCell ref="H153:H155"/>
    <mergeCell ref="I153:I155"/>
    <mergeCell ref="F156:F158"/>
    <mergeCell ref="G156:G158"/>
    <mergeCell ref="H156:H158"/>
    <mergeCell ref="I156:I158"/>
    <mergeCell ref="H132:H134"/>
    <mergeCell ref="I132:I134"/>
    <mergeCell ref="B129:B146"/>
    <mergeCell ref="C129:C146"/>
    <mergeCell ref="D129:D146"/>
    <mergeCell ref="E129:E146"/>
    <mergeCell ref="F129:F131"/>
    <mergeCell ref="G129:G131"/>
    <mergeCell ref="F135:F137"/>
    <mergeCell ref="G135:G137"/>
    <mergeCell ref="F141:F143"/>
    <mergeCell ref="G141:G143"/>
    <mergeCell ref="H141:H143"/>
    <mergeCell ref="I141:I143"/>
    <mergeCell ref="F144:F146"/>
    <mergeCell ref="G144:G146"/>
    <mergeCell ref="H144:H146"/>
    <mergeCell ref="I144:I146"/>
    <mergeCell ref="H135:H137"/>
    <mergeCell ref="I135:I137"/>
    <mergeCell ref="F138:F140"/>
    <mergeCell ref="I111:I113"/>
    <mergeCell ref="H120:H122"/>
    <mergeCell ref="I120:I122"/>
    <mergeCell ref="F126:F128"/>
    <mergeCell ref="G126:G128"/>
    <mergeCell ref="H126:H128"/>
    <mergeCell ref="I126:I128"/>
    <mergeCell ref="F123:F125"/>
    <mergeCell ref="G123:G125"/>
    <mergeCell ref="H123:H125"/>
    <mergeCell ref="I123:I125"/>
    <mergeCell ref="G99:G101"/>
    <mergeCell ref="H99:H101"/>
    <mergeCell ref="I99:I101"/>
    <mergeCell ref="B108:B128"/>
    <mergeCell ref="C108:C128"/>
    <mergeCell ref="D108:D128"/>
    <mergeCell ref="E108:E128"/>
    <mergeCell ref="F108:F110"/>
    <mergeCell ref="G108:G110"/>
    <mergeCell ref="F114:F116"/>
    <mergeCell ref="G114:G116"/>
    <mergeCell ref="F120:F122"/>
    <mergeCell ref="G120:G122"/>
    <mergeCell ref="H114:H116"/>
    <mergeCell ref="I114:I116"/>
    <mergeCell ref="F117:F119"/>
    <mergeCell ref="G117:G119"/>
    <mergeCell ref="H117:H119"/>
    <mergeCell ref="I117:I119"/>
    <mergeCell ref="H108:H110"/>
    <mergeCell ref="I108:I110"/>
    <mergeCell ref="F111:F113"/>
    <mergeCell ref="G111:G113"/>
    <mergeCell ref="H111:H113"/>
    <mergeCell ref="H90:H92"/>
    <mergeCell ref="I90:I92"/>
    <mergeCell ref="F93:F95"/>
    <mergeCell ref="G93:G95"/>
    <mergeCell ref="H93:H95"/>
    <mergeCell ref="I93:I95"/>
    <mergeCell ref="B90:B107"/>
    <mergeCell ref="C90:C107"/>
    <mergeCell ref="D90:D107"/>
    <mergeCell ref="E90:E107"/>
    <mergeCell ref="F90:F92"/>
    <mergeCell ref="G90:G92"/>
    <mergeCell ref="F96:F98"/>
    <mergeCell ref="G96:G98"/>
    <mergeCell ref="F102:F104"/>
    <mergeCell ref="G102:G104"/>
    <mergeCell ref="H102:H104"/>
    <mergeCell ref="I102:I104"/>
    <mergeCell ref="F105:F107"/>
    <mergeCell ref="G105:G107"/>
    <mergeCell ref="H105:H107"/>
    <mergeCell ref="I105:I107"/>
    <mergeCell ref="H96:H98"/>
    <mergeCell ref="I96:I98"/>
    <mergeCell ref="I87:I89"/>
    <mergeCell ref="H78:H80"/>
    <mergeCell ref="I78:I80"/>
    <mergeCell ref="F81:F83"/>
    <mergeCell ref="H81:H83"/>
    <mergeCell ref="I81:I83"/>
    <mergeCell ref="F54:F56"/>
    <mergeCell ref="G54:G56"/>
    <mergeCell ref="H54:H56"/>
    <mergeCell ref="I54:I56"/>
    <mergeCell ref="F57:F59"/>
    <mergeCell ref="G57:G59"/>
    <mergeCell ref="G78:G80"/>
    <mergeCell ref="H57:H59"/>
    <mergeCell ref="I57:I59"/>
    <mergeCell ref="H72:H74"/>
    <mergeCell ref="I72:I74"/>
    <mergeCell ref="I63:I65"/>
    <mergeCell ref="G66:G68"/>
    <mergeCell ref="H66:H68"/>
    <mergeCell ref="I66:I68"/>
    <mergeCell ref="H84:H86"/>
    <mergeCell ref="I84:I86"/>
    <mergeCell ref="I60:I62"/>
    <mergeCell ref="F87:F89"/>
    <mergeCell ref="G84:G86"/>
    <mergeCell ref="H87:H89"/>
    <mergeCell ref="F75:F77"/>
    <mergeCell ref="G75:G77"/>
    <mergeCell ref="H75:H77"/>
    <mergeCell ref="G60:G62"/>
    <mergeCell ref="H60:H62"/>
    <mergeCell ref="G81:G83"/>
    <mergeCell ref="I51:I53"/>
    <mergeCell ref="G39:G41"/>
    <mergeCell ref="H39:H41"/>
    <mergeCell ref="I39:I41"/>
    <mergeCell ref="F42:F44"/>
    <mergeCell ref="G42:G44"/>
    <mergeCell ref="H42:H44"/>
    <mergeCell ref="I42:I44"/>
    <mergeCell ref="D33:D50"/>
    <mergeCell ref="E33:E50"/>
    <mergeCell ref="F33:F35"/>
    <mergeCell ref="G33:G35"/>
    <mergeCell ref="H33:H35"/>
    <mergeCell ref="I33:I35"/>
    <mergeCell ref="F36:F38"/>
    <mergeCell ref="G36:G38"/>
    <mergeCell ref="H36:H38"/>
    <mergeCell ref="I36:I38"/>
    <mergeCell ref="H45:H47"/>
    <mergeCell ref="I48:I50"/>
    <mergeCell ref="F45:F47"/>
    <mergeCell ref="G45:G47"/>
    <mergeCell ref="F48:F50"/>
    <mergeCell ref="G48:G50"/>
    <mergeCell ref="H30:H32"/>
    <mergeCell ref="I30:I32"/>
    <mergeCell ref="F27:F29"/>
    <mergeCell ref="G27:G29"/>
    <mergeCell ref="H27:H29"/>
    <mergeCell ref="F18:F20"/>
    <mergeCell ref="G18:G20"/>
    <mergeCell ref="H18:H20"/>
    <mergeCell ref="I18:I20"/>
    <mergeCell ref="I27:I29"/>
    <mergeCell ref="F24:F26"/>
    <mergeCell ref="G24:G26"/>
    <mergeCell ref="I21:I23"/>
    <mergeCell ref="G9:G11"/>
    <mergeCell ref="H9:H11"/>
    <mergeCell ref="I9:I11"/>
    <mergeCell ref="F12:F14"/>
    <mergeCell ref="G12:G14"/>
    <mergeCell ref="H12:H14"/>
    <mergeCell ref="I12:I14"/>
    <mergeCell ref="I45:I47"/>
    <mergeCell ref="I3:I5"/>
    <mergeCell ref="F6:F8"/>
    <mergeCell ref="G6:G8"/>
    <mergeCell ref="H6:H8"/>
    <mergeCell ref="I6:I8"/>
    <mergeCell ref="H24:H26"/>
    <mergeCell ref="I24:I26"/>
    <mergeCell ref="G3:G5"/>
    <mergeCell ref="H3:H5"/>
    <mergeCell ref="G21:G23"/>
    <mergeCell ref="H21:H23"/>
    <mergeCell ref="G15:G17"/>
    <mergeCell ref="H15:H17"/>
    <mergeCell ref="I15:I17"/>
    <mergeCell ref="F30:F32"/>
    <mergeCell ref="G30:G32"/>
    <mergeCell ref="A3:A164"/>
    <mergeCell ref="B3:B32"/>
    <mergeCell ref="C3:C32"/>
    <mergeCell ref="D3:D32"/>
    <mergeCell ref="E3:E32"/>
    <mergeCell ref="F3:F5"/>
    <mergeCell ref="F9:F11"/>
    <mergeCell ref="F15:F17"/>
    <mergeCell ref="B33:B50"/>
    <mergeCell ref="C33:C50"/>
    <mergeCell ref="F39:F41"/>
    <mergeCell ref="B72:B89"/>
    <mergeCell ref="C72:C89"/>
    <mergeCell ref="D72:D89"/>
    <mergeCell ref="E72:E89"/>
    <mergeCell ref="F72:F74"/>
    <mergeCell ref="F99:F101"/>
    <mergeCell ref="B147:B164"/>
    <mergeCell ref="C147:C164"/>
    <mergeCell ref="D147:D164"/>
    <mergeCell ref="E147:E164"/>
    <mergeCell ref="F153:F155"/>
    <mergeCell ref="F60:F62"/>
    <mergeCell ref="F21:F23"/>
    <mergeCell ref="H48:H50"/>
    <mergeCell ref="B51:B71"/>
    <mergeCell ref="C51:C71"/>
    <mergeCell ref="D51:D71"/>
    <mergeCell ref="E51:E71"/>
    <mergeCell ref="F51:F53"/>
    <mergeCell ref="G51:G53"/>
    <mergeCell ref="F63:F65"/>
    <mergeCell ref="G63:G65"/>
    <mergeCell ref="H63:H65"/>
    <mergeCell ref="F66:F68"/>
    <mergeCell ref="H51:H53"/>
  </mergeCells>
  <phoneticPr fontId="14" type="noConversion"/>
  <dataValidations count="1">
    <dataValidation type="list" allowBlank="1" showInputMessage="1" showErrorMessage="1" sqref="E3:E164 H3:H164" xr:uid="{1F02391E-5473-8F4B-9AE5-AE9A3ABF8426}">
      <formula1>$E$172:$E$176</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0217-E18B-A549-9AD3-4B81FE2BD26D}">
  <sheetPr>
    <tabColor theme="5"/>
  </sheetPr>
  <dimension ref="A1:J66"/>
  <sheetViews>
    <sheetView showGridLines="0" zoomScale="72" workbookViewId="0">
      <selection activeCell="F27" sqref="F27"/>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8.28515625" style="15" customWidth="1"/>
    <col min="7" max="7" width="35.85546875" style="15" customWidth="1"/>
    <col min="8" max="8" width="10"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2" t="s">
        <v>1041</v>
      </c>
      <c r="D2" s="11" t="s">
        <v>185</v>
      </c>
      <c r="E2" s="11" t="s">
        <v>1038</v>
      </c>
      <c r="F2" s="11" t="s">
        <v>1049</v>
      </c>
      <c r="G2" s="11" t="s">
        <v>1040</v>
      </c>
      <c r="H2" s="11" t="s">
        <v>2016</v>
      </c>
      <c r="I2" s="11" t="s">
        <v>1038</v>
      </c>
      <c r="J2" s="11" t="s">
        <v>1039</v>
      </c>
    </row>
    <row r="3" spans="1:10" ht="15" customHeight="1" x14ac:dyDescent="0.2">
      <c r="A3" s="396" t="s">
        <v>2944</v>
      </c>
      <c r="B3" s="421" t="s">
        <v>808</v>
      </c>
      <c r="C3" s="423" t="s">
        <v>878</v>
      </c>
      <c r="D3" s="421"/>
      <c r="E3" s="421" t="s">
        <v>528</v>
      </c>
      <c r="F3" s="96" t="s">
        <v>2945</v>
      </c>
      <c r="G3" s="96" t="s">
        <v>4793</v>
      </c>
      <c r="H3" s="159" t="s">
        <v>1966</v>
      </c>
      <c r="I3" s="152" t="s">
        <v>528</v>
      </c>
      <c r="J3" s="152"/>
    </row>
    <row r="4" spans="1:10" ht="30" x14ac:dyDescent="0.2">
      <c r="A4" s="421"/>
      <c r="B4" s="421"/>
      <c r="C4" s="423"/>
      <c r="D4" s="421"/>
      <c r="E4" s="421"/>
      <c r="F4" s="96" t="s">
        <v>2946</v>
      </c>
      <c r="G4" s="96" t="s">
        <v>3014</v>
      </c>
      <c r="H4" s="159" t="s">
        <v>1966</v>
      </c>
      <c r="I4" s="152" t="s">
        <v>511</v>
      </c>
      <c r="J4" s="202" t="s">
        <v>4794</v>
      </c>
    </row>
    <row r="5" spans="1:10" x14ac:dyDescent="0.2">
      <c r="A5" s="421"/>
      <c r="B5" s="421"/>
      <c r="C5" s="423"/>
      <c r="D5" s="421"/>
      <c r="E5" s="421"/>
      <c r="F5" s="96" t="s">
        <v>2947</v>
      </c>
      <c r="G5" s="96" t="s">
        <v>4792</v>
      </c>
      <c r="H5" s="159" t="s">
        <v>2467</v>
      </c>
      <c r="I5" s="152" t="s">
        <v>528</v>
      </c>
      <c r="J5" s="202" t="s">
        <v>4795</v>
      </c>
    </row>
    <row r="6" spans="1:10" x14ac:dyDescent="0.2">
      <c r="A6" s="421"/>
      <c r="B6" s="421"/>
      <c r="C6" s="423"/>
      <c r="D6" s="421"/>
      <c r="E6" s="421"/>
      <c r="F6" s="96" t="s">
        <v>2948</v>
      </c>
      <c r="G6" s="96" t="s">
        <v>2949</v>
      </c>
      <c r="H6" s="99" t="s">
        <v>2467</v>
      </c>
      <c r="I6" s="152" t="s">
        <v>511</v>
      </c>
      <c r="J6" s="202" t="s">
        <v>4795</v>
      </c>
    </row>
    <row r="7" spans="1:10" x14ac:dyDescent="0.2">
      <c r="A7" s="421"/>
      <c r="B7" s="421"/>
      <c r="C7" s="423"/>
      <c r="D7" s="421"/>
      <c r="E7" s="421"/>
      <c r="F7" s="96" t="s">
        <v>2950</v>
      </c>
      <c r="G7" s="96" t="s">
        <v>2951</v>
      </c>
      <c r="H7" s="99" t="s">
        <v>2467</v>
      </c>
      <c r="I7" s="152" t="s">
        <v>511</v>
      </c>
      <c r="J7" s="202" t="s">
        <v>4795</v>
      </c>
    </row>
    <row r="8" spans="1:10" x14ac:dyDescent="0.2">
      <c r="A8" s="421"/>
      <c r="B8" s="421"/>
      <c r="C8" s="423"/>
      <c r="D8" s="421"/>
      <c r="E8" s="421"/>
      <c r="F8" s="96" t="s">
        <v>2952</v>
      </c>
      <c r="G8" s="96"/>
      <c r="H8" s="99"/>
      <c r="I8" s="152"/>
      <c r="J8" s="152"/>
    </row>
    <row r="9" spans="1:10" ht="23.85" customHeight="1" x14ac:dyDescent="0.2">
      <c r="A9" s="421"/>
      <c r="B9" s="421" t="s">
        <v>810</v>
      </c>
      <c r="C9" s="423" t="s">
        <v>811</v>
      </c>
      <c r="D9" s="421"/>
      <c r="E9" s="421" t="s">
        <v>511</v>
      </c>
      <c r="F9" s="96" t="s">
        <v>2953</v>
      </c>
      <c r="G9" s="96" t="s">
        <v>2954</v>
      </c>
      <c r="H9" s="99" t="s">
        <v>1966</v>
      </c>
      <c r="I9" s="152" t="s">
        <v>515</v>
      </c>
      <c r="J9" s="202" t="s">
        <v>4796</v>
      </c>
    </row>
    <row r="10" spans="1:10" ht="30" x14ac:dyDescent="0.2">
      <c r="A10" s="421"/>
      <c r="B10" s="421"/>
      <c r="C10" s="423"/>
      <c r="D10" s="421"/>
      <c r="E10" s="421"/>
      <c r="F10" s="96" t="s">
        <v>2955</v>
      </c>
      <c r="G10" s="96" t="s">
        <v>2956</v>
      </c>
      <c r="H10" s="99" t="s">
        <v>1966</v>
      </c>
      <c r="I10" s="152" t="s">
        <v>515</v>
      </c>
      <c r="J10" s="202" t="s">
        <v>4799</v>
      </c>
    </row>
    <row r="11" spans="1:10" ht="25.5" x14ac:dyDescent="0.2">
      <c r="A11" s="421"/>
      <c r="B11" s="421"/>
      <c r="C11" s="423"/>
      <c r="D11" s="421"/>
      <c r="E11" s="421"/>
      <c r="F11" s="96" t="s">
        <v>2957</v>
      </c>
      <c r="G11" s="96" t="s">
        <v>4797</v>
      </c>
      <c r="H11" s="99" t="s">
        <v>1966</v>
      </c>
      <c r="I11" s="152" t="s">
        <v>515</v>
      </c>
      <c r="J11" s="202" t="s">
        <v>4798</v>
      </c>
    </row>
    <row r="12" spans="1:10" x14ac:dyDescent="0.2">
      <c r="A12" s="421"/>
      <c r="B12" s="421"/>
      <c r="C12" s="423"/>
      <c r="D12" s="421"/>
      <c r="E12" s="421"/>
      <c r="F12" s="96" t="s">
        <v>2958</v>
      </c>
      <c r="G12" s="96" t="s">
        <v>2959</v>
      </c>
      <c r="H12" s="99" t="s">
        <v>1966</v>
      </c>
      <c r="I12" s="152" t="s">
        <v>511</v>
      </c>
      <c r="J12" s="202" t="s">
        <v>4795</v>
      </c>
    </row>
    <row r="13" spans="1:10" x14ac:dyDescent="0.2">
      <c r="A13" s="421"/>
      <c r="B13" s="421"/>
      <c r="C13" s="423"/>
      <c r="D13" s="421"/>
      <c r="E13" s="421"/>
      <c r="F13" s="96" t="s">
        <v>2960</v>
      </c>
      <c r="G13" s="96" t="s">
        <v>2961</v>
      </c>
      <c r="H13" s="99" t="s">
        <v>1966</v>
      </c>
      <c r="I13" s="152" t="s">
        <v>515</v>
      </c>
      <c r="J13" s="202" t="s">
        <v>4795</v>
      </c>
    </row>
    <row r="14" spans="1:10" x14ac:dyDescent="0.2">
      <c r="A14" s="421"/>
      <c r="B14" s="421"/>
      <c r="C14" s="423"/>
      <c r="D14" s="421"/>
      <c r="E14" s="421"/>
      <c r="F14" s="96" t="s">
        <v>2962</v>
      </c>
      <c r="G14" s="96" t="s">
        <v>2963</v>
      </c>
      <c r="H14" s="99" t="s">
        <v>1966</v>
      </c>
      <c r="I14" s="152" t="s">
        <v>515</v>
      </c>
      <c r="J14" s="202" t="s">
        <v>4795</v>
      </c>
    </row>
    <row r="15" spans="1:10" ht="27.4" customHeight="1" x14ac:dyDescent="0.2">
      <c r="A15" s="421"/>
      <c r="B15" s="421" t="s">
        <v>812</v>
      </c>
      <c r="C15" s="423" t="s">
        <v>2964</v>
      </c>
      <c r="D15" s="421"/>
      <c r="E15" s="421" t="s">
        <v>511</v>
      </c>
      <c r="F15" s="96" t="s">
        <v>2965</v>
      </c>
      <c r="G15" s="96" t="s">
        <v>2966</v>
      </c>
      <c r="H15" s="99" t="s">
        <v>1966</v>
      </c>
      <c r="I15" s="152" t="s">
        <v>511</v>
      </c>
      <c r="J15" s="202" t="s">
        <v>4800</v>
      </c>
    </row>
    <row r="16" spans="1:10" ht="30" x14ac:dyDescent="0.2">
      <c r="A16" s="421"/>
      <c r="B16" s="421"/>
      <c r="C16" s="423"/>
      <c r="D16" s="421"/>
      <c r="E16" s="421"/>
      <c r="F16" s="96" t="s">
        <v>2967</v>
      </c>
      <c r="G16" s="96" t="s">
        <v>2968</v>
      </c>
      <c r="H16" s="99" t="s">
        <v>1966</v>
      </c>
      <c r="I16" s="152" t="s">
        <v>511</v>
      </c>
      <c r="J16" s="202" t="s">
        <v>4800</v>
      </c>
    </row>
    <row r="17" spans="1:10" ht="30" x14ac:dyDescent="0.2">
      <c r="A17" s="421"/>
      <c r="B17" s="421"/>
      <c r="C17" s="423"/>
      <c r="D17" s="421"/>
      <c r="E17" s="421"/>
      <c r="F17" s="96" t="s">
        <v>2969</v>
      </c>
      <c r="G17" s="96" t="s">
        <v>2970</v>
      </c>
      <c r="H17" s="99" t="s">
        <v>1966</v>
      </c>
      <c r="I17" s="152" t="s">
        <v>511</v>
      </c>
      <c r="J17" s="202" t="s">
        <v>4800</v>
      </c>
    </row>
    <row r="18" spans="1:10" ht="30" x14ac:dyDescent="0.2">
      <c r="A18" s="421"/>
      <c r="B18" s="421"/>
      <c r="C18" s="423"/>
      <c r="D18" s="421"/>
      <c r="E18" s="421"/>
      <c r="F18" s="96" t="s">
        <v>2971</v>
      </c>
      <c r="G18" s="96" t="s">
        <v>2972</v>
      </c>
      <c r="H18" s="99" t="s">
        <v>1966</v>
      </c>
      <c r="I18" s="152" t="s">
        <v>511</v>
      </c>
      <c r="J18" s="202" t="s">
        <v>4800</v>
      </c>
    </row>
    <row r="19" spans="1:10" ht="30" x14ac:dyDescent="0.2">
      <c r="A19" s="421"/>
      <c r="B19" s="421"/>
      <c r="C19" s="423"/>
      <c r="D19" s="421"/>
      <c r="E19" s="421"/>
      <c r="F19" s="96" t="s">
        <v>2973</v>
      </c>
      <c r="G19" s="96" t="s">
        <v>2974</v>
      </c>
      <c r="H19" s="99" t="s">
        <v>1966</v>
      </c>
      <c r="I19" s="152" t="s">
        <v>511</v>
      </c>
      <c r="J19" s="202" t="s">
        <v>4800</v>
      </c>
    </row>
    <row r="20" spans="1:10" ht="30" x14ac:dyDescent="0.2">
      <c r="A20" s="421"/>
      <c r="B20" s="421"/>
      <c r="C20" s="423"/>
      <c r="D20" s="421"/>
      <c r="E20" s="421"/>
      <c r="F20" s="96" t="s">
        <v>2975</v>
      </c>
      <c r="G20" s="96" t="s">
        <v>2976</v>
      </c>
      <c r="H20" s="99" t="s">
        <v>1966</v>
      </c>
      <c r="I20" s="152" t="s">
        <v>511</v>
      </c>
      <c r="J20" s="202" t="s">
        <v>4800</v>
      </c>
    </row>
    <row r="21" spans="1:10" ht="56.65" customHeight="1" x14ac:dyDescent="0.2">
      <c r="A21" s="421"/>
      <c r="B21" s="421" t="s">
        <v>813</v>
      </c>
      <c r="C21" s="422" t="s">
        <v>4801</v>
      </c>
      <c r="D21" s="421"/>
      <c r="E21" s="421" t="s">
        <v>515</v>
      </c>
      <c r="F21" s="96" t="s">
        <v>2977</v>
      </c>
      <c r="G21" s="96" t="s">
        <v>2978</v>
      </c>
      <c r="H21" s="99" t="s">
        <v>2467</v>
      </c>
      <c r="I21" s="152" t="s">
        <v>515</v>
      </c>
      <c r="J21" s="202" t="s">
        <v>4802</v>
      </c>
    </row>
    <row r="22" spans="1:10" ht="30" x14ac:dyDescent="0.2">
      <c r="A22" s="421"/>
      <c r="B22" s="421"/>
      <c r="C22" s="423"/>
      <c r="D22" s="421"/>
      <c r="E22" s="421"/>
      <c r="F22" s="96" t="s">
        <v>2979</v>
      </c>
      <c r="G22" s="96" t="s">
        <v>2980</v>
      </c>
      <c r="H22" s="99" t="s">
        <v>2467</v>
      </c>
      <c r="I22" s="152" t="s">
        <v>515</v>
      </c>
      <c r="J22" s="202" t="s">
        <v>4803</v>
      </c>
    </row>
    <row r="23" spans="1:10" x14ac:dyDescent="0.2">
      <c r="A23" s="421"/>
      <c r="B23" s="421"/>
      <c r="C23" s="423"/>
      <c r="D23" s="421"/>
      <c r="E23" s="421"/>
      <c r="F23" s="96" t="s">
        <v>2981</v>
      </c>
      <c r="G23" s="96" t="s">
        <v>2449</v>
      </c>
      <c r="H23" s="99" t="s">
        <v>2467</v>
      </c>
      <c r="I23" s="152" t="s">
        <v>515</v>
      </c>
      <c r="J23" s="202" t="s">
        <v>4804</v>
      </c>
    </row>
    <row r="24" spans="1:10" x14ac:dyDescent="0.2">
      <c r="A24" s="421"/>
      <c r="B24" s="421"/>
      <c r="C24" s="423"/>
      <c r="D24" s="421"/>
      <c r="E24" s="421"/>
      <c r="F24" s="96" t="s">
        <v>2982</v>
      </c>
      <c r="G24" s="96" t="s">
        <v>2983</v>
      </c>
      <c r="H24" s="99" t="s">
        <v>2467</v>
      </c>
      <c r="I24" s="152" t="s">
        <v>515</v>
      </c>
      <c r="J24" s="152"/>
    </row>
    <row r="25" spans="1:10" x14ac:dyDescent="0.2">
      <c r="A25" s="421"/>
      <c r="B25" s="421"/>
      <c r="C25" s="423"/>
      <c r="D25" s="421"/>
      <c r="E25" s="421"/>
      <c r="F25" s="96" t="s">
        <v>2984</v>
      </c>
      <c r="G25" s="96" t="s">
        <v>2985</v>
      </c>
      <c r="H25" s="99" t="s">
        <v>2467</v>
      </c>
      <c r="I25" s="152" t="s">
        <v>515</v>
      </c>
      <c r="J25" s="152"/>
    </row>
    <row r="26" spans="1:10" ht="25.5" x14ac:dyDescent="0.2">
      <c r="A26" s="421"/>
      <c r="B26" s="421"/>
      <c r="C26" s="423"/>
      <c r="D26" s="421"/>
      <c r="E26" s="421"/>
      <c r="F26" s="96" t="s">
        <v>2986</v>
      </c>
      <c r="G26" s="96" t="s">
        <v>2987</v>
      </c>
      <c r="H26" s="99" t="s">
        <v>2467</v>
      </c>
      <c r="I26" s="152" t="s">
        <v>515</v>
      </c>
      <c r="J26" s="152"/>
    </row>
    <row r="27" spans="1:10" ht="15" customHeight="1" x14ac:dyDescent="0.2">
      <c r="A27" s="421"/>
      <c r="B27" s="421" t="s">
        <v>815</v>
      </c>
      <c r="C27" s="423" t="s">
        <v>2988</v>
      </c>
      <c r="D27" s="421"/>
      <c r="E27" s="421" t="s">
        <v>511</v>
      </c>
      <c r="F27" s="96" t="s">
        <v>2989</v>
      </c>
      <c r="G27" s="96" t="s">
        <v>2990</v>
      </c>
      <c r="H27" s="99" t="s">
        <v>2467</v>
      </c>
      <c r="I27" s="152" t="s">
        <v>511</v>
      </c>
      <c r="J27" s="202" t="s">
        <v>4805</v>
      </c>
    </row>
    <row r="28" spans="1:10" x14ac:dyDescent="0.2">
      <c r="A28" s="421"/>
      <c r="B28" s="421"/>
      <c r="C28" s="423"/>
      <c r="D28" s="421"/>
      <c r="E28" s="421"/>
      <c r="F28" s="96" t="s">
        <v>2991</v>
      </c>
      <c r="G28" s="96" t="s">
        <v>2992</v>
      </c>
      <c r="H28" s="99" t="s">
        <v>2467</v>
      </c>
      <c r="I28" s="152" t="s">
        <v>511</v>
      </c>
      <c r="J28" s="202" t="s">
        <v>4805</v>
      </c>
    </row>
    <row r="29" spans="1:10" ht="25.5" x14ac:dyDescent="0.2">
      <c r="A29" s="421"/>
      <c r="B29" s="421"/>
      <c r="C29" s="423"/>
      <c r="D29" s="421"/>
      <c r="E29" s="421"/>
      <c r="F29" s="96" t="s">
        <v>2993</v>
      </c>
      <c r="G29" s="96" t="s">
        <v>2994</v>
      </c>
      <c r="H29" s="99" t="s">
        <v>2467</v>
      </c>
      <c r="I29" s="152" t="s">
        <v>511</v>
      </c>
      <c r="J29" s="202" t="s">
        <v>4805</v>
      </c>
    </row>
    <row r="30" spans="1:10" x14ac:dyDescent="0.2">
      <c r="A30" s="421"/>
      <c r="B30" s="421"/>
      <c r="C30" s="423"/>
      <c r="D30" s="421"/>
      <c r="E30" s="421"/>
      <c r="F30" s="96" t="s">
        <v>2995</v>
      </c>
      <c r="G30" s="96" t="s">
        <v>2996</v>
      </c>
      <c r="H30" s="99" t="s">
        <v>2467</v>
      </c>
      <c r="I30" s="152" t="s">
        <v>511</v>
      </c>
      <c r="J30" s="202" t="s">
        <v>4805</v>
      </c>
    </row>
    <row r="31" spans="1:10" x14ac:dyDescent="0.2">
      <c r="A31" s="421"/>
      <c r="B31" s="421"/>
      <c r="C31" s="423"/>
      <c r="D31" s="421"/>
      <c r="E31" s="421"/>
      <c r="F31" s="96" t="s">
        <v>2997</v>
      </c>
      <c r="G31" s="96" t="s">
        <v>2998</v>
      </c>
      <c r="H31" s="99" t="s">
        <v>2467</v>
      </c>
      <c r="I31" s="152" t="s">
        <v>511</v>
      </c>
      <c r="J31" s="202" t="s">
        <v>4805</v>
      </c>
    </row>
    <row r="32" spans="1:10" x14ac:dyDescent="0.2">
      <c r="A32" s="421"/>
      <c r="B32" s="421"/>
      <c r="C32" s="423"/>
      <c r="D32" s="421"/>
      <c r="E32" s="421"/>
      <c r="F32" s="96" t="s">
        <v>2999</v>
      </c>
      <c r="G32" s="96" t="s">
        <v>3000</v>
      </c>
      <c r="H32" s="99" t="s">
        <v>2467</v>
      </c>
      <c r="I32" s="152" t="s">
        <v>511</v>
      </c>
      <c r="J32" s="202" t="s">
        <v>4805</v>
      </c>
    </row>
    <row r="33" spans="1:10" ht="24.95" customHeight="1" x14ac:dyDescent="0.2">
      <c r="A33" s="421"/>
      <c r="B33" s="421" t="s">
        <v>816</v>
      </c>
      <c r="C33" s="422" t="s">
        <v>3030</v>
      </c>
      <c r="D33" s="421"/>
      <c r="E33" s="421" t="s">
        <v>528</v>
      </c>
      <c r="F33" s="96" t="s">
        <v>3001</v>
      </c>
      <c r="G33" s="96" t="s">
        <v>3015</v>
      </c>
      <c r="H33" s="159" t="s">
        <v>2467</v>
      </c>
      <c r="I33" s="152" t="s">
        <v>528</v>
      </c>
      <c r="J33" s="152"/>
    </row>
    <row r="34" spans="1:10" x14ac:dyDescent="0.2">
      <c r="A34" s="421"/>
      <c r="B34" s="421"/>
      <c r="C34" s="423"/>
      <c r="D34" s="421"/>
      <c r="E34" s="421"/>
      <c r="F34" s="96" t="s">
        <v>3002</v>
      </c>
      <c r="G34" s="96" t="s">
        <v>3016</v>
      </c>
      <c r="H34" s="159" t="s">
        <v>2467</v>
      </c>
      <c r="I34" s="152" t="s">
        <v>528</v>
      </c>
      <c r="J34" s="152"/>
    </row>
    <row r="35" spans="1:10" x14ac:dyDescent="0.2">
      <c r="A35" s="421"/>
      <c r="B35" s="421"/>
      <c r="C35" s="423"/>
      <c r="D35" s="421"/>
      <c r="E35" s="421"/>
      <c r="F35" s="96" t="s">
        <v>3003</v>
      </c>
      <c r="G35" s="96" t="s">
        <v>3017</v>
      </c>
      <c r="H35" s="159" t="s">
        <v>2467</v>
      </c>
      <c r="I35" s="152" t="s">
        <v>528</v>
      </c>
      <c r="J35" s="152"/>
    </row>
    <row r="36" spans="1:10" x14ac:dyDescent="0.2">
      <c r="A36" s="421"/>
      <c r="B36" s="421"/>
      <c r="C36" s="423"/>
      <c r="D36" s="421"/>
      <c r="E36" s="421"/>
      <c r="F36" s="96" t="s">
        <v>3004</v>
      </c>
      <c r="G36" s="96" t="s">
        <v>3018</v>
      </c>
      <c r="H36" s="159" t="s">
        <v>2467</v>
      </c>
      <c r="I36" s="152" t="s">
        <v>528</v>
      </c>
      <c r="J36" s="152"/>
    </row>
    <row r="37" spans="1:10" x14ac:dyDescent="0.2">
      <c r="A37" s="421"/>
      <c r="B37" s="421"/>
      <c r="C37" s="423"/>
      <c r="D37" s="421"/>
      <c r="E37" s="421"/>
      <c r="F37" s="96" t="s">
        <v>3005</v>
      </c>
      <c r="G37" s="96" t="s">
        <v>4806</v>
      </c>
      <c r="H37" s="159" t="s">
        <v>2467</v>
      </c>
      <c r="I37" s="152" t="s">
        <v>528</v>
      </c>
      <c r="J37" s="152"/>
    </row>
    <row r="38" spans="1:10" x14ac:dyDescent="0.2">
      <c r="A38" s="421"/>
      <c r="B38" s="421"/>
      <c r="C38" s="423"/>
      <c r="D38" s="421"/>
      <c r="E38" s="421"/>
      <c r="F38" s="96" t="s">
        <v>3006</v>
      </c>
      <c r="G38" s="96" t="s">
        <v>3019</v>
      </c>
      <c r="H38" s="159" t="s">
        <v>2467</v>
      </c>
      <c r="I38" s="152" t="s">
        <v>528</v>
      </c>
      <c r="J38" s="152"/>
    </row>
    <row r="39" spans="1:10" x14ac:dyDescent="0.2">
      <c r="A39" s="421"/>
      <c r="B39" s="421"/>
      <c r="C39" s="423"/>
      <c r="D39" s="421"/>
      <c r="E39" s="421"/>
      <c r="F39" s="96" t="s">
        <v>3025</v>
      </c>
      <c r="G39" s="96" t="s">
        <v>3020</v>
      </c>
      <c r="H39" s="159" t="s">
        <v>2467</v>
      </c>
      <c r="I39" s="152" t="s">
        <v>528</v>
      </c>
      <c r="J39" s="152"/>
    </row>
    <row r="40" spans="1:10" x14ac:dyDescent="0.2">
      <c r="A40" s="421"/>
      <c r="B40" s="421"/>
      <c r="C40" s="423"/>
      <c r="D40" s="421"/>
      <c r="E40" s="421"/>
      <c r="F40" s="96" t="s">
        <v>3026</v>
      </c>
      <c r="G40" s="96" t="s">
        <v>3021</v>
      </c>
      <c r="H40" s="159" t="s">
        <v>2467</v>
      </c>
      <c r="I40" s="152" t="s">
        <v>528</v>
      </c>
      <c r="J40" s="152"/>
    </row>
    <row r="41" spans="1:10" ht="25.5" x14ac:dyDescent="0.2">
      <c r="A41" s="421"/>
      <c r="B41" s="421"/>
      <c r="C41" s="423"/>
      <c r="D41" s="421"/>
      <c r="E41" s="421"/>
      <c r="F41" s="96" t="s">
        <v>3027</v>
      </c>
      <c r="G41" s="96" t="s">
        <v>3022</v>
      </c>
      <c r="H41" s="159" t="s">
        <v>2467</v>
      </c>
      <c r="I41" s="152" t="s">
        <v>528</v>
      </c>
      <c r="J41" s="152"/>
    </row>
    <row r="42" spans="1:10" ht="25.5" x14ac:dyDescent="0.2">
      <c r="A42" s="421"/>
      <c r="B42" s="421"/>
      <c r="C42" s="423"/>
      <c r="D42" s="421"/>
      <c r="E42" s="421"/>
      <c r="F42" s="96" t="s">
        <v>3028</v>
      </c>
      <c r="G42" s="96" t="s">
        <v>3023</v>
      </c>
      <c r="H42" s="159" t="s">
        <v>2467</v>
      </c>
      <c r="I42" s="152" t="s">
        <v>528</v>
      </c>
      <c r="J42" s="152"/>
    </row>
    <row r="43" spans="1:10" ht="25.5" x14ac:dyDescent="0.2">
      <c r="A43" s="421"/>
      <c r="B43" s="421"/>
      <c r="C43" s="423"/>
      <c r="D43" s="421"/>
      <c r="E43" s="421"/>
      <c r="F43" s="96" t="s">
        <v>3029</v>
      </c>
      <c r="G43" s="96" t="s">
        <v>3024</v>
      </c>
      <c r="H43" s="159" t="s">
        <v>2467</v>
      </c>
      <c r="I43" s="152" t="s">
        <v>528</v>
      </c>
      <c r="J43" s="152"/>
    </row>
    <row r="44" spans="1:10" x14ac:dyDescent="0.2">
      <c r="A44" s="421"/>
      <c r="B44" s="421"/>
      <c r="C44" s="423"/>
      <c r="D44" s="421"/>
      <c r="E44" s="421"/>
      <c r="F44" s="96"/>
      <c r="G44" s="96"/>
      <c r="H44" s="99"/>
      <c r="I44" s="152"/>
      <c r="J44" s="152"/>
    </row>
    <row r="45" spans="1:10" ht="15" customHeight="1" x14ac:dyDescent="0.2">
      <c r="A45" s="421"/>
      <c r="B45" s="421" t="s">
        <v>818</v>
      </c>
      <c r="C45" s="422" t="s">
        <v>3031</v>
      </c>
      <c r="D45" s="421"/>
      <c r="E45" s="421" t="s">
        <v>511</v>
      </c>
      <c r="F45" s="96" t="s">
        <v>3007</v>
      </c>
      <c r="G45" s="96" t="s">
        <v>3032</v>
      </c>
      <c r="H45" s="159" t="s">
        <v>2467</v>
      </c>
      <c r="I45" s="152" t="s">
        <v>511</v>
      </c>
      <c r="J45" s="202" t="s">
        <v>4807</v>
      </c>
    </row>
    <row r="46" spans="1:10" ht="15" customHeight="1" x14ac:dyDescent="0.2">
      <c r="A46" s="421"/>
      <c r="B46" s="421"/>
      <c r="C46" s="422"/>
      <c r="D46" s="421"/>
      <c r="E46" s="421"/>
      <c r="F46" s="96" t="s">
        <v>3009</v>
      </c>
      <c r="G46" s="96" t="s">
        <v>3033</v>
      </c>
      <c r="H46" s="159" t="s">
        <v>2467</v>
      </c>
      <c r="I46" s="152" t="s">
        <v>511</v>
      </c>
      <c r="J46" s="152"/>
    </row>
    <row r="47" spans="1:10" ht="15" customHeight="1" x14ac:dyDescent="0.2">
      <c r="A47" s="421"/>
      <c r="B47" s="421"/>
      <c r="C47" s="422"/>
      <c r="D47" s="421"/>
      <c r="E47" s="421"/>
      <c r="F47" s="96" t="s">
        <v>3010</v>
      </c>
      <c r="G47" s="96" t="s">
        <v>3034</v>
      </c>
      <c r="H47" s="159" t="s">
        <v>2467</v>
      </c>
      <c r="I47" s="152" t="s">
        <v>511</v>
      </c>
      <c r="J47" s="152"/>
    </row>
    <row r="48" spans="1:10" ht="15" customHeight="1" x14ac:dyDescent="0.2">
      <c r="A48" s="421"/>
      <c r="B48" s="421"/>
      <c r="C48" s="422"/>
      <c r="D48" s="421"/>
      <c r="E48" s="421"/>
      <c r="F48" s="96" t="s">
        <v>3011</v>
      </c>
      <c r="G48" s="96" t="s">
        <v>3035</v>
      </c>
      <c r="H48" s="159" t="s">
        <v>2467</v>
      </c>
      <c r="I48" s="152" t="s">
        <v>511</v>
      </c>
      <c r="J48" s="152"/>
    </row>
    <row r="49" spans="1:10" ht="15" customHeight="1" x14ac:dyDescent="0.2">
      <c r="A49" s="421"/>
      <c r="B49" s="421"/>
      <c r="C49" s="422"/>
      <c r="D49" s="421"/>
      <c r="E49" s="421"/>
      <c r="F49" s="96" t="s">
        <v>3012</v>
      </c>
      <c r="G49" s="96" t="s">
        <v>3036</v>
      </c>
      <c r="H49" s="159" t="s">
        <v>2467</v>
      </c>
      <c r="I49" s="152" t="s">
        <v>511</v>
      </c>
      <c r="J49" s="152"/>
    </row>
    <row r="50" spans="1:10" ht="15" customHeight="1" x14ac:dyDescent="0.2">
      <c r="A50" s="421"/>
      <c r="B50" s="421"/>
      <c r="C50" s="422"/>
      <c r="D50" s="421"/>
      <c r="E50" s="421"/>
      <c r="F50" s="96" t="s">
        <v>3013</v>
      </c>
      <c r="G50" s="96" t="s">
        <v>3008</v>
      </c>
      <c r="H50" s="159" t="s">
        <v>2467</v>
      </c>
      <c r="I50" s="152" t="s">
        <v>511</v>
      </c>
      <c r="J50" s="152"/>
    </row>
    <row r="51" spans="1:10" ht="45" x14ac:dyDescent="0.2">
      <c r="A51" s="421"/>
      <c r="B51" s="421"/>
      <c r="C51" s="423"/>
      <c r="D51" s="421"/>
      <c r="E51" s="421"/>
      <c r="F51" s="96" t="s">
        <v>3038</v>
      </c>
      <c r="G51" s="117" t="s">
        <v>3037</v>
      </c>
      <c r="H51" s="159" t="s">
        <v>2467</v>
      </c>
      <c r="I51" s="152" t="s">
        <v>511</v>
      </c>
      <c r="J51" s="202" t="s">
        <v>4808</v>
      </c>
    </row>
    <row r="52" spans="1:10" x14ac:dyDescent="0.2">
      <c r="A52" s="421"/>
      <c r="B52" s="421"/>
      <c r="C52" s="423"/>
      <c r="D52" s="421"/>
      <c r="E52" s="421"/>
      <c r="F52" s="96" t="s">
        <v>3039</v>
      </c>
      <c r="G52" s="117" t="s">
        <v>3041</v>
      </c>
      <c r="H52" s="159" t="s">
        <v>2467</v>
      </c>
      <c r="I52" s="152" t="s">
        <v>511</v>
      </c>
      <c r="J52" s="152"/>
    </row>
    <row r="53" spans="1:10" x14ac:dyDescent="0.2">
      <c r="A53" s="421"/>
      <c r="B53" s="421"/>
      <c r="C53" s="423"/>
      <c r="D53" s="421"/>
      <c r="E53" s="421"/>
      <c r="F53" s="96" t="s">
        <v>3040</v>
      </c>
      <c r="G53" s="96"/>
      <c r="H53" s="99"/>
      <c r="I53" s="152"/>
      <c r="J53" s="152"/>
    </row>
    <row r="54" spans="1:10" x14ac:dyDescent="0.2">
      <c r="E54" s="14"/>
    </row>
    <row r="62" spans="1:10" ht="25.5" x14ac:dyDescent="0.2">
      <c r="E62" s="10" t="s">
        <v>528</v>
      </c>
    </row>
    <row r="63" spans="1:10" x14ac:dyDescent="0.2">
      <c r="E63" s="10" t="s">
        <v>511</v>
      </c>
    </row>
    <row r="64" spans="1:10" x14ac:dyDescent="0.2">
      <c r="E64" s="10" t="s">
        <v>515</v>
      </c>
    </row>
    <row r="65" spans="5:5" x14ac:dyDescent="0.2">
      <c r="E65" s="10" t="s">
        <v>505</v>
      </c>
    </row>
    <row r="66" spans="5:5" x14ac:dyDescent="0.2">
      <c r="E66" s="10" t="s">
        <v>507</v>
      </c>
    </row>
  </sheetData>
  <mergeCells count="29">
    <mergeCell ref="A3:A53"/>
    <mergeCell ref="B45:B53"/>
    <mergeCell ref="C45:C53"/>
    <mergeCell ref="D45:D53"/>
    <mergeCell ref="E45:E53"/>
    <mergeCell ref="B27:B32"/>
    <mergeCell ref="C27:C32"/>
    <mergeCell ref="D27:D32"/>
    <mergeCell ref="E27:E32"/>
    <mergeCell ref="B33:B44"/>
    <mergeCell ref="C33:C44"/>
    <mergeCell ref="D33:D44"/>
    <mergeCell ref="E33:E44"/>
    <mergeCell ref="C15:C20"/>
    <mergeCell ref="D15:D20"/>
    <mergeCell ref="E15:E20"/>
    <mergeCell ref="B21:B26"/>
    <mergeCell ref="C21:C26"/>
    <mergeCell ref="D21:D26"/>
    <mergeCell ref="E21:E26"/>
    <mergeCell ref="B3:B8"/>
    <mergeCell ref="C3:C8"/>
    <mergeCell ref="D3:D8"/>
    <mergeCell ref="E3:E8"/>
    <mergeCell ref="B9:B14"/>
    <mergeCell ref="C9:C14"/>
    <mergeCell ref="D9:D14"/>
    <mergeCell ref="E9:E14"/>
    <mergeCell ref="B15:B20"/>
  </mergeCells>
  <phoneticPr fontId="14" type="noConversion"/>
  <dataValidations count="1">
    <dataValidation type="list" allowBlank="1" showInputMessage="1" showErrorMessage="1" sqref="E3:E53 I3:I53" xr:uid="{FA5A2135-5CFF-5A4A-BBC2-0E506E7BF345}">
      <formula1>$E$62:$E$66</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FEC7-BADD-FB4B-9C76-BDD8714A372F}">
  <sheetPr>
    <tabColor theme="5"/>
  </sheetPr>
  <dimension ref="A1:J65"/>
  <sheetViews>
    <sheetView showGridLines="0" zoomScale="69" workbookViewId="0">
      <selection activeCell="K25" sqref="K25"/>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9.425781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2" t="s">
        <v>1041</v>
      </c>
      <c r="D2" s="11" t="s">
        <v>185</v>
      </c>
      <c r="E2" s="11" t="s">
        <v>1038</v>
      </c>
      <c r="F2" s="11" t="s">
        <v>1049</v>
      </c>
      <c r="G2" s="11" t="s">
        <v>1040</v>
      </c>
      <c r="H2" s="11" t="s">
        <v>2016</v>
      </c>
      <c r="I2" s="11" t="s">
        <v>1038</v>
      </c>
      <c r="J2" s="11" t="s">
        <v>1039</v>
      </c>
    </row>
    <row r="3" spans="1:10" ht="15" customHeight="1" x14ac:dyDescent="0.2">
      <c r="A3" s="421" t="s">
        <v>2855</v>
      </c>
      <c r="B3" s="421" t="s">
        <v>426</v>
      </c>
      <c r="C3" s="423" t="s">
        <v>4749</v>
      </c>
      <c r="D3" s="421"/>
      <c r="E3" s="421" t="s">
        <v>528</v>
      </c>
      <c r="F3" s="96" t="s">
        <v>2856</v>
      </c>
      <c r="G3" s="96" t="s">
        <v>2857</v>
      </c>
      <c r="H3" s="96" t="s">
        <v>2467</v>
      </c>
      <c r="I3" s="152" t="s">
        <v>528</v>
      </c>
      <c r="J3" s="152"/>
    </row>
    <row r="4" spans="1:10" x14ac:dyDescent="0.2">
      <c r="A4" s="421"/>
      <c r="B4" s="421"/>
      <c r="C4" s="423"/>
      <c r="D4" s="421"/>
      <c r="E4" s="421"/>
      <c r="F4" s="96" t="s">
        <v>2858</v>
      </c>
      <c r="G4" s="96" t="s">
        <v>2859</v>
      </c>
      <c r="H4" s="96" t="s">
        <v>2467</v>
      </c>
      <c r="I4" s="152" t="s">
        <v>528</v>
      </c>
      <c r="J4" s="152"/>
    </row>
    <row r="5" spans="1:10" x14ac:dyDescent="0.2">
      <c r="A5" s="421"/>
      <c r="B5" s="421"/>
      <c r="C5" s="423"/>
      <c r="D5" s="421"/>
      <c r="E5" s="421"/>
      <c r="F5" s="96" t="s">
        <v>2860</v>
      </c>
      <c r="G5" s="96" t="s">
        <v>2861</v>
      </c>
      <c r="H5" s="96" t="s">
        <v>2467</v>
      </c>
      <c r="I5" s="152" t="s">
        <v>528</v>
      </c>
      <c r="J5" s="152"/>
    </row>
    <row r="6" spans="1:10" x14ac:dyDescent="0.2">
      <c r="A6" s="421"/>
      <c r="B6" s="421"/>
      <c r="C6" s="423"/>
      <c r="D6" s="421"/>
      <c r="E6" s="421"/>
      <c r="F6" s="96" t="s">
        <v>2862</v>
      </c>
      <c r="G6" s="96" t="s">
        <v>2863</v>
      </c>
      <c r="H6" s="96" t="s">
        <v>2467</v>
      </c>
      <c r="I6" s="152" t="s">
        <v>528</v>
      </c>
      <c r="J6" s="152"/>
    </row>
    <row r="7" spans="1:10" x14ac:dyDescent="0.2">
      <c r="A7" s="421"/>
      <c r="B7" s="421"/>
      <c r="C7" s="423"/>
      <c r="D7" s="421"/>
      <c r="E7" s="421"/>
      <c r="F7" s="96" t="s">
        <v>2864</v>
      </c>
      <c r="G7" s="96" t="s">
        <v>2376</v>
      </c>
      <c r="H7" s="96" t="s">
        <v>2467</v>
      </c>
      <c r="I7" s="152" t="s">
        <v>528</v>
      </c>
      <c r="J7" s="152"/>
    </row>
    <row r="8" spans="1:10" x14ac:dyDescent="0.2">
      <c r="A8" s="421"/>
      <c r="B8" s="421"/>
      <c r="C8" s="423"/>
      <c r="D8" s="421"/>
      <c r="E8" s="421"/>
      <c r="F8" s="96" t="s">
        <v>2865</v>
      </c>
      <c r="G8" s="96" t="s">
        <v>2866</v>
      </c>
      <c r="H8" s="96" t="s">
        <v>2467</v>
      </c>
      <c r="I8" s="152" t="s">
        <v>528</v>
      </c>
      <c r="J8" s="152"/>
    </row>
    <row r="9" spans="1:10" ht="24.4" customHeight="1" x14ac:dyDescent="0.2">
      <c r="A9" s="421"/>
      <c r="B9" s="421" t="s">
        <v>427</v>
      </c>
      <c r="C9" s="422" t="s">
        <v>3799</v>
      </c>
      <c r="D9" s="421"/>
      <c r="E9" s="421" t="s">
        <v>511</v>
      </c>
      <c r="F9" s="96" t="s">
        <v>2867</v>
      </c>
      <c r="G9" s="96" t="s">
        <v>2400</v>
      </c>
      <c r="H9" s="96" t="s">
        <v>2467</v>
      </c>
      <c r="I9" s="152" t="s">
        <v>528</v>
      </c>
      <c r="J9" s="202" t="s">
        <v>4750</v>
      </c>
    </row>
    <row r="10" spans="1:10" ht="60" x14ac:dyDescent="0.2">
      <c r="A10" s="421"/>
      <c r="B10" s="421"/>
      <c r="C10" s="423"/>
      <c r="D10" s="421"/>
      <c r="E10" s="421"/>
      <c r="F10" s="96" t="s">
        <v>2868</v>
      </c>
      <c r="G10" s="117" t="s">
        <v>4758</v>
      </c>
      <c r="H10" s="96" t="s">
        <v>2467</v>
      </c>
      <c r="I10" s="152" t="s">
        <v>511</v>
      </c>
      <c r="J10" s="202" t="s">
        <v>4759</v>
      </c>
    </row>
    <row r="11" spans="1:10" ht="30" x14ac:dyDescent="0.2">
      <c r="A11" s="421"/>
      <c r="B11" s="421"/>
      <c r="C11" s="423"/>
      <c r="D11" s="421"/>
      <c r="E11" s="421"/>
      <c r="F11" s="96" t="s">
        <v>2869</v>
      </c>
      <c r="G11" s="96" t="s">
        <v>2404</v>
      </c>
      <c r="H11" s="96" t="s">
        <v>2467</v>
      </c>
      <c r="I11" s="152" t="s">
        <v>528</v>
      </c>
      <c r="J11" s="202" t="s">
        <v>4760</v>
      </c>
    </row>
    <row r="12" spans="1:10" x14ac:dyDescent="0.2">
      <c r="A12" s="421"/>
      <c r="B12" s="421"/>
      <c r="C12" s="423"/>
      <c r="D12" s="421"/>
      <c r="E12" s="421"/>
      <c r="F12" s="96" t="s">
        <v>2870</v>
      </c>
      <c r="G12" s="96" t="s">
        <v>2406</v>
      </c>
      <c r="H12" s="96" t="s">
        <v>2467</v>
      </c>
      <c r="I12" s="152" t="s">
        <v>511</v>
      </c>
      <c r="J12" s="152"/>
    </row>
    <row r="13" spans="1:10" ht="45" x14ac:dyDescent="0.2">
      <c r="A13" s="421"/>
      <c r="B13" s="421"/>
      <c r="C13" s="423"/>
      <c r="D13" s="421"/>
      <c r="E13" s="421"/>
      <c r="F13" s="96" t="s">
        <v>2871</v>
      </c>
      <c r="G13" s="96" t="s">
        <v>2408</v>
      </c>
      <c r="H13" s="96" t="s">
        <v>2467</v>
      </c>
      <c r="I13" s="152" t="s">
        <v>528</v>
      </c>
      <c r="J13" s="202" t="s">
        <v>4761</v>
      </c>
    </row>
    <row r="14" spans="1:10" ht="45" x14ac:dyDescent="0.2">
      <c r="A14" s="421"/>
      <c r="B14" s="421"/>
      <c r="C14" s="423"/>
      <c r="D14" s="421"/>
      <c r="E14" s="421"/>
      <c r="F14" s="96" t="s">
        <v>2872</v>
      </c>
      <c r="G14" s="96" t="s">
        <v>2410</v>
      </c>
      <c r="H14" s="96" t="s">
        <v>2467</v>
      </c>
      <c r="I14" s="152" t="s">
        <v>511</v>
      </c>
      <c r="J14" s="202" t="s">
        <v>4762</v>
      </c>
    </row>
    <row r="15" spans="1:10" ht="30" x14ac:dyDescent="0.2">
      <c r="A15" s="421"/>
      <c r="B15" s="421"/>
      <c r="C15" s="423"/>
      <c r="D15" s="421"/>
      <c r="E15" s="421"/>
      <c r="F15" s="217" t="s">
        <v>4754</v>
      </c>
      <c r="G15" s="218" t="s">
        <v>4753</v>
      </c>
      <c r="H15" s="218" t="s">
        <v>1967</v>
      </c>
      <c r="I15" s="219" t="s">
        <v>507</v>
      </c>
      <c r="J15" s="218" t="s">
        <v>4752</v>
      </c>
    </row>
    <row r="16" spans="1:10" ht="30" x14ac:dyDescent="0.2">
      <c r="A16" s="421"/>
      <c r="B16" s="421"/>
      <c r="C16" s="423"/>
      <c r="D16" s="421"/>
      <c r="E16" s="421"/>
      <c r="F16" s="217" t="s">
        <v>4755</v>
      </c>
      <c r="G16" s="218" t="s">
        <v>4757</v>
      </c>
      <c r="H16" s="218" t="s">
        <v>1967</v>
      </c>
      <c r="I16" s="219" t="s">
        <v>507</v>
      </c>
      <c r="J16" s="218" t="s">
        <v>4756</v>
      </c>
    </row>
    <row r="17" spans="1:10" ht="15" customHeight="1" x14ac:dyDescent="0.2">
      <c r="A17" s="421"/>
      <c r="B17" s="421" t="s">
        <v>428</v>
      </c>
      <c r="C17" s="422" t="s">
        <v>4751</v>
      </c>
      <c r="D17" s="421"/>
      <c r="E17" s="421" t="s">
        <v>507</v>
      </c>
      <c r="F17" s="96" t="s">
        <v>2873</v>
      </c>
      <c r="G17" s="96" t="s">
        <v>2874</v>
      </c>
      <c r="H17" s="117" t="s">
        <v>4128</v>
      </c>
      <c r="I17" s="152" t="s">
        <v>507</v>
      </c>
      <c r="J17" s="152"/>
    </row>
    <row r="18" spans="1:10" ht="25.5" x14ac:dyDescent="0.2">
      <c r="A18" s="421"/>
      <c r="B18" s="421"/>
      <c r="C18" s="423"/>
      <c r="D18" s="421"/>
      <c r="E18" s="421"/>
      <c r="F18" s="96" t="s">
        <v>2875</v>
      </c>
      <c r="G18" s="96" t="s">
        <v>2876</v>
      </c>
      <c r="H18" s="117" t="s">
        <v>4128</v>
      </c>
      <c r="I18" s="152" t="s">
        <v>507</v>
      </c>
      <c r="J18" s="152"/>
    </row>
    <row r="19" spans="1:10" x14ac:dyDescent="0.2">
      <c r="A19" s="421"/>
      <c r="B19" s="421"/>
      <c r="C19" s="423"/>
      <c r="D19" s="421"/>
      <c r="E19" s="421"/>
      <c r="F19" s="96" t="s">
        <v>2877</v>
      </c>
      <c r="G19" s="96" t="s">
        <v>2878</v>
      </c>
      <c r="H19" s="117" t="s">
        <v>4128</v>
      </c>
      <c r="I19" s="152" t="s">
        <v>507</v>
      </c>
      <c r="J19" s="152"/>
    </row>
    <row r="20" spans="1:10" x14ac:dyDescent="0.2">
      <c r="A20" s="421"/>
      <c r="B20" s="421"/>
      <c r="C20" s="423"/>
      <c r="D20" s="421"/>
      <c r="E20" s="421"/>
      <c r="F20" s="96" t="s">
        <v>2879</v>
      </c>
      <c r="G20" s="96" t="s">
        <v>2880</v>
      </c>
      <c r="H20" s="117" t="s">
        <v>4128</v>
      </c>
      <c r="I20" s="152" t="s">
        <v>507</v>
      </c>
      <c r="J20" s="152"/>
    </row>
    <row r="21" spans="1:10" x14ac:dyDescent="0.2">
      <c r="A21" s="421"/>
      <c r="B21" s="421"/>
      <c r="C21" s="423"/>
      <c r="D21" s="421"/>
      <c r="E21" s="421"/>
      <c r="F21" s="96" t="s">
        <v>2881</v>
      </c>
      <c r="G21" s="96" t="s">
        <v>2882</v>
      </c>
      <c r="H21" s="117" t="s">
        <v>4128</v>
      </c>
      <c r="I21" s="152" t="s">
        <v>507</v>
      </c>
      <c r="J21" s="152"/>
    </row>
    <row r="22" spans="1:10" x14ac:dyDescent="0.2">
      <c r="A22" s="421"/>
      <c r="B22" s="421"/>
      <c r="C22" s="423"/>
      <c r="D22" s="421"/>
      <c r="E22" s="421"/>
      <c r="F22" s="96" t="s">
        <v>2883</v>
      </c>
      <c r="G22" s="96" t="s">
        <v>2884</v>
      </c>
      <c r="H22" s="117" t="s">
        <v>4128</v>
      </c>
      <c r="I22" s="152" t="s">
        <v>507</v>
      </c>
      <c r="J22" s="152"/>
    </row>
    <row r="23" spans="1:10" ht="15" customHeight="1" x14ac:dyDescent="0.2">
      <c r="A23" s="421"/>
      <c r="B23" s="421" t="s">
        <v>429</v>
      </c>
      <c r="C23" s="422" t="s">
        <v>798</v>
      </c>
      <c r="D23" s="421"/>
      <c r="E23" s="421" t="s">
        <v>528</v>
      </c>
      <c r="F23" s="96" t="s">
        <v>2885</v>
      </c>
      <c r="G23" s="96" t="s">
        <v>2886</v>
      </c>
      <c r="H23" s="117" t="s">
        <v>2467</v>
      </c>
      <c r="I23" s="152" t="s">
        <v>528</v>
      </c>
      <c r="J23" s="152"/>
    </row>
    <row r="24" spans="1:10" x14ac:dyDescent="0.2">
      <c r="A24" s="421"/>
      <c r="B24" s="421"/>
      <c r="C24" s="423"/>
      <c r="D24" s="421"/>
      <c r="E24" s="421"/>
      <c r="F24" s="96" t="s">
        <v>2887</v>
      </c>
      <c r="G24" s="96" t="s">
        <v>2888</v>
      </c>
      <c r="H24" s="117" t="s">
        <v>2467</v>
      </c>
      <c r="I24" s="152" t="s">
        <v>528</v>
      </c>
      <c r="J24" s="152"/>
    </row>
    <row r="25" spans="1:10" x14ac:dyDescent="0.2">
      <c r="A25" s="421"/>
      <c r="B25" s="421"/>
      <c r="C25" s="423"/>
      <c r="D25" s="421"/>
      <c r="E25" s="421"/>
      <c r="F25" s="96" t="s">
        <v>2889</v>
      </c>
      <c r="G25" s="96" t="s">
        <v>2890</v>
      </c>
      <c r="H25" s="117" t="s">
        <v>2467</v>
      </c>
      <c r="I25" s="152" t="s">
        <v>528</v>
      </c>
      <c r="J25" s="152"/>
    </row>
    <row r="26" spans="1:10" x14ac:dyDescent="0.2">
      <c r="A26" s="421"/>
      <c r="B26" s="421"/>
      <c r="C26" s="423"/>
      <c r="D26" s="421"/>
      <c r="E26" s="421"/>
      <c r="F26" s="96" t="s">
        <v>2891</v>
      </c>
      <c r="G26" s="96" t="s">
        <v>2892</v>
      </c>
      <c r="H26" s="117" t="s">
        <v>2467</v>
      </c>
      <c r="I26" s="152" t="s">
        <v>528</v>
      </c>
      <c r="J26" s="152"/>
    </row>
    <row r="27" spans="1:10" x14ac:dyDescent="0.2">
      <c r="A27" s="421"/>
      <c r="B27" s="421"/>
      <c r="C27" s="423"/>
      <c r="D27" s="421"/>
      <c r="E27" s="421"/>
      <c r="F27" s="96" t="s">
        <v>2893</v>
      </c>
      <c r="G27" s="96" t="s">
        <v>2698</v>
      </c>
      <c r="H27" s="117" t="s">
        <v>2467</v>
      </c>
      <c r="I27" s="152" t="s">
        <v>528</v>
      </c>
      <c r="J27" s="152"/>
    </row>
    <row r="28" spans="1:10" x14ac:dyDescent="0.2">
      <c r="A28" s="421"/>
      <c r="B28" s="421"/>
      <c r="C28" s="423"/>
      <c r="D28" s="421"/>
      <c r="E28" s="421"/>
      <c r="F28" s="96" t="s">
        <v>2894</v>
      </c>
      <c r="G28" s="96" t="s">
        <v>2895</v>
      </c>
      <c r="H28" s="117" t="s">
        <v>2467</v>
      </c>
      <c r="I28" s="152" t="s">
        <v>528</v>
      </c>
      <c r="J28" s="152"/>
    </row>
    <row r="29" spans="1:10" ht="15" customHeight="1" x14ac:dyDescent="0.2">
      <c r="A29" s="421"/>
      <c r="B29" s="421" t="s">
        <v>430</v>
      </c>
      <c r="C29" s="423" t="s">
        <v>799</v>
      </c>
      <c r="D29" s="421"/>
      <c r="E29" s="421" t="s">
        <v>528</v>
      </c>
      <c r="F29" s="96" t="s">
        <v>2896</v>
      </c>
      <c r="G29" s="96" t="s">
        <v>2897</v>
      </c>
      <c r="H29" s="117" t="s">
        <v>2467</v>
      </c>
      <c r="I29" s="152" t="s">
        <v>528</v>
      </c>
      <c r="J29" s="152"/>
    </row>
    <row r="30" spans="1:10" x14ac:dyDescent="0.2">
      <c r="A30" s="421"/>
      <c r="B30" s="421"/>
      <c r="C30" s="423"/>
      <c r="D30" s="421"/>
      <c r="E30" s="421"/>
      <c r="F30" s="96" t="s">
        <v>2898</v>
      </c>
      <c r="G30" s="96" t="s">
        <v>2899</v>
      </c>
      <c r="H30" s="117" t="s">
        <v>2467</v>
      </c>
      <c r="I30" s="152" t="s">
        <v>528</v>
      </c>
      <c r="J30" s="152"/>
    </row>
    <row r="31" spans="1:10" x14ac:dyDescent="0.2">
      <c r="A31" s="421"/>
      <c r="B31" s="421"/>
      <c r="C31" s="423"/>
      <c r="D31" s="421"/>
      <c r="E31" s="421"/>
      <c r="F31" s="96" t="s">
        <v>2900</v>
      </c>
      <c r="G31" s="96" t="s">
        <v>2901</v>
      </c>
      <c r="H31" s="117" t="s">
        <v>2467</v>
      </c>
      <c r="I31" s="152" t="s">
        <v>528</v>
      </c>
      <c r="J31" s="152"/>
    </row>
    <row r="32" spans="1:10" ht="25.5" x14ac:dyDescent="0.2">
      <c r="A32" s="421"/>
      <c r="B32" s="421"/>
      <c r="C32" s="423"/>
      <c r="D32" s="421"/>
      <c r="E32" s="421"/>
      <c r="F32" s="96" t="s">
        <v>2902</v>
      </c>
      <c r="G32" s="96" t="s">
        <v>2903</v>
      </c>
      <c r="H32" s="117" t="s">
        <v>2467</v>
      </c>
      <c r="I32" s="152" t="s">
        <v>528</v>
      </c>
      <c r="J32" s="152"/>
    </row>
    <row r="33" spans="1:10" x14ac:dyDescent="0.2">
      <c r="A33" s="421"/>
      <c r="B33" s="421"/>
      <c r="C33" s="423"/>
      <c r="D33" s="421"/>
      <c r="E33" s="421"/>
      <c r="F33" s="96" t="s">
        <v>2904</v>
      </c>
      <c r="G33" s="96" t="s">
        <v>2905</v>
      </c>
      <c r="H33" s="117" t="s">
        <v>2467</v>
      </c>
      <c r="I33" s="152" t="s">
        <v>528</v>
      </c>
      <c r="J33" s="152"/>
    </row>
    <row r="34" spans="1:10" x14ac:dyDescent="0.2">
      <c r="A34" s="421"/>
      <c r="B34" s="421"/>
      <c r="C34" s="423"/>
      <c r="D34" s="421"/>
      <c r="E34" s="421"/>
      <c r="F34" s="96" t="s">
        <v>2906</v>
      </c>
      <c r="G34" s="96" t="s">
        <v>2907</v>
      </c>
      <c r="H34" s="117" t="s">
        <v>2467</v>
      </c>
      <c r="I34" s="152" t="s">
        <v>528</v>
      </c>
    </row>
    <row r="35" spans="1:10" ht="22.9" customHeight="1" x14ac:dyDescent="0.2">
      <c r="A35" s="421"/>
      <c r="B35" s="421" t="s">
        <v>431</v>
      </c>
      <c r="C35" s="423" t="s">
        <v>800</v>
      </c>
      <c r="D35" s="421"/>
      <c r="E35" s="421" t="s">
        <v>511</v>
      </c>
      <c r="F35" s="96" t="s">
        <v>2908</v>
      </c>
      <c r="G35" s="96" t="s">
        <v>2909</v>
      </c>
      <c r="H35" s="117" t="s">
        <v>2467</v>
      </c>
      <c r="I35" s="152" t="s">
        <v>511</v>
      </c>
    </row>
    <row r="36" spans="1:10" x14ac:dyDescent="0.2">
      <c r="A36" s="421"/>
      <c r="B36" s="421"/>
      <c r="C36" s="423"/>
      <c r="D36" s="421"/>
      <c r="E36" s="421"/>
      <c r="F36" s="96" t="s">
        <v>2910</v>
      </c>
      <c r="G36" s="96" t="s">
        <v>2911</v>
      </c>
      <c r="H36" s="117" t="s">
        <v>2467</v>
      </c>
      <c r="I36" s="152" t="s">
        <v>511</v>
      </c>
      <c r="J36" s="202" t="s">
        <v>4763</v>
      </c>
    </row>
    <row r="37" spans="1:10" x14ac:dyDescent="0.2">
      <c r="A37" s="421"/>
      <c r="B37" s="421"/>
      <c r="C37" s="423"/>
      <c r="D37" s="421"/>
      <c r="E37" s="421"/>
      <c r="F37" s="96" t="s">
        <v>2912</v>
      </c>
      <c r="G37" s="96" t="s">
        <v>2913</v>
      </c>
      <c r="H37" s="117" t="s">
        <v>2467</v>
      </c>
      <c r="I37" s="152" t="s">
        <v>511</v>
      </c>
      <c r="J37" s="202" t="s">
        <v>4764</v>
      </c>
    </row>
    <row r="38" spans="1:10" x14ac:dyDescent="0.2">
      <c r="A38" s="421"/>
      <c r="B38" s="421"/>
      <c r="C38" s="423"/>
      <c r="D38" s="421"/>
      <c r="E38" s="421"/>
      <c r="F38" s="96" t="s">
        <v>2914</v>
      </c>
      <c r="G38" s="96" t="s">
        <v>2915</v>
      </c>
      <c r="H38" s="117" t="s">
        <v>2467</v>
      </c>
      <c r="I38" s="152" t="s">
        <v>511</v>
      </c>
    </row>
    <row r="39" spans="1:10" ht="30" x14ac:dyDescent="0.2">
      <c r="A39" s="421"/>
      <c r="B39" s="421"/>
      <c r="C39" s="423"/>
      <c r="D39" s="421"/>
      <c r="E39" s="421"/>
      <c r="F39" s="96" t="s">
        <v>2916</v>
      </c>
      <c r="G39" s="96" t="s">
        <v>2917</v>
      </c>
      <c r="H39" s="117" t="s">
        <v>2467</v>
      </c>
      <c r="I39" s="152" t="s">
        <v>511</v>
      </c>
      <c r="J39" s="202" t="s">
        <v>4765</v>
      </c>
    </row>
    <row r="40" spans="1:10" ht="30" x14ac:dyDescent="0.2">
      <c r="A40" s="421"/>
      <c r="B40" s="421"/>
      <c r="C40" s="423"/>
      <c r="D40" s="421"/>
      <c r="E40" s="421"/>
      <c r="F40" s="96" t="s">
        <v>2918</v>
      </c>
      <c r="G40" s="96" t="s">
        <v>2919</v>
      </c>
      <c r="H40" s="117" t="s">
        <v>2467</v>
      </c>
      <c r="I40" s="152" t="s">
        <v>511</v>
      </c>
      <c r="J40" s="202" t="s">
        <v>4765</v>
      </c>
    </row>
    <row r="41" spans="1:10" ht="23.85" customHeight="1" x14ac:dyDescent="0.2">
      <c r="A41" s="421"/>
      <c r="B41" s="421" t="s">
        <v>801</v>
      </c>
      <c r="C41" s="423" t="s">
        <v>802</v>
      </c>
      <c r="D41" s="421"/>
      <c r="E41" s="421" t="s">
        <v>528</v>
      </c>
      <c r="F41" s="96" t="s">
        <v>2920</v>
      </c>
      <c r="G41" s="96" t="s">
        <v>2921</v>
      </c>
      <c r="H41" s="117" t="s">
        <v>2467</v>
      </c>
      <c r="I41" s="152" t="s">
        <v>528</v>
      </c>
      <c r="J41" s="202" t="s">
        <v>4766</v>
      </c>
    </row>
    <row r="42" spans="1:10" ht="30" x14ac:dyDescent="0.2">
      <c r="A42" s="421"/>
      <c r="B42" s="421"/>
      <c r="C42" s="423"/>
      <c r="D42" s="421"/>
      <c r="E42" s="421"/>
      <c r="F42" s="96" t="s">
        <v>2922</v>
      </c>
      <c r="G42" s="96" t="s">
        <v>2923</v>
      </c>
      <c r="H42" s="117" t="s">
        <v>2467</v>
      </c>
      <c r="I42" s="152" t="s">
        <v>528</v>
      </c>
      <c r="J42" s="202" t="s">
        <v>4766</v>
      </c>
    </row>
    <row r="43" spans="1:10" ht="30" x14ac:dyDescent="0.2">
      <c r="A43" s="421"/>
      <c r="B43" s="421"/>
      <c r="C43" s="423"/>
      <c r="D43" s="421"/>
      <c r="E43" s="421"/>
      <c r="F43" s="96" t="s">
        <v>2924</v>
      </c>
      <c r="G43" s="96" t="s">
        <v>2925</v>
      </c>
      <c r="H43" s="117" t="s">
        <v>2467</v>
      </c>
      <c r="I43" s="152" t="s">
        <v>528</v>
      </c>
      <c r="J43" s="202" t="s">
        <v>4766</v>
      </c>
    </row>
    <row r="44" spans="1:10" ht="30" x14ac:dyDescent="0.2">
      <c r="A44" s="421"/>
      <c r="B44" s="421"/>
      <c r="C44" s="423"/>
      <c r="D44" s="421"/>
      <c r="E44" s="421"/>
      <c r="F44" s="96" t="s">
        <v>2926</v>
      </c>
      <c r="G44" s="96" t="s">
        <v>2927</v>
      </c>
      <c r="H44" s="117" t="s">
        <v>2467</v>
      </c>
      <c r="I44" s="152" t="s">
        <v>528</v>
      </c>
      <c r="J44" s="202" t="s">
        <v>4766</v>
      </c>
    </row>
    <row r="45" spans="1:10" ht="30" x14ac:dyDescent="0.2">
      <c r="A45" s="421"/>
      <c r="B45" s="421"/>
      <c r="C45" s="423"/>
      <c r="D45" s="421"/>
      <c r="E45" s="421"/>
      <c r="F45" s="96" t="s">
        <v>2928</v>
      </c>
      <c r="G45" s="96" t="s">
        <v>2929</v>
      </c>
      <c r="H45" s="117" t="s">
        <v>2467</v>
      </c>
      <c r="I45" s="152" t="s">
        <v>528</v>
      </c>
      <c r="J45" s="202" t="s">
        <v>4766</v>
      </c>
    </row>
    <row r="46" spans="1:10" ht="30" x14ac:dyDescent="0.2">
      <c r="A46" s="421"/>
      <c r="B46" s="421"/>
      <c r="C46" s="423"/>
      <c r="D46" s="421"/>
      <c r="E46" s="421"/>
      <c r="F46" s="96" t="s">
        <v>2930</v>
      </c>
      <c r="G46" s="96" t="s">
        <v>2931</v>
      </c>
      <c r="H46" s="117" t="s">
        <v>2467</v>
      </c>
      <c r="I46" s="152" t="s">
        <v>528</v>
      </c>
      <c r="J46" s="202" t="s">
        <v>4766</v>
      </c>
    </row>
    <row r="47" spans="1:10" ht="15" customHeight="1" x14ac:dyDescent="0.2">
      <c r="A47" s="421"/>
      <c r="B47" s="421" t="s">
        <v>803</v>
      </c>
      <c r="C47" s="423" t="s">
        <v>804</v>
      </c>
      <c r="D47" s="421"/>
      <c r="E47" s="421" t="s">
        <v>528</v>
      </c>
      <c r="F47" s="96" t="s">
        <v>2932</v>
      </c>
      <c r="G47" s="96" t="s">
        <v>2933</v>
      </c>
      <c r="H47" s="117" t="s">
        <v>2467</v>
      </c>
      <c r="I47" s="152" t="s">
        <v>528</v>
      </c>
      <c r="J47" s="202" t="s">
        <v>4766</v>
      </c>
    </row>
    <row r="48" spans="1:10" ht="30" x14ac:dyDescent="0.2">
      <c r="A48" s="421"/>
      <c r="B48" s="421"/>
      <c r="C48" s="423"/>
      <c r="D48" s="421"/>
      <c r="E48" s="421"/>
      <c r="F48" s="96" t="s">
        <v>2934</v>
      </c>
      <c r="G48" s="96" t="s">
        <v>2935</v>
      </c>
      <c r="H48" s="117" t="s">
        <v>2467</v>
      </c>
      <c r="I48" s="152" t="s">
        <v>528</v>
      </c>
      <c r="J48" s="202" t="s">
        <v>4766</v>
      </c>
    </row>
    <row r="49" spans="1:10" ht="30" x14ac:dyDescent="0.2">
      <c r="A49" s="421"/>
      <c r="B49" s="421"/>
      <c r="C49" s="423"/>
      <c r="D49" s="421"/>
      <c r="E49" s="421"/>
      <c r="F49" s="96" t="s">
        <v>2936</v>
      </c>
      <c r="G49" s="96" t="s">
        <v>2937</v>
      </c>
      <c r="H49" s="117" t="s">
        <v>2467</v>
      </c>
      <c r="I49" s="152" t="s">
        <v>528</v>
      </c>
      <c r="J49" s="202" t="s">
        <v>4766</v>
      </c>
    </row>
    <row r="50" spans="1:10" ht="30" x14ac:dyDescent="0.2">
      <c r="A50" s="421"/>
      <c r="B50" s="421"/>
      <c r="C50" s="423"/>
      <c r="D50" s="421"/>
      <c r="E50" s="421"/>
      <c r="F50" s="96" t="s">
        <v>2938</v>
      </c>
      <c r="G50" s="96" t="s">
        <v>2939</v>
      </c>
      <c r="H50" s="117" t="s">
        <v>2467</v>
      </c>
      <c r="I50" s="152" t="s">
        <v>528</v>
      </c>
      <c r="J50" s="202" t="s">
        <v>4766</v>
      </c>
    </row>
    <row r="51" spans="1:10" ht="30" x14ac:dyDescent="0.2">
      <c r="A51" s="421"/>
      <c r="B51" s="421"/>
      <c r="C51" s="423"/>
      <c r="D51" s="421"/>
      <c r="E51" s="421"/>
      <c r="F51" s="96" t="s">
        <v>2940</v>
      </c>
      <c r="G51" s="96" t="s">
        <v>2941</v>
      </c>
      <c r="H51" s="117" t="s">
        <v>2467</v>
      </c>
      <c r="I51" s="152" t="s">
        <v>528</v>
      </c>
      <c r="J51" s="202" t="s">
        <v>4766</v>
      </c>
    </row>
    <row r="52" spans="1:10" ht="30" x14ac:dyDescent="0.2">
      <c r="A52" s="421"/>
      <c r="B52" s="421"/>
      <c r="C52" s="423"/>
      <c r="D52" s="421"/>
      <c r="E52" s="421"/>
      <c r="F52" s="96" t="s">
        <v>2942</v>
      </c>
      <c r="G52" s="96" t="s">
        <v>2943</v>
      </c>
      <c r="H52" s="117" t="s">
        <v>2467</v>
      </c>
      <c r="I52" s="152" t="s">
        <v>528</v>
      </c>
      <c r="J52" s="202" t="s">
        <v>4766</v>
      </c>
    </row>
    <row r="53" spans="1:10" x14ac:dyDescent="0.2">
      <c r="E53" s="14"/>
    </row>
    <row r="61" spans="1:10" ht="25.5" x14ac:dyDescent="0.2">
      <c r="E61" s="10" t="s">
        <v>528</v>
      </c>
    </row>
    <row r="62" spans="1:10" x14ac:dyDescent="0.2">
      <c r="E62" s="10" t="s">
        <v>511</v>
      </c>
    </row>
    <row r="63" spans="1:10" x14ac:dyDescent="0.2">
      <c r="E63" s="10" t="s">
        <v>515</v>
      </c>
    </row>
    <row r="64" spans="1:10" x14ac:dyDescent="0.2">
      <c r="E64" s="10" t="s">
        <v>505</v>
      </c>
    </row>
    <row r="65" spans="5:5" x14ac:dyDescent="0.2">
      <c r="E65" s="10" t="s">
        <v>507</v>
      </c>
    </row>
  </sheetData>
  <mergeCells count="33">
    <mergeCell ref="A3:A52"/>
    <mergeCell ref="B41:B46"/>
    <mergeCell ref="C41:C46"/>
    <mergeCell ref="D41:D46"/>
    <mergeCell ref="E41:E46"/>
    <mergeCell ref="B47:B52"/>
    <mergeCell ref="C47:C52"/>
    <mergeCell ref="D47:D52"/>
    <mergeCell ref="E47:E52"/>
    <mergeCell ref="B29:B34"/>
    <mergeCell ref="C29:C34"/>
    <mergeCell ref="D29:D34"/>
    <mergeCell ref="E29:E34"/>
    <mergeCell ref="B35:B40"/>
    <mergeCell ref="C35:C40"/>
    <mergeCell ref="D35:D40"/>
    <mergeCell ref="E35:E40"/>
    <mergeCell ref="C17:C22"/>
    <mergeCell ref="D17:D22"/>
    <mergeCell ref="E17:E22"/>
    <mergeCell ref="B23:B28"/>
    <mergeCell ref="C23:C28"/>
    <mergeCell ref="D23:D28"/>
    <mergeCell ref="E23:E28"/>
    <mergeCell ref="B17:B22"/>
    <mergeCell ref="B3:B8"/>
    <mergeCell ref="C3:C8"/>
    <mergeCell ref="D3:D8"/>
    <mergeCell ref="E3:E8"/>
    <mergeCell ref="B9:B16"/>
    <mergeCell ref="C9:C16"/>
    <mergeCell ref="D9:D16"/>
    <mergeCell ref="E9:E16"/>
  </mergeCells>
  <phoneticPr fontId="69" type="noConversion"/>
  <dataValidations count="1">
    <dataValidation type="list" allowBlank="1" showInputMessage="1" showErrorMessage="1" sqref="E3:E52 I3:I52" xr:uid="{C536D634-4891-1D4A-9058-BF4CDD36C455}">
      <formula1>$E$61:$E$65</formula1>
    </dataValidation>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BF42-A47D-244B-A4A3-DDE428348A17}">
  <sheetPr>
    <tabColor theme="5"/>
  </sheetPr>
  <dimension ref="A1:K124"/>
  <sheetViews>
    <sheetView showGridLines="0" topLeftCell="A9" zoomScale="82" workbookViewId="0">
      <selection activeCell="C88" sqref="C88:C111"/>
    </sheetView>
  </sheetViews>
  <sheetFormatPr defaultColWidth="13.28515625" defaultRowHeight="15" x14ac:dyDescent="0.2"/>
  <cols>
    <col min="1" max="1" width="18.14062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1" ht="31.35" customHeight="1" x14ac:dyDescent="0.2">
      <c r="A1" s="18"/>
      <c r="B1" s="18"/>
      <c r="C1" s="19"/>
      <c r="D1" s="19"/>
      <c r="E1" s="19"/>
      <c r="F1" s="19"/>
      <c r="G1" s="19"/>
      <c r="H1" s="19"/>
      <c r="I1" s="19"/>
      <c r="J1" s="19"/>
    </row>
    <row r="2" spans="1:11" s="13" customFormat="1" ht="45" x14ac:dyDescent="0.2">
      <c r="A2" s="11" t="s">
        <v>1042</v>
      </c>
      <c r="B2" s="11" t="s">
        <v>1050</v>
      </c>
      <c r="C2" s="12" t="s">
        <v>1041</v>
      </c>
      <c r="D2" s="11" t="s">
        <v>185</v>
      </c>
      <c r="E2" s="11" t="s">
        <v>1038</v>
      </c>
      <c r="F2" s="11" t="s">
        <v>1049</v>
      </c>
      <c r="G2" s="11" t="s">
        <v>1040</v>
      </c>
      <c r="H2" s="11" t="s">
        <v>2016</v>
      </c>
      <c r="I2" s="11" t="s">
        <v>1038</v>
      </c>
      <c r="J2" s="11" t="s">
        <v>1039</v>
      </c>
    </row>
    <row r="3" spans="1:11" ht="45" x14ac:dyDescent="0.2">
      <c r="A3" s="421" t="s">
        <v>2728</v>
      </c>
      <c r="B3" s="421" t="s">
        <v>421</v>
      </c>
      <c r="C3" s="423" t="s">
        <v>764</v>
      </c>
      <c r="D3" s="421" t="s">
        <v>3115</v>
      </c>
      <c r="E3" s="421" t="s">
        <v>528</v>
      </c>
      <c r="F3" s="158" t="s">
        <v>2729</v>
      </c>
      <c r="G3" s="158" t="s">
        <v>3054</v>
      </c>
      <c r="H3" s="96" t="s">
        <v>2467</v>
      </c>
      <c r="I3" s="152" t="s">
        <v>528</v>
      </c>
      <c r="J3" s="202" t="s">
        <v>4721</v>
      </c>
    </row>
    <row r="4" spans="1:11" ht="45" x14ac:dyDescent="0.2">
      <c r="A4" s="421"/>
      <c r="B4" s="421"/>
      <c r="C4" s="423"/>
      <c r="D4" s="421"/>
      <c r="E4" s="421"/>
      <c r="F4" s="158" t="s">
        <v>2730</v>
      </c>
      <c r="G4" s="158" t="s">
        <v>3055</v>
      </c>
      <c r="H4" s="96" t="s">
        <v>4596</v>
      </c>
      <c r="I4" s="152" t="s">
        <v>528</v>
      </c>
      <c r="J4" s="202" t="s">
        <v>4722</v>
      </c>
    </row>
    <row r="5" spans="1:11" ht="30" x14ac:dyDescent="0.2">
      <c r="A5" s="421"/>
      <c r="B5" s="421"/>
      <c r="C5" s="423"/>
      <c r="D5" s="421"/>
      <c r="E5" s="421"/>
      <c r="F5" s="158" t="s">
        <v>2731</v>
      </c>
      <c r="G5" s="158" t="s">
        <v>3056</v>
      </c>
      <c r="H5" s="96" t="s">
        <v>2467</v>
      </c>
      <c r="I5" s="152" t="s">
        <v>528</v>
      </c>
      <c r="J5" s="202" t="s">
        <v>4723</v>
      </c>
    </row>
    <row r="6" spans="1:11" ht="30" x14ac:dyDescent="0.2">
      <c r="A6" s="421"/>
      <c r="B6" s="421"/>
      <c r="C6" s="423"/>
      <c r="D6" s="421"/>
      <c r="E6" s="421"/>
      <c r="F6" s="158" t="s">
        <v>2732</v>
      </c>
      <c r="G6" s="158" t="s">
        <v>3057</v>
      </c>
      <c r="H6" s="96" t="s">
        <v>2467</v>
      </c>
      <c r="I6" s="152" t="s">
        <v>528</v>
      </c>
      <c r="J6" s="202" t="s">
        <v>4723</v>
      </c>
    </row>
    <row r="7" spans="1:11" ht="60" x14ac:dyDescent="0.2">
      <c r="A7" s="421"/>
      <c r="B7" s="421"/>
      <c r="C7" s="423"/>
      <c r="D7" s="421"/>
      <c r="E7" s="421"/>
      <c r="F7" s="158" t="s">
        <v>2733</v>
      </c>
      <c r="G7" s="158" t="s">
        <v>3058</v>
      </c>
      <c r="H7" s="96" t="s">
        <v>2467</v>
      </c>
      <c r="I7" s="152" t="s">
        <v>511</v>
      </c>
      <c r="J7" s="202" t="s">
        <v>4724</v>
      </c>
    </row>
    <row r="8" spans="1:11" ht="60" x14ac:dyDescent="0.2">
      <c r="A8" s="421"/>
      <c r="B8" s="421"/>
      <c r="C8" s="423"/>
      <c r="D8" s="421"/>
      <c r="E8" s="421"/>
      <c r="F8" s="158" t="s">
        <v>2734</v>
      </c>
      <c r="G8" s="158" t="s">
        <v>3059</v>
      </c>
      <c r="H8" s="96" t="s">
        <v>1966</v>
      </c>
      <c r="I8" s="152" t="s">
        <v>511</v>
      </c>
      <c r="J8" s="202" t="s">
        <v>4725</v>
      </c>
    </row>
    <row r="9" spans="1:11" ht="60" x14ac:dyDescent="0.2">
      <c r="A9" s="421"/>
      <c r="B9" s="421"/>
      <c r="C9" s="423"/>
      <c r="D9" s="421"/>
      <c r="E9" s="421"/>
      <c r="F9" s="158" t="s">
        <v>3060</v>
      </c>
      <c r="G9" s="158" t="s">
        <v>3061</v>
      </c>
      <c r="H9" s="96"/>
      <c r="I9" s="152"/>
      <c r="J9" s="202" t="s">
        <v>4725</v>
      </c>
    </row>
    <row r="10" spans="1:11" ht="120" x14ac:dyDescent="0.2">
      <c r="A10" s="421"/>
      <c r="B10" s="421"/>
      <c r="C10" s="423"/>
      <c r="D10" s="421"/>
      <c r="E10" s="421"/>
      <c r="F10" s="212" t="s">
        <v>3062</v>
      </c>
      <c r="G10" s="212" t="s">
        <v>4746</v>
      </c>
      <c r="H10" s="213" t="s">
        <v>2467</v>
      </c>
      <c r="I10" s="214" t="s">
        <v>505</v>
      </c>
      <c r="J10" s="215" t="s">
        <v>4745</v>
      </c>
      <c r="K10" s="14" t="s">
        <v>4748</v>
      </c>
    </row>
    <row r="11" spans="1:11" ht="120" x14ac:dyDescent="0.2">
      <c r="A11" s="421"/>
      <c r="B11" s="421"/>
      <c r="C11" s="423"/>
      <c r="D11" s="421"/>
      <c r="E11" s="421"/>
      <c r="F11" s="212" t="s">
        <v>4726</v>
      </c>
      <c r="G11" s="212" t="s">
        <v>3063</v>
      </c>
      <c r="H11" s="213" t="s">
        <v>2467</v>
      </c>
      <c r="I11" s="214" t="s">
        <v>515</v>
      </c>
      <c r="J11" s="215" t="s">
        <v>4729</v>
      </c>
      <c r="K11" s="14" t="s">
        <v>4748</v>
      </c>
    </row>
    <row r="12" spans="1:11" ht="120" x14ac:dyDescent="0.2">
      <c r="A12" s="421"/>
      <c r="B12" s="421"/>
      <c r="C12" s="423"/>
      <c r="D12" s="421"/>
      <c r="E12" s="421"/>
      <c r="F12" s="212" t="s">
        <v>4742</v>
      </c>
      <c r="G12" s="212" t="s">
        <v>4727</v>
      </c>
      <c r="H12" s="213" t="s">
        <v>4603</v>
      </c>
      <c r="I12" s="214" t="s">
        <v>507</v>
      </c>
      <c r="J12" s="215" t="s">
        <v>4728</v>
      </c>
      <c r="K12" s="14" t="s">
        <v>4748</v>
      </c>
    </row>
    <row r="13" spans="1:11" ht="105" x14ac:dyDescent="0.2">
      <c r="A13" s="421"/>
      <c r="B13" s="421"/>
      <c r="C13" s="423"/>
      <c r="D13" s="421"/>
      <c r="E13" s="421"/>
      <c r="F13" s="216" t="s">
        <v>4744</v>
      </c>
      <c r="G13" s="213" t="s">
        <v>4743</v>
      </c>
      <c r="H13" s="213" t="s">
        <v>4603</v>
      </c>
      <c r="I13" s="214" t="s">
        <v>507</v>
      </c>
      <c r="J13" s="215" t="s">
        <v>4747</v>
      </c>
    </row>
    <row r="14" spans="1:11" x14ac:dyDescent="0.2">
      <c r="A14" s="421"/>
      <c r="B14" s="421"/>
      <c r="C14" s="423"/>
      <c r="D14" s="421"/>
      <c r="E14" s="421"/>
      <c r="F14" s="158"/>
      <c r="G14" s="14"/>
      <c r="H14" s="96"/>
      <c r="I14" s="152"/>
      <c r="J14" s="152"/>
    </row>
    <row r="15" spans="1:11" x14ac:dyDescent="0.2">
      <c r="A15" s="421"/>
      <c r="B15" s="421"/>
      <c r="C15" s="423"/>
      <c r="D15" s="421"/>
      <c r="E15" s="421"/>
      <c r="F15" s="96"/>
      <c r="G15" s="14"/>
      <c r="H15" s="96"/>
      <c r="I15" s="152"/>
      <c r="J15" s="152"/>
    </row>
    <row r="16" spans="1:11" x14ac:dyDescent="0.2">
      <c r="A16" s="421"/>
      <c r="B16" s="421"/>
      <c r="C16" s="423"/>
      <c r="D16" s="421"/>
      <c r="E16" s="421"/>
      <c r="F16" s="96"/>
      <c r="G16" s="158"/>
      <c r="H16" s="96"/>
      <c r="I16" s="152"/>
      <c r="J16" s="152"/>
    </row>
    <row r="17" spans="1:10" x14ac:dyDescent="0.2">
      <c r="A17" s="421"/>
      <c r="B17" s="421"/>
      <c r="C17" s="423"/>
      <c r="D17" s="421"/>
      <c r="E17" s="421"/>
      <c r="F17" s="96"/>
      <c r="G17" s="96"/>
      <c r="H17" s="96"/>
      <c r="I17" s="152"/>
      <c r="J17" s="152"/>
    </row>
    <row r="18" spans="1:10" ht="25.5" x14ac:dyDescent="0.2">
      <c r="A18" s="421"/>
      <c r="B18" s="421" t="s">
        <v>422</v>
      </c>
      <c r="C18" s="424" t="s">
        <v>3117</v>
      </c>
      <c r="D18" s="421" t="s">
        <v>3114</v>
      </c>
      <c r="E18" s="421"/>
      <c r="F18" s="158" t="s">
        <v>2735</v>
      </c>
      <c r="G18" s="158" t="s">
        <v>2736</v>
      </c>
      <c r="H18" s="96"/>
      <c r="I18" s="152" t="s">
        <v>528</v>
      </c>
      <c r="J18" s="152"/>
    </row>
    <row r="19" spans="1:10" ht="25.5" x14ac:dyDescent="0.2">
      <c r="A19" s="421"/>
      <c r="B19" s="421"/>
      <c r="C19" s="424"/>
      <c r="D19" s="421"/>
      <c r="E19" s="421"/>
      <c r="F19" s="158" t="s">
        <v>2737</v>
      </c>
      <c r="G19" s="158" t="s">
        <v>3064</v>
      </c>
      <c r="H19" s="96"/>
      <c r="I19" s="152" t="s">
        <v>528</v>
      </c>
      <c r="J19" s="152"/>
    </row>
    <row r="20" spans="1:10" x14ac:dyDescent="0.2">
      <c r="A20" s="421"/>
      <c r="B20" s="421"/>
      <c r="C20" s="424"/>
      <c r="D20" s="421"/>
      <c r="E20" s="421"/>
      <c r="F20" s="158" t="s">
        <v>2739</v>
      </c>
      <c r="G20" s="160" t="s">
        <v>3116</v>
      </c>
      <c r="H20" s="96"/>
      <c r="I20" s="152" t="s">
        <v>528</v>
      </c>
      <c r="J20" s="152"/>
    </row>
    <row r="21" spans="1:10" x14ac:dyDescent="0.2">
      <c r="A21" s="421"/>
      <c r="B21" s="421"/>
      <c r="C21" s="424"/>
      <c r="D21" s="421"/>
      <c r="E21" s="421"/>
      <c r="F21" s="158" t="s">
        <v>2741</v>
      </c>
      <c r="G21" s="158" t="s">
        <v>2738</v>
      </c>
      <c r="H21" s="96"/>
      <c r="I21" s="152" t="s">
        <v>528</v>
      </c>
      <c r="J21" s="152"/>
    </row>
    <row r="22" spans="1:10" ht="25.5" x14ac:dyDescent="0.2">
      <c r="A22" s="421"/>
      <c r="B22" s="421"/>
      <c r="C22" s="424"/>
      <c r="D22" s="421"/>
      <c r="E22" s="421"/>
      <c r="F22" s="158" t="s">
        <v>2742</v>
      </c>
      <c r="G22" s="158" t="s">
        <v>3065</v>
      </c>
      <c r="H22" s="96"/>
      <c r="I22" s="152" t="s">
        <v>528</v>
      </c>
      <c r="J22" s="152"/>
    </row>
    <row r="23" spans="1:10" ht="25.5" x14ac:dyDescent="0.2">
      <c r="A23" s="421"/>
      <c r="B23" s="421"/>
      <c r="C23" s="424"/>
      <c r="D23" s="421"/>
      <c r="E23" s="421"/>
      <c r="F23" s="158" t="s">
        <v>2743</v>
      </c>
      <c r="G23" s="158" t="s">
        <v>3066</v>
      </c>
      <c r="H23" s="96"/>
      <c r="I23" s="152" t="s">
        <v>528</v>
      </c>
      <c r="J23" s="152"/>
    </row>
    <row r="24" spans="1:10" x14ac:dyDescent="0.2">
      <c r="A24" s="421"/>
      <c r="B24" s="421"/>
      <c r="C24" s="424"/>
      <c r="D24" s="421"/>
      <c r="E24" s="421"/>
      <c r="F24" s="158" t="s">
        <v>3067</v>
      </c>
      <c r="G24" s="158" t="s">
        <v>2740</v>
      </c>
      <c r="H24" s="96"/>
      <c r="I24" s="152" t="s">
        <v>528</v>
      </c>
      <c r="J24" s="152"/>
    </row>
    <row r="25" spans="1:10" x14ac:dyDescent="0.2">
      <c r="A25" s="421"/>
      <c r="B25" s="421"/>
      <c r="C25" s="424"/>
      <c r="D25" s="421"/>
      <c r="E25" s="421"/>
      <c r="F25" s="158" t="s">
        <v>3068</v>
      </c>
      <c r="G25" s="158" t="s">
        <v>4741</v>
      </c>
      <c r="H25" s="96"/>
      <c r="I25" s="152" t="s">
        <v>528</v>
      </c>
      <c r="J25" s="148" t="s">
        <v>3118</v>
      </c>
    </row>
    <row r="26" spans="1:10" x14ac:dyDescent="0.2">
      <c r="A26" s="421"/>
      <c r="B26" s="421" t="s">
        <v>423</v>
      </c>
      <c r="C26" s="424" t="s">
        <v>770</v>
      </c>
      <c r="D26" s="421"/>
      <c r="E26" s="421"/>
      <c r="F26" s="158" t="s">
        <v>2744</v>
      </c>
      <c r="G26" s="158" t="s">
        <v>2745</v>
      </c>
      <c r="H26" s="96"/>
      <c r="I26" s="152" t="s">
        <v>528</v>
      </c>
      <c r="J26" s="152"/>
    </row>
    <row r="27" spans="1:10" ht="25.5" x14ac:dyDescent="0.2">
      <c r="A27" s="421"/>
      <c r="B27" s="421"/>
      <c r="C27" s="424"/>
      <c r="D27" s="421"/>
      <c r="E27" s="421"/>
      <c r="F27" s="158" t="s">
        <v>2746</v>
      </c>
      <c r="G27" s="158" t="s">
        <v>3069</v>
      </c>
      <c r="H27" s="96"/>
      <c r="I27" s="152" t="s">
        <v>528</v>
      </c>
      <c r="J27" s="152"/>
    </row>
    <row r="28" spans="1:10" x14ac:dyDescent="0.2">
      <c r="A28" s="421"/>
      <c r="B28" s="421"/>
      <c r="C28" s="424"/>
      <c r="D28" s="421"/>
      <c r="E28" s="421"/>
      <c r="F28" s="158" t="s">
        <v>2748</v>
      </c>
      <c r="G28" s="158" t="s">
        <v>2747</v>
      </c>
      <c r="H28" s="96"/>
      <c r="I28" s="152" t="s">
        <v>528</v>
      </c>
      <c r="J28" s="152"/>
    </row>
    <row r="29" spans="1:10" ht="25.5" x14ac:dyDescent="0.2">
      <c r="A29" s="421"/>
      <c r="B29" s="421"/>
      <c r="C29" s="424"/>
      <c r="D29" s="421"/>
      <c r="E29" s="421"/>
      <c r="F29" s="158" t="s">
        <v>2750</v>
      </c>
      <c r="G29" s="158" t="s">
        <v>3070</v>
      </c>
      <c r="H29" s="96"/>
      <c r="I29" s="152" t="s">
        <v>528</v>
      </c>
      <c r="J29" s="152"/>
    </row>
    <row r="30" spans="1:10" x14ac:dyDescent="0.2">
      <c r="A30" s="421"/>
      <c r="B30" s="421"/>
      <c r="C30" s="424"/>
      <c r="D30" s="421"/>
      <c r="E30" s="421"/>
      <c r="F30" s="158" t="s">
        <v>2751</v>
      </c>
      <c r="G30" s="158" t="s">
        <v>3071</v>
      </c>
      <c r="H30" s="96"/>
      <c r="I30" s="152" t="s">
        <v>528</v>
      </c>
      <c r="J30" s="152"/>
    </row>
    <row r="31" spans="1:10" x14ac:dyDescent="0.2">
      <c r="A31" s="421"/>
      <c r="B31" s="421"/>
      <c r="C31" s="424"/>
      <c r="D31" s="421"/>
      <c r="E31" s="421"/>
      <c r="F31" s="158" t="s">
        <v>2752</v>
      </c>
      <c r="G31" s="158" t="s">
        <v>2749</v>
      </c>
      <c r="H31" s="96"/>
      <c r="I31" s="152" t="s">
        <v>528</v>
      </c>
      <c r="J31" s="152"/>
    </row>
    <row r="32" spans="1:10" ht="25.5" x14ac:dyDescent="0.2">
      <c r="A32" s="421"/>
      <c r="B32" s="421"/>
      <c r="C32" s="424"/>
      <c r="D32" s="421"/>
      <c r="E32" s="421"/>
      <c r="F32" s="158" t="s">
        <v>3072</v>
      </c>
      <c r="G32" s="158" t="s">
        <v>3073</v>
      </c>
      <c r="H32" s="96"/>
      <c r="I32" s="152" t="s">
        <v>528</v>
      </c>
      <c r="J32" s="152"/>
    </row>
    <row r="33" spans="1:10" x14ac:dyDescent="0.2">
      <c r="A33" s="421"/>
      <c r="B33" s="421"/>
      <c r="C33" s="424"/>
      <c r="D33" s="421"/>
      <c r="E33" s="421"/>
      <c r="F33" s="158" t="s">
        <v>3074</v>
      </c>
      <c r="G33" s="96" t="s">
        <v>2753</v>
      </c>
      <c r="H33" s="96"/>
      <c r="I33" s="152" t="s">
        <v>528</v>
      </c>
      <c r="J33" s="152"/>
    </row>
    <row r="34" spans="1:10" x14ac:dyDescent="0.2">
      <c r="A34" s="421"/>
      <c r="B34" s="421" t="s">
        <v>424</v>
      </c>
      <c r="C34" s="425" t="s">
        <v>771</v>
      </c>
      <c r="D34" s="421"/>
      <c r="E34" s="421"/>
      <c r="F34" s="96" t="s">
        <v>2754</v>
      </c>
      <c r="G34" s="96" t="s">
        <v>2755</v>
      </c>
      <c r="H34" s="96"/>
      <c r="I34" s="152" t="s">
        <v>505</v>
      </c>
      <c r="J34" s="152"/>
    </row>
    <row r="35" spans="1:10" x14ac:dyDescent="0.2">
      <c r="A35" s="421"/>
      <c r="B35" s="421"/>
      <c r="C35" s="425"/>
      <c r="D35" s="421"/>
      <c r="E35" s="421"/>
      <c r="F35" s="96" t="s">
        <v>2756</v>
      </c>
      <c r="G35" s="96" t="s">
        <v>2757</v>
      </c>
      <c r="H35" s="96"/>
      <c r="I35" s="152" t="s">
        <v>505</v>
      </c>
      <c r="J35" s="152"/>
    </row>
    <row r="36" spans="1:10" x14ac:dyDescent="0.2">
      <c r="A36" s="421"/>
      <c r="B36" s="421"/>
      <c r="C36" s="425"/>
      <c r="D36" s="421"/>
      <c r="E36" s="421"/>
      <c r="F36" s="96" t="s">
        <v>2758</v>
      </c>
      <c r="G36" s="96" t="s">
        <v>2759</v>
      </c>
      <c r="H36" s="96"/>
      <c r="I36" s="152" t="s">
        <v>505</v>
      </c>
      <c r="J36" s="152"/>
    </row>
    <row r="37" spans="1:10" x14ac:dyDescent="0.2">
      <c r="A37" s="421"/>
      <c r="B37" s="421"/>
      <c r="C37" s="425"/>
      <c r="D37" s="421"/>
      <c r="E37" s="421"/>
      <c r="F37" s="96" t="s">
        <v>2760</v>
      </c>
      <c r="G37" s="96" t="s">
        <v>2761</v>
      </c>
      <c r="H37" s="96"/>
      <c r="I37" s="152" t="s">
        <v>505</v>
      </c>
      <c r="J37" s="152"/>
    </row>
    <row r="38" spans="1:10" x14ac:dyDescent="0.2">
      <c r="A38" s="421"/>
      <c r="B38" s="421"/>
      <c r="C38" s="425"/>
      <c r="D38" s="421"/>
      <c r="E38" s="421"/>
      <c r="F38" s="96" t="s">
        <v>2762</v>
      </c>
      <c r="G38" s="96" t="s">
        <v>2763</v>
      </c>
      <c r="H38" s="96"/>
      <c r="I38" s="152" t="s">
        <v>505</v>
      </c>
      <c r="J38" s="152"/>
    </row>
    <row r="39" spans="1:10" x14ac:dyDescent="0.2">
      <c r="A39" s="421"/>
      <c r="B39" s="421"/>
      <c r="C39" s="425"/>
      <c r="D39" s="421"/>
      <c r="E39" s="421"/>
      <c r="F39" s="96" t="s">
        <v>2764</v>
      </c>
      <c r="G39" s="96" t="s">
        <v>2765</v>
      </c>
      <c r="H39" s="96"/>
      <c r="I39" s="152" t="s">
        <v>505</v>
      </c>
      <c r="J39" s="152"/>
    </row>
    <row r="40" spans="1:10" x14ac:dyDescent="0.2">
      <c r="A40" s="421"/>
      <c r="B40" s="421" t="s">
        <v>772</v>
      </c>
      <c r="C40" s="424" t="s">
        <v>773</v>
      </c>
      <c r="D40" s="421"/>
      <c r="E40" s="421"/>
      <c r="F40" s="96" t="s">
        <v>2766</v>
      </c>
      <c r="G40" s="96" t="s">
        <v>2767</v>
      </c>
      <c r="H40" s="96"/>
      <c r="I40" s="152" t="s">
        <v>528</v>
      </c>
      <c r="J40" s="148" t="s">
        <v>3119</v>
      </c>
    </row>
    <row r="41" spans="1:10" x14ac:dyDescent="0.2">
      <c r="A41" s="421"/>
      <c r="B41" s="421"/>
      <c r="C41" s="424"/>
      <c r="D41" s="421"/>
      <c r="E41" s="421"/>
      <c r="F41" s="96" t="s">
        <v>2768</v>
      </c>
      <c r="G41" s="96" t="s">
        <v>2769</v>
      </c>
      <c r="H41" s="96"/>
      <c r="I41" s="152" t="s">
        <v>528</v>
      </c>
      <c r="J41" s="148" t="s">
        <v>3120</v>
      </c>
    </row>
    <row r="42" spans="1:10" x14ac:dyDescent="0.2">
      <c r="A42" s="421"/>
      <c r="B42" s="421"/>
      <c r="C42" s="424"/>
      <c r="D42" s="421"/>
      <c r="E42" s="421"/>
      <c r="F42" s="96" t="s">
        <v>2770</v>
      </c>
      <c r="G42" s="96" t="s">
        <v>2771</v>
      </c>
      <c r="H42" s="96"/>
      <c r="I42" s="152" t="s">
        <v>528</v>
      </c>
      <c r="J42" s="148" t="s">
        <v>3120</v>
      </c>
    </row>
    <row r="43" spans="1:10" x14ac:dyDescent="0.2">
      <c r="A43" s="421"/>
      <c r="B43" s="421"/>
      <c r="C43" s="424"/>
      <c r="D43" s="421"/>
      <c r="E43" s="421"/>
      <c r="F43" s="96" t="s">
        <v>2772</v>
      </c>
      <c r="G43" s="96" t="s">
        <v>2773</v>
      </c>
      <c r="H43" s="96"/>
      <c r="I43" s="152" t="s">
        <v>528</v>
      </c>
      <c r="J43" s="148" t="s">
        <v>3114</v>
      </c>
    </row>
    <row r="44" spans="1:10" x14ac:dyDescent="0.2">
      <c r="A44" s="421"/>
      <c r="B44" s="421"/>
      <c r="C44" s="424"/>
      <c r="D44" s="421"/>
      <c r="E44" s="421"/>
      <c r="F44" s="96" t="s">
        <v>2774</v>
      </c>
      <c r="G44" s="96" t="s">
        <v>2775</v>
      </c>
      <c r="H44" s="96"/>
      <c r="I44" s="152" t="s">
        <v>528</v>
      </c>
      <c r="J44" s="152"/>
    </row>
    <row r="45" spans="1:10" x14ac:dyDescent="0.2">
      <c r="A45" s="421"/>
      <c r="B45" s="421"/>
      <c r="C45" s="424"/>
      <c r="D45" s="421"/>
      <c r="E45" s="421"/>
      <c r="F45" s="96" t="s">
        <v>2776</v>
      </c>
      <c r="G45" s="96" t="s">
        <v>2777</v>
      </c>
      <c r="H45" s="96"/>
      <c r="I45" s="152" t="s">
        <v>528</v>
      </c>
      <c r="J45" s="148" t="s">
        <v>3120</v>
      </c>
    </row>
    <row r="46" spans="1:10" x14ac:dyDescent="0.2">
      <c r="A46" s="421"/>
      <c r="B46" s="421" t="s">
        <v>774</v>
      </c>
      <c r="C46" s="424" t="s">
        <v>775</v>
      </c>
      <c r="D46" s="421"/>
      <c r="E46" s="421"/>
      <c r="F46" s="158" t="s">
        <v>2778</v>
      </c>
      <c r="G46" s="158" t="s">
        <v>2779</v>
      </c>
      <c r="H46" s="96"/>
      <c r="I46" s="152" t="s">
        <v>528</v>
      </c>
      <c r="J46" s="148" t="s">
        <v>3121</v>
      </c>
    </row>
    <row r="47" spans="1:10" ht="25.5" x14ac:dyDescent="0.2">
      <c r="A47" s="421"/>
      <c r="B47" s="421"/>
      <c r="C47" s="424"/>
      <c r="D47" s="421"/>
      <c r="E47" s="421"/>
      <c r="F47" s="158" t="s">
        <v>2780</v>
      </c>
      <c r="G47" s="158" t="s">
        <v>3075</v>
      </c>
      <c r="H47" s="96"/>
      <c r="I47" s="152" t="s">
        <v>528</v>
      </c>
      <c r="J47" s="152"/>
    </row>
    <row r="48" spans="1:10" x14ac:dyDescent="0.2">
      <c r="A48" s="421"/>
      <c r="B48" s="421"/>
      <c r="C48" s="424"/>
      <c r="D48" s="421"/>
      <c r="E48" s="421"/>
      <c r="F48" s="158" t="s">
        <v>2782</v>
      </c>
      <c r="G48" s="158" t="s">
        <v>2781</v>
      </c>
      <c r="H48" s="96"/>
      <c r="I48" s="152" t="s">
        <v>528</v>
      </c>
      <c r="J48" s="152"/>
    </row>
    <row r="49" spans="1:10" x14ac:dyDescent="0.2">
      <c r="A49" s="421"/>
      <c r="B49" s="421"/>
      <c r="C49" s="424"/>
      <c r="D49" s="421"/>
      <c r="E49" s="421"/>
      <c r="F49" s="158" t="s">
        <v>2784</v>
      </c>
      <c r="G49" s="158" t="s">
        <v>2783</v>
      </c>
      <c r="H49" s="96"/>
      <c r="I49" s="152" t="s">
        <v>528</v>
      </c>
      <c r="J49" s="152"/>
    </row>
    <row r="50" spans="1:10" x14ac:dyDescent="0.2">
      <c r="A50" s="421"/>
      <c r="B50" s="421"/>
      <c r="C50" s="424"/>
      <c r="D50" s="421"/>
      <c r="E50" s="421"/>
      <c r="F50" s="158" t="s">
        <v>2785</v>
      </c>
      <c r="G50" s="158" t="s">
        <v>3076</v>
      </c>
      <c r="H50" s="96"/>
      <c r="I50" s="152" t="s">
        <v>528</v>
      </c>
      <c r="J50" s="152"/>
    </row>
    <row r="51" spans="1:10" ht="30" x14ac:dyDescent="0.2">
      <c r="A51" s="421"/>
      <c r="B51" s="421"/>
      <c r="C51" s="424"/>
      <c r="D51" s="421"/>
      <c r="E51" s="421"/>
      <c r="F51" s="158" t="s">
        <v>2786</v>
      </c>
      <c r="G51" s="158" t="s">
        <v>3077</v>
      </c>
      <c r="H51" s="96"/>
      <c r="I51" s="152" t="s">
        <v>515</v>
      </c>
      <c r="J51" s="148" t="s">
        <v>3122</v>
      </c>
    </row>
    <row r="52" spans="1:10" ht="25.5" x14ac:dyDescent="0.2">
      <c r="A52" s="421"/>
      <c r="B52" s="421"/>
      <c r="C52" s="424"/>
      <c r="D52" s="421"/>
      <c r="E52" s="421"/>
      <c r="F52" s="158" t="s">
        <v>3078</v>
      </c>
      <c r="G52" s="158" t="s">
        <v>3079</v>
      </c>
      <c r="H52" s="96"/>
      <c r="I52" s="152" t="s">
        <v>515</v>
      </c>
      <c r="J52" s="148" t="s">
        <v>3123</v>
      </c>
    </row>
    <row r="53" spans="1:10" ht="25.5" x14ac:dyDescent="0.2">
      <c r="A53" s="421"/>
      <c r="B53" s="421"/>
      <c r="C53" s="424"/>
      <c r="D53" s="421"/>
      <c r="E53" s="421"/>
      <c r="F53" s="158" t="s">
        <v>3080</v>
      </c>
      <c r="G53" s="158" t="s">
        <v>3081</v>
      </c>
      <c r="H53" s="96"/>
      <c r="I53" s="152" t="s">
        <v>528</v>
      </c>
      <c r="J53" s="152"/>
    </row>
    <row r="54" spans="1:10" x14ac:dyDescent="0.2">
      <c r="A54" s="421"/>
      <c r="B54" s="421" t="s">
        <v>776</v>
      </c>
      <c r="C54" s="424" t="s">
        <v>777</v>
      </c>
      <c r="D54" s="421"/>
      <c r="E54" s="421"/>
      <c r="F54" s="96" t="s">
        <v>2787</v>
      </c>
      <c r="G54" s="96" t="s">
        <v>2788</v>
      </c>
      <c r="H54" s="96"/>
      <c r="I54" s="152" t="s">
        <v>515</v>
      </c>
      <c r="J54" s="148" t="s">
        <v>3124</v>
      </c>
    </row>
    <row r="55" spans="1:10" x14ac:dyDescent="0.2">
      <c r="A55" s="421"/>
      <c r="B55" s="421"/>
      <c r="C55" s="424"/>
      <c r="D55" s="421"/>
      <c r="E55" s="421"/>
      <c r="F55" s="96" t="s">
        <v>2789</v>
      </c>
      <c r="G55" s="96" t="s">
        <v>2790</v>
      </c>
      <c r="H55" s="96"/>
      <c r="I55" s="152" t="s">
        <v>511</v>
      </c>
      <c r="J55" s="152"/>
    </row>
    <row r="56" spans="1:10" x14ac:dyDescent="0.2">
      <c r="A56" s="421"/>
      <c r="B56" s="421"/>
      <c r="C56" s="424"/>
      <c r="D56" s="421"/>
      <c r="E56" s="421"/>
      <c r="F56" s="96" t="s">
        <v>2791</v>
      </c>
      <c r="G56" s="96" t="s">
        <v>2792</v>
      </c>
      <c r="H56" s="96"/>
      <c r="I56" s="152" t="s">
        <v>515</v>
      </c>
      <c r="J56" s="148" t="s">
        <v>3125</v>
      </c>
    </row>
    <row r="57" spans="1:10" x14ac:dyDescent="0.2">
      <c r="A57" s="421"/>
      <c r="B57" s="421"/>
      <c r="C57" s="424"/>
      <c r="D57" s="421"/>
      <c r="E57" s="421"/>
      <c r="F57" s="96" t="s">
        <v>2793</v>
      </c>
      <c r="G57" s="96" t="s">
        <v>2794</v>
      </c>
      <c r="H57" s="96"/>
      <c r="I57" s="152" t="s">
        <v>515</v>
      </c>
      <c r="J57" s="152"/>
    </row>
    <row r="58" spans="1:10" x14ac:dyDescent="0.2">
      <c r="A58" s="421"/>
      <c r="B58" s="421"/>
      <c r="C58" s="424"/>
      <c r="D58" s="421"/>
      <c r="E58" s="421"/>
      <c r="F58" s="96" t="s">
        <v>2795</v>
      </c>
      <c r="G58" s="96" t="s">
        <v>2796</v>
      </c>
      <c r="H58" s="96"/>
      <c r="I58" s="152" t="s">
        <v>511</v>
      </c>
      <c r="J58" s="152"/>
    </row>
    <row r="59" spans="1:10" ht="30" x14ac:dyDescent="0.2">
      <c r="A59" s="421"/>
      <c r="B59" s="421"/>
      <c r="C59" s="424"/>
      <c r="D59" s="421"/>
      <c r="E59" s="421"/>
      <c r="F59" s="96" t="s">
        <v>2797</v>
      </c>
      <c r="G59" s="96" t="s">
        <v>2798</v>
      </c>
      <c r="H59" s="96"/>
      <c r="I59" s="152" t="s">
        <v>515</v>
      </c>
      <c r="J59" s="148" t="s">
        <v>3126</v>
      </c>
    </row>
    <row r="60" spans="1:10" ht="30" x14ac:dyDescent="0.2">
      <c r="A60" s="421"/>
      <c r="B60" s="421" t="s">
        <v>778</v>
      </c>
      <c r="C60" s="425" t="s">
        <v>3082</v>
      </c>
      <c r="D60" s="421"/>
      <c r="E60" s="421"/>
      <c r="F60" s="96" t="s">
        <v>2799</v>
      </c>
      <c r="G60" s="96" t="s">
        <v>2800</v>
      </c>
      <c r="H60" s="96"/>
      <c r="I60" s="152" t="s">
        <v>515</v>
      </c>
      <c r="J60" s="148" t="s">
        <v>3129</v>
      </c>
    </row>
    <row r="61" spans="1:10" x14ac:dyDescent="0.2">
      <c r="A61" s="421"/>
      <c r="B61" s="421"/>
      <c r="C61" s="424"/>
      <c r="D61" s="421"/>
      <c r="E61" s="421"/>
      <c r="F61" s="96" t="s">
        <v>2801</v>
      </c>
      <c r="G61" s="96" t="s">
        <v>2802</v>
      </c>
      <c r="H61" s="96"/>
      <c r="I61" s="152" t="s">
        <v>515</v>
      </c>
      <c r="J61" s="148" t="s">
        <v>3127</v>
      </c>
    </row>
    <row r="62" spans="1:10" x14ac:dyDescent="0.2">
      <c r="A62" s="421"/>
      <c r="B62" s="421"/>
      <c r="C62" s="424"/>
      <c r="D62" s="421"/>
      <c r="E62" s="421"/>
      <c r="F62" s="96" t="s">
        <v>2803</v>
      </c>
      <c r="G62" s="96" t="s">
        <v>2804</v>
      </c>
      <c r="H62" s="96"/>
      <c r="I62" s="152" t="s">
        <v>515</v>
      </c>
      <c r="J62" s="152"/>
    </row>
    <row r="63" spans="1:10" x14ac:dyDescent="0.2">
      <c r="A63" s="421"/>
      <c r="B63" s="421"/>
      <c r="C63" s="424"/>
      <c r="D63" s="421"/>
      <c r="E63" s="421"/>
      <c r="F63" s="96" t="s">
        <v>2805</v>
      </c>
      <c r="G63" s="96" t="s">
        <v>2806</v>
      </c>
      <c r="H63" s="96"/>
      <c r="I63" s="152" t="s">
        <v>515</v>
      </c>
      <c r="J63" s="152"/>
    </row>
    <row r="64" spans="1:10" x14ac:dyDescent="0.2">
      <c r="A64" s="421"/>
      <c r="B64" s="421"/>
      <c r="C64" s="424"/>
      <c r="D64" s="421"/>
      <c r="E64" s="421"/>
      <c r="F64" s="96" t="s">
        <v>2807</v>
      </c>
      <c r="G64" s="96" t="s">
        <v>2808</v>
      </c>
      <c r="H64" s="96"/>
      <c r="I64" s="152" t="s">
        <v>515</v>
      </c>
      <c r="J64" s="148" t="s">
        <v>3128</v>
      </c>
    </row>
    <row r="65" spans="1:11" x14ac:dyDescent="0.2">
      <c r="A65" s="421"/>
      <c r="B65" s="421"/>
      <c r="C65" s="424"/>
      <c r="D65" s="421"/>
      <c r="E65" s="421"/>
      <c r="F65" s="96" t="s">
        <v>2809</v>
      </c>
      <c r="G65" s="96" t="s">
        <v>2810</v>
      </c>
      <c r="H65" s="96"/>
      <c r="I65" s="152" t="s">
        <v>515</v>
      </c>
      <c r="J65" s="152"/>
    </row>
    <row r="66" spans="1:11" ht="25.5" x14ac:dyDescent="0.2">
      <c r="A66" s="421"/>
      <c r="B66" s="421" t="s">
        <v>2811</v>
      </c>
      <c r="C66" s="425" t="s">
        <v>3130</v>
      </c>
      <c r="D66" s="421"/>
      <c r="E66" s="421"/>
      <c r="F66" s="158" t="s">
        <v>780</v>
      </c>
      <c r="G66" s="158" t="s">
        <v>3083</v>
      </c>
      <c r="H66" s="96"/>
      <c r="I66" s="152" t="s">
        <v>528</v>
      </c>
      <c r="J66" s="148" t="s">
        <v>3131</v>
      </c>
    </row>
    <row r="67" spans="1:11" x14ac:dyDescent="0.2">
      <c r="A67" s="421"/>
      <c r="B67" s="421"/>
      <c r="C67" s="424"/>
      <c r="D67" s="421"/>
      <c r="E67" s="421"/>
      <c r="F67" s="158" t="s">
        <v>783</v>
      </c>
      <c r="G67" s="158" t="s">
        <v>3084</v>
      </c>
      <c r="H67" s="96"/>
      <c r="I67" s="152" t="s">
        <v>528</v>
      </c>
      <c r="J67" s="152"/>
    </row>
    <row r="68" spans="1:11" ht="25.5" x14ac:dyDescent="0.2">
      <c r="A68" s="421"/>
      <c r="B68" s="421"/>
      <c r="C68" s="424"/>
      <c r="D68" s="421"/>
      <c r="E68" s="421"/>
      <c r="F68" s="158" t="s">
        <v>2814</v>
      </c>
      <c r="G68" s="158" t="s">
        <v>3085</v>
      </c>
      <c r="H68" s="96"/>
      <c r="I68" s="152" t="s">
        <v>528</v>
      </c>
      <c r="J68" s="152"/>
    </row>
    <row r="69" spans="1:11" ht="25.5" x14ac:dyDescent="0.2">
      <c r="A69" s="421"/>
      <c r="B69" s="421"/>
      <c r="C69" s="424"/>
      <c r="D69" s="421"/>
      <c r="E69" s="421"/>
      <c r="F69" s="158" t="s">
        <v>2816</v>
      </c>
      <c r="G69" s="158" t="s">
        <v>3086</v>
      </c>
      <c r="H69" s="96"/>
      <c r="I69" s="152" t="s">
        <v>528</v>
      </c>
      <c r="J69" s="152"/>
    </row>
    <row r="70" spans="1:11" ht="25.5" x14ac:dyDescent="0.2">
      <c r="A70" s="421"/>
      <c r="B70" s="421"/>
      <c r="C70" s="424"/>
      <c r="D70" s="421"/>
      <c r="E70" s="421"/>
      <c r="F70" s="158" t="s">
        <v>2818</v>
      </c>
      <c r="G70" s="158" t="s">
        <v>3087</v>
      </c>
      <c r="H70" s="96"/>
      <c r="I70" s="152" t="s">
        <v>528</v>
      </c>
      <c r="J70" s="152"/>
    </row>
    <row r="71" spans="1:11" ht="25.5" x14ac:dyDescent="0.2">
      <c r="A71" s="421"/>
      <c r="B71" s="421"/>
      <c r="C71" s="424"/>
      <c r="D71" s="421"/>
      <c r="E71" s="421"/>
      <c r="F71" s="158" t="s">
        <v>2820</v>
      </c>
      <c r="G71" s="158" t="s">
        <v>3088</v>
      </c>
      <c r="H71" s="96"/>
      <c r="I71" s="152" t="s">
        <v>528</v>
      </c>
      <c r="J71" s="152"/>
    </row>
    <row r="72" spans="1:11" ht="60" x14ac:dyDescent="0.2">
      <c r="A72" s="421"/>
      <c r="B72" s="396" t="s">
        <v>785</v>
      </c>
      <c r="C72" s="432" t="s">
        <v>4298</v>
      </c>
      <c r="D72" s="421"/>
      <c r="E72" s="421"/>
      <c r="F72" s="117" t="s">
        <v>2822</v>
      </c>
      <c r="G72" s="96" t="s">
        <v>2812</v>
      </c>
      <c r="H72" s="96" t="s">
        <v>2467</v>
      </c>
      <c r="I72" s="152" t="s">
        <v>528</v>
      </c>
      <c r="J72" s="202" t="s">
        <v>4730</v>
      </c>
    </row>
    <row r="73" spans="1:11" ht="30" x14ac:dyDescent="0.2">
      <c r="A73" s="421"/>
      <c r="B73" s="421"/>
      <c r="C73" s="428"/>
      <c r="D73" s="421"/>
      <c r="E73" s="421"/>
      <c r="F73" s="117" t="s">
        <v>2824</v>
      </c>
      <c r="G73" s="96" t="s">
        <v>2813</v>
      </c>
      <c r="H73" s="96" t="s">
        <v>2467</v>
      </c>
      <c r="I73" s="152" t="s">
        <v>511</v>
      </c>
      <c r="J73" s="202" t="s">
        <v>4731</v>
      </c>
      <c r="K73" t="s">
        <v>4732</v>
      </c>
    </row>
    <row r="74" spans="1:11" ht="45" x14ac:dyDescent="0.2">
      <c r="A74" s="421"/>
      <c r="B74" s="421"/>
      <c r="C74" s="428"/>
      <c r="D74" s="421"/>
      <c r="E74" s="421"/>
      <c r="F74" s="117" t="s">
        <v>2826</v>
      </c>
      <c r="G74" s="96" t="s">
        <v>2815</v>
      </c>
      <c r="H74" s="96" t="s">
        <v>2467</v>
      </c>
      <c r="I74" s="152" t="s">
        <v>511</v>
      </c>
      <c r="J74" s="202" t="s">
        <v>4733</v>
      </c>
    </row>
    <row r="75" spans="1:11" ht="165" x14ac:dyDescent="0.2">
      <c r="A75" s="421"/>
      <c r="B75" s="421"/>
      <c r="C75" s="428"/>
      <c r="D75" s="421"/>
      <c r="E75" s="421"/>
      <c r="F75" s="117" t="s">
        <v>2828</v>
      </c>
      <c r="G75" s="96" t="s">
        <v>2817</v>
      </c>
      <c r="H75" s="96" t="s">
        <v>2467</v>
      </c>
      <c r="I75" s="152" t="s">
        <v>511</v>
      </c>
      <c r="J75" s="202" t="s">
        <v>4734</v>
      </c>
      <c r="K75" s="14" t="s">
        <v>4732</v>
      </c>
    </row>
    <row r="76" spans="1:11" x14ac:dyDescent="0.2">
      <c r="A76" s="421"/>
      <c r="B76" s="421"/>
      <c r="C76" s="428"/>
      <c r="D76" s="421"/>
      <c r="E76" s="421"/>
      <c r="F76" s="117" t="s">
        <v>2829</v>
      </c>
      <c r="G76" s="96" t="s">
        <v>3042</v>
      </c>
      <c r="H76" s="96" t="s">
        <v>2467</v>
      </c>
      <c r="I76" s="152" t="s">
        <v>511</v>
      </c>
      <c r="J76" s="202" t="s">
        <v>4735</v>
      </c>
    </row>
    <row r="77" spans="1:11" x14ac:dyDescent="0.2">
      <c r="A77" s="421"/>
      <c r="B77" s="421"/>
      <c r="C77" s="428"/>
      <c r="D77" s="421"/>
      <c r="E77" s="421"/>
      <c r="F77" s="117" t="s">
        <v>2830</v>
      </c>
      <c r="G77" s="96" t="s">
        <v>3043</v>
      </c>
      <c r="H77" s="96" t="s">
        <v>2467</v>
      </c>
      <c r="I77" s="152" t="s">
        <v>511</v>
      </c>
      <c r="J77" s="202" t="s">
        <v>4735</v>
      </c>
    </row>
    <row r="78" spans="1:11" x14ac:dyDescent="0.2">
      <c r="A78" s="421"/>
      <c r="B78" s="421"/>
      <c r="C78" s="428"/>
      <c r="D78" s="421"/>
      <c r="E78" s="421"/>
      <c r="F78" s="117" t="s">
        <v>3089</v>
      </c>
      <c r="G78" s="96" t="s">
        <v>3044</v>
      </c>
      <c r="H78" s="96" t="s">
        <v>2467</v>
      </c>
      <c r="I78" s="152" t="s">
        <v>511</v>
      </c>
      <c r="J78" s="202" t="s">
        <v>4735</v>
      </c>
    </row>
    <row r="79" spans="1:11" ht="75" x14ac:dyDescent="0.2">
      <c r="A79" s="421"/>
      <c r="B79" s="421"/>
      <c r="C79" s="428"/>
      <c r="D79" s="421"/>
      <c r="E79" s="421"/>
      <c r="F79" s="117" t="s">
        <v>3090</v>
      </c>
      <c r="G79" s="96" t="s">
        <v>2819</v>
      </c>
      <c r="H79" s="96" t="s">
        <v>2467</v>
      </c>
      <c r="I79" s="152" t="s">
        <v>511</v>
      </c>
      <c r="J79" s="202" t="s">
        <v>4736</v>
      </c>
    </row>
    <row r="80" spans="1:11" ht="75" x14ac:dyDescent="0.2">
      <c r="A80" s="421"/>
      <c r="B80" s="421"/>
      <c r="C80" s="428"/>
      <c r="D80" s="421"/>
      <c r="E80" s="421"/>
      <c r="F80" s="117" t="s">
        <v>3091</v>
      </c>
      <c r="G80" s="96" t="s">
        <v>2821</v>
      </c>
      <c r="H80" s="96" t="s">
        <v>2467</v>
      </c>
      <c r="I80" s="152" t="s">
        <v>511</v>
      </c>
      <c r="J80" s="202" t="s">
        <v>4736</v>
      </c>
    </row>
    <row r="81" spans="1:10" x14ac:dyDescent="0.2">
      <c r="A81" s="421"/>
      <c r="B81" s="399" t="s">
        <v>787</v>
      </c>
      <c r="C81" s="429" t="s">
        <v>3092</v>
      </c>
      <c r="D81" s="433"/>
      <c r="E81" s="433"/>
      <c r="F81" s="158" t="s">
        <v>2831</v>
      </c>
      <c r="G81" s="158" t="s">
        <v>3093</v>
      </c>
      <c r="H81" s="96"/>
      <c r="I81" s="152" t="s">
        <v>528</v>
      </c>
      <c r="J81" s="152"/>
    </row>
    <row r="82" spans="1:10" ht="25.5" x14ac:dyDescent="0.2">
      <c r="A82" s="421"/>
      <c r="B82" s="426"/>
      <c r="C82" s="430"/>
      <c r="D82" s="426"/>
      <c r="E82" s="426"/>
      <c r="F82" s="158" t="s">
        <v>2833</v>
      </c>
      <c r="G82" s="158" t="s">
        <v>3094</v>
      </c>
      <c r="H82" s="96"/>
      <c r="I82" s="152" t="s">
        <v>528</v>
      </c>
      <c r="J82" s="152"/>
    </row>
    <row r="83" spans="1:10" ht="25.5" x14ac:dyDescent="0.2">
      <c r="A83" s="421"/>
      <c r="B83" s="426"/>
      <c r="C83" s="430"/>
      <c r="D83" s="426"/>
      <c r="E83" s="426"/>
      <c r="F83" s="158" t="s">
        <v>2835</v>
      </c>
      <c r="G83" s="158" t="s">
        <v>3095</v>
      </c>
      <c r="H83" s="96"/>
      <c r="I83" s="152" t="s">
        <v>511</v>
      </c>
      <c r="J83" s="148" t="s">
        <v>3132</v>
      </c>
    </row>
    <row r="84" spans="1:10" ht="25.5" x14ac:dyDescent="0.2">
      <c r="A84" s="421"/>
      <c r="B84" s="426"/>
      <c r="C84" s="430"/>
      <c r="D84" s="426"/>
      <c r="E84" s="426"/>
      <c r="F84" s="158" t="s">
        <v>2837</v>
      </c>
      <c r="G84" s="158" t="s">
        <v>3096</v>
      </c>
      <c r="H84" s="96"/>
      <c r="I84" s="152" t="s">
        <v>528</v>
      </c>
      <c r="J84" s="152"/>
    </row>
    <row r="85" spans="1:10" x14ac:dyDescent="0.2">
      <c r="A85" s="421"/>
      <c r="B85" s="426"/>
      <c r="C85" s="430"/>
      <c r="D85" s="426"/>
      <c r="E85" s="426"/>
      <c r="F85" s="158" t="s">
        <v>2839</v>
      </c>
      <c r="G85" s="158" t="s">
        <v>3097</v>
      </c>
      <c r="H85" s="96"/>
      <c r="I85" s="152" t="s">
        <v>511</v>
      </c>
      <c r="J85" s="152"/>
    </row>
    <row r="86" spans="1:10" ht="25.5" x14ac:dyDescent="0.2">
      <c r="A86" s="421"/>
      <c r="B86" s="157"/>
      <c r="C86" s="430"/>
      <c r="D86" s="426"/>
      <c r="E86" s="426"/>
      <c r="F86" s="158" t="s">
        <v>2841</v>
      </c>
      <c r="G86" s="158" t="s">
        <v>3098</v>
      </c>
      <c r="H86" s="96"/>
      <c r="I86" s="152" t="s">
        <v>528</v>
      </c>
      <c r="J86" s="152"/>
    </row>
    <row r="87" spans="1:10" ht="25.5" x14ac:dyDescent="0.2">
      <c r="A87" s="421"/>
      <c r="B87" s="157"/>
      <c r="C87" s="431"/>
      <c r="D87" s="427"/>
      <c r="E87" s="427"/>
      <c r="F87" s="158" t="s">
        <v>3099</v>
      </c>
      <c r="G87" s="158" t="s">
        <v>3100</v>
      </c>
      <c r="H87" s="96"/>
      <c r="I87" s="152"/>
      <c r="J87" s="152"/>
    </row>
    <row r="88" spans="1:10" ht="90" x14ac:dyDescent="0.2">
      <c r="A88" s="421"/>
      <c r="B88" s="399" t="s">
        <v>789</v>
      </c>
      <c r="C88" s="428" t="s">
        <v>786</v>
      </c>
      <c r="D88" s="421"/>
      <c r="E88" s="421"/>
      <c r="F88" s="158" t="s">
        <v>2843</v>
      </c>
      <c r="G88" s="158" t="s">
        <v>3101</v>
      </c>
      <c r="H88" s="96" t="s">
        <v>2467</v>
      </c>
      <c r="I88" s="152" t="s">
        <v>528</v>
      </c>
      <c r="J88" s="202" t="s">
        <v>4738</v>
      </c>
    </row>
    <row r="89" spans="1:10" ht="60" x14ac:dyDescent="0.2">
      <c r="A89" s="421"/>
      <c r="B89" s="426"/>
      <c r="C89" s="428"/>
      <c r="D89" s="421"/>
      <c r="E89" s="421"/>
      <c r="F89" s="158" t="s">
        <v>2845</v>
      </c>
      <c r="G89" s="158" t="s">
        <v>2812</v>
      </c>
      <c r="H89" s="96" t="s">
        <v>2467</v>
      </c>
      <c r="I89" s="152" t="s">
        <v>528</v>
      </c>
      <c r="J89" s="202" t="s">
        <v>4737</v>
      </c>
    </row>
    <row r="90" spans="1:10" ht="60" x14ac:dyDescent="0.2">
      <c r="A90" s="421"/>
      <c r="B90" s="426"/>
      <c r="C90" s="428"/>
      <c r="D90" s="421"/>
      <c r="E90" s="421"/>
      <c r="F90" s="158" t="s">
        <v>2847</v>
      </c>
      <c r="G90" s="158" t="s">
        <v>2813</v>
      </c>
      <c r="H90" s="96" t="s">
        <v>2467</v>
      </c>
      <c r="I90" s="152" t="s">
        <v>528</v>
      </c>
      <c r="J90" s="202" t="s">
        <v>4737</v>
      </c>
    </row>
    <row r="91" spans="1:10" ht="60" x14ac:dyDescent="0.2">
      <c r="A91" s="421"/>
      <c r="B91" s="426"/>
      <c r="C91" s="428"/>
      <c r="D91" s="421"/>
      <c r="E91" s="421"/>
      <c r="F91" s="158" t="s">
        <v>2849</v>
      </c>
      <c r="G91" s="158" t="s">
        <v>3102</v>
      </c>
      <c r="H91" s="96" t="s">
        <v>2467</v>
      </c>
      <c r="I91" s="152" t="s">
        <v>528</v>
      </c>
      <c r="J91" s="202" t="s">
        <v>4737</v>
      </c>
    </row>
    <row r="92" spans="1:10" ht="60" x14ac:dyDescent="0.2">
      <c r="A92" s="421"/>
      <c r="B92" s="426"/>
      <c r="C92" s="428"/>
      <c r="D92" s="421"/>
      <c r="E92" s="421"/>
      <c r="F92" s="158" t="s">
        <v>2851</v>
      </c>
      <c r="G92" s="158" t="s">
        <v>3103</v>
      </c>
      <c r="H92" s="96" t="s">
        <v>2467</v>
      </c>
      <c r="I92" s="152" t="s">
        <v>528</v>
      </c>
      <c r="J92" s="202" t="s">
        <v>4737</v>
      </c>
    </row>
    <row r="93" spans="1:10" ht="60" x14ac:dyDescent="0.2">
      <c r="A93" s="421"/>
      <c r="B93" s="427"/>
      <c r="C93" s="428"/>
      <c r="D93" s="421"/>
      <c r="E93" s="421"/>
      <c r="F93" s="158" t="s">
        <v>2853</v>
      </c>
      <c r="G93" s="158" t="s">
        <v>3104</v>
      </c>
      <c r="H93" s="96" t="s">
        <v>2467</v>
      </c>
      <c r="I93" s="152" t="s">
        <v>528</v>
      </c>
      <c r="J93" s="202" t="s">
        <v>4737</v>
      </c>
    </row>
    <row r="94" spans="1:10" x14ac:dyDescent="0.2">
      <c r="A94" s="421"/>
      <c r="B94" s="399" t="s">
        <v>791</v>
      </c>
      <c r="C94" s="428" t="s">
        <v>788</v>
      </c>
      <c r="D94" s="421"/>
      <c r="E94" s="421"/>
      <c r="F94" s="158" t="s">
        <v>3105</v>
      </c>
      <c r="G94" s="158" t="s">
        <v>2823</v>
      </c>
      <c r="H94" s="96"/>
      <c r="I94" s="152" t="s">
        <v>515</v>
      </c>
      <c r="J94" s="148" t="s">
        <v>3121</v>
      </c>
    </row>
    <row r="95" spans="1:10" x14ac:dyDescent="0.2">
      <c r="A95" s="421"/>
      <c r="B95" s="426"/>
      <c r="C95" s="428"/>
      <c r="D95" s="421"/>
      <c r="E95" s="421"/>
      <c r="F95" s="158" t="s">
        <v>3106</v>
      </c>
      <c r="G95" s="158" t="s">
        <v>2825</v>
      </c>
      <c r="H95" s="96"/>
      <c r="I95" s="152" t="s">
        <v>515</v>
      </c>
      <c r="J95" s="148" t="s">
        <v>3121</v>
      </c>
    </row>
    <row r="96" spans="1:10" ht="25.5" x14ac:dyDescent="0.2">
      <c r="A96" s="421"/>
      <c r="B96" s="426"/>
      <c r="C96" s="428"/>
      <c r="D96" s="421"/>
      <c r="E96" s="421"/>
      <c r="F96" s="158" t="s">
        <v>3107</v>
      </c>
      <c r="G96" s="158" t="s">
        <v>3108</v>
      </c>
      <c r="H96" s="96"/>
      <c r="I96" s="152" t="s">
        <v>515</v>
      </c>
      <c r="J96" s="148" t="s">
        <v>3121</v>
      </c>
    </row>
    <row r="97" spans="1:10" x14ac:dyDescent="0.2">
      <c r="A97" s="421"/>
      <c r="B97" s="426"/>
      <c r="C97" s="428"/>
      <c r="D97" s="421"/>
      <c r="E97" s="421"/>
      <c r="F97" s="158" t="s">
        <v>3109</v>
      </c>
      <c r="G97" s="158" t="s">
        <v>2827</v>
      </c>
      <c r="H97" s="96"/>
      <c r="I97" s="152" t="s">
        <v>515</v>
      </c>
      <c r="J97" s="148" t="s">
        <v>3121</v>
      </c>
    </row>
    <row r="98" spans="1:10" ht="25.5" x14ac:dyDescent="0.2">
      <c r="A98" s="421"/>
      <c r="B98" s="426"/>
      <c r="C98" s="428"/>
      <c r="D98" s="421"/>
      <c r="E98" s="421"/>
      <c r="F98" s="158" t="s">
        <v>3110</v>
      </c>
      <c r="G98" s="158" t="s">
        <v>3111</v>
      </c>
      <c r="H98" s="96"/>
      <c r="I98" s="152" t="s">
        <v>515</v>
      </c>
      <c r="J98" s="148" t="s">
        <v>3121</v>
      </c>
    </row>
    <row r="99" spans="1:10" ht="25.5" x14ac:dyDescent="0.2">
      <c r="A99" s="421"/>
      <c r="B99" s="427"/>
      <c r="C99" s="428"/>
      <c r="D99" s="421"/>
      <c r="E99" s="421"/>
      <c r="F99" s="158" t="s">
        <v>3112</v>
      </c>
      <c r="G99" s="158" t="s">
        <v>3113</v>
      </c>
      <c r="H99" s="96"/>
      <c r="I99" s="152" t="s">
        <v>515</v>
      </c>
      <c r="J99" s="148" t="s">
        <v>3121</v>
      </c>
    </row>
    <row r="100" spans="1:10" x14ac:dyDescent="0.2">
      <c r="A100" s="421"/>
      <c r="B100" s="399" t="s">
        <v>3052</v>
      </c>
      <c r="C100" s="428" t="s">
        <v>790</v>
      </c>
      <c r="D100" s="421"/>
      <c r="E100" s="421"/>
      <c r="F100" s="96" t="s">
        <v>2831</v>
      </c>
      <c r="G100" s="96" t="s">
        <v>2832</v>
      </c>
      <c r="H100" s="96" t="s">
        <v>2467</v>
      </c>
      <c r="I100" s="148" t="s">
        <v>3134</v>
      </c>
      <c r="J100" s="202" t="s">
        <v>4739</v>
      </c>
    </row>
    <row r="101" spans="1:10" ht="25.5" x14ac:dyDescent="0.2">
      <c r="A101" s="421"/>
      <c r="B101" s="426"/>
      <c r="C101" s="428"/>
      <c r="D101" s="421"/>
      <c r="E101" s="421"/>
      <c r="F101" s="96" t="s">
        <v>2833</v>
      </c>
      <c r="G101" s="96" t="s">
        <v>2834</v>
      </c>
      <c r="H101" s="96" t="s">
        <v>2467</v>
      </c>
      <c r="I101" s="148" t="s">
        <v>3134</v>
      </c>
      <c r="J101" s="202" t="s">
        <v>4740</v>
      </c>
    </row>
    <row r="102" spans="1:10" x14ac:dyDescent="0.2">
      <c r="A102" s="421"/>
      <c r="B102" s="426"/>
      <c r="C102" s="428"/>
      <c r="D102" s="421"/>
      <c r="E102" s="421"/>
      <c r="F102" s="96" t="s">
        <v>2835</v>
      </c>
      <c r="G102" s="96" t="s">
        <v>2836</v>
      </c>
      <c r="H102" s="96" t="s">
        <v>2467</v>
      </c>
      <c r="I102" s="148" t="s">
        <v>3134</v>
      </c>
      <c r="J102" s="152"/>
    </row>
    <row r="103" spans="1:10" x14ac:dyDescent="0.2">
      <c r="A103" s="421"/>
      <c r="B103" s="426"/>
      <c r="C103" s="428"/>
      <c r="D103" s="421"/>
      <c r="E103" s="421"/>
      <c r="F103" s="96" t="s">
        <v>2837</v>
      </c>
      <c r="G103" s="96" t="s">
        <v>2838</v>
      </c>
      <c r="H103" s="96" t="s">
        <v>2467</v>
      </c>
      <c r="I103" s="148" t="s">
        <v>3134</v>
      </c>
      <c r="J103" s="152"/>
    </row>
    <row r="104" spans="1:10" x14ac:dyDescent="0.2">
      <c r="A104" s="421"/>
      <c r="B104" s="426"/>
      <c r="C104" s="428"/>
      <c r="D104" s="421"/>
      <c r="E104" s="421"/>
      <c r="F104" s="96" t="s">
        <v>2839</v>
      </c>
      <c r="G104" s="96" t="s">
        <v>2840</v>
      </c>
      <c r="H104" s="96" t="s">
        <v>2467</v>
      </c>
      <c r="I104" s="148" t="s">
        <v>3134</v>
      </c>
      <c r="J104" s="152"/>
    </row>
    <row r="105" spans="1:10" x14ac:dyDescent="0.2">
      <c r="A105" s="421"/>
      <c r="B105" s="427"/>
      <c r="C105" s="428"/>
      <c r="D105" s="421"/>
      <c r="E105" s="421"/>
      <c r="F105" s="96" t="s">
        <v>2841</v>
      </c>
      <c r="G105" s="96" t="s">
        <v>2842</v>
      </c>
      <c r="H105" s="96" t="s">
        <v>2467</v>
      </c>
      <c r="I105" s="148" t="s">
        <v>3134</v>
      </c>
      <c r="J105" s="152"/>
    </row>
    <row r="106" spans="1:10" x14ac:dyDescent="0.2">
      <c r="A106" s="421"/>
      <c r="B106" s="399" t="s">
        <v>3053</v>
      </c>
      <c r="C106" s="428" t="s">
        <v>1498</v>
      </c>
      <c r="D106" s="421"/>
      <c r="E106" s="421"/>
      <c r="F106" s="96" t="s">
        <v>2843</v>
      </c>
      <c r="G106" s="96" t="s">
        <v>2844</v>
      </c>
      <c r="H106" s="96"/>
      <c r="I106" s="148" t="s">
        <v>511</v>
      </c>
      <c r="J106" s="152"/>
    </row>
    <row r="107" spans="1:10" x14ac:dyDescent="0.2">
      <c r="A107" s="421"/>
      <c r="B107" s="426"/>
      <c r="C107" s="428"/>
      <c r="D107" s="421"/>
      <c r="E107" s="421"/>
      <c r="F107" s="96" t="s">
        <v>2845</v>
      </c>
      <c r="G107" s="96" t="s">
        <v>2846</v>
      </c>
      <c r="H107" s="96"/>
      <c r="I107" s="148" t="s">
        <v>511</v>
      </c>
      <c r="J107" s="148" t="s">
        <v>3133</v>
      </c>
    </row>
    <row r="108" spans="1:10" x14ac:dyDescent="0.2">
      <c r="A108" s="421"/>
      <c r="B108" s="426"/>
      <c r="C108" s="428"/>
      <c r="D108" s="421"/>
      <c r="E108" s="421"/>
      <c r="F108" s="96" t="s">
        <v>2847</v>
      </c>
      <c r="G108" s="96" t="s">
        <v>2848</v>
      </c>
      <c r="H108" s="96"/>
      <c r="I108" s="148" t="s">
        <v>3134</v>
      </c>
      <c r="J108" s="148" t="s">
        <v>3133</v>
      </c>
    </row>
    <row r="109" spans="1:10" x14ac:dyDescent="0.2">
      <c r="A109" s="421"/>
      <c r="B109" s="426"/>
      <c r="C109" s="428"/>
      <c r="D109" s="421"/>
      <c r="E109" s="421"/>
      <c r="F109" s="96" t="s">
        <v>2849</v>
      </c>
      <c r="G109" s="96" t="s">
        <v>2850</v>
      </c>
      <c r="H109" s="96"/>
      <c r="I109" s="148" t="s">
        <v>511</v>
      </c>
      <c r="J109" s="148" t="s">
        <v>3133</v>
      </c>
    </row>
    <row r="110" spans="1:10" x14ac:dyDescent="0.2">
      <c r="A110" s="421"/>
      <c r="B110" s="426"/>
      <c r="C110" s="428"/>
      <c r="D110" s="421"/>
      <c r="E110" s="421"/>
      <c r="F110" s="96" t="s">
        <v>2851</v>
      </c>
      <c r="G110" s="96" t="s">
        <v>2852</v>
      </c>
      <c r="H110" s="96"/>
      <c r="I110" s="148" t="s">
        <v>511</v>
      </c>
      <c r="J110" s="148" t="s">
        <v>3133</v>
      </c>
    </row>
    <row r="111" spans="1:10" x14ac:dyDescent="0.2">
      <c r="A111" s="421"/>
      <c r="B111" s="427"/>
      <c r="C111" s="428"/>
      <c r="D111" s="421"/>
      <c r="E111" s="421"/>
      <c r="F111" s="96" t="s">
        <v>2853</v>
      </c>
      <c r="G111" s="96" t="s">
        <v>2854</v>
      </c>
      <c r="H111" s="96"/>
      <c r="I111" s="148" t="s">
        <v>3135</v>
      </c>
      <c r="J111" s="148" t="s">
        <v>3133</v>
      </c>
    </row>
    <row r="112" spans="1:10" x14ac:dyDescent="0.2">
      <c r="E112" s="14"/>
    </row>
    <row r="120" spans="5:5" ht="25.5" x14ac:dyDescent="0.2">
      <c r="E120" s="10" t="s">
        <v>528</v>
      </c>
    </row>
    <row r="121" spans="5:5" x14ac:dyDescent="0.2">
      <c r="E121" s="10" t="s">
        <v>511</v>
      </c>
    </row>
    <row r="122" spans="5:5" x14ac:dyDescent="0.2">
      <c r="E122" s="10" t="s">
        <v>515</v>
      </c>
    </row>
    <row r="123" spans="5:5" x14ac:dyDescent="0.2">
      <c r="E123" s="10" t="s">
        <v>505</v>
      </c>
    </row>
    <row r="124" spans="5:5" x14ac:dyDescent="0.2">
      <c r="E124" s="10" t="s">
        <v>507</v>
      </c>
    </row>
  </sheetData>
  <mergeCells count="61">
    <mergeCell ref="D81:D87"/>
    <mergeCell ref="E81:E87"/>
    <mergeCell ref="C66:C71"/>
    <mergeCell ref="D66:D71"/>
    <mergeCell ref="E66:E71"/>
    <mergeCell ref="A3:A111"/>
    <mergeCell ref="B100:B105"/>
    <mergeCell ref="C100:C105"/>
    <mergeCell ref="D100:D105"/>
    <mergeCell ref="E100:E105"/>
    <mergeCell ref="B106:B111"/>
    <mergeCell ref="C106:C111"/>
    <mergeCell ref="D106:D111"/>
    <mergeCell ref="E106:E111"/>
    <mergeCell ref="B66:B71"/>
    <mergeCell ref="B72:B80"/>
    <mergeCell ref="C72:C80"/>
    <mergeCell ref="D72:D80"/>
    <mergeCell ref="E72:E80"/>
    <mergeCell ref="B94:B99"/>
    <mergeCell ref="C94:C99"/>
    <mergeCell ref="D94:D99"/>
    <mergeCell ref="E94:E99"/>
    <mergeCell ref="B54:B59"/>
    <mergeCell ref="C54:C59"/>
    <mergeCell ref="D54:D59"/>
    <mergeCell ref="E54:E59"/>
    <mergeCell ref="B60:B65"/>
    <mergeCell ref="C60:C65"/>
    <mergeCell ref="D60:D65"/>
    <mergeCell ref="E60:E65"/>
    <mergeCell ref="B88:B93"/>
    <mergeCell ref="C88:C93"/>
    <mergeCell ref="D88:D93"/>
    <mergeCell ref="E88:E93"/>
    <mergeCell ref="B81:B85"/>
    <mergeCell ref="C81:C87"/>
    <mergeCell ref="B40:B45"/>
    <mergeCell ref="C40:C45"/>
    <mergeCell ref="D40:D45"/>
    <mergeCell ref="E40:E45"/>
    <mergeCell ref="B46:B53"/>
    <mergeCell ref="C46:C53"/>
    <mergeCell ref="D46:D53"/>
    <mergeCell ref="E46:E53"/>
    <mergeCell ref="C26:C33"/>
    <mergeCell ref="D26:D33"/>
    <mergeCell ref="E26:E33"/>
    <mergeCell ref="B34:B39"/>
    <mergeCell ref="C34:C39"/>
    <mergeCell ref="D34:D39"/>
    <mergeCell ref="E34:E39"/>
    <mergeCell ref="B26:B33"/>
    <mergeCell ref="B3:B17"/>
    <mergeCell ref="C3:C17"/>
    <mergeCell ref="D3:D17"/>
    <mergeCell ref="E3:E17"/>
    <mergeCell ref="B18:B25"/>
    <mergeCell ref="C18:C25"/>
    <mergeCell ref="D18:D25"/>
    <mergeCell ref="E18:E25"/>
  </mergeCells>
  <phoneticPr fontId="14" type="noConversion"/>
  <dataValidations count="1">
    <dataValidation type="list" allowBlank="1" showInputMessage="1" showErrorMessage="1" sqref="E88:E111 I3:I99 E3:E85" xr:uid="{05C0929F-EA4E-274D-9D79-7103D2772788}">
      <formula1>$E$120:$E$124</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9E9F-ED37-5748-A433-C6C5BCDFC886}">
  <sheetPr>
    <tabColor theme="5"/>
  </sheetPr>
  <dimension ref="A1:J78"/>
  <sheetViews>
    <sheetView showGridLines="0" zoomScale="89" workbookViewId="0">
      <selection activeCell="I1" sqref="I1:I1048576"/>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2" t="s">
        <v>1041</v>
      </c>
      <c r="D2" s="11" t="s">
        <v>185</v>
      </c>
      <c r="E2" s="11" t="s">
        <v>1038</v>
      </c>
      <c r="F2" s="11" t="s">
        <v>1049</v>
      </c>
      <c r="G2" s="11" t="s">
        <v>1040</v>
      </c>
      <c r="H2" s="11" t="s">
        <v>2016</v>
      </c>
      <c r="I2" s="11" t="s">
        <v>1038</v>
      </c>
      <c r="J2" s="11" t="s">
        <v>1039</v>
      </c>
    </row>
    <row r="3" spans="1:10" ht="28.35" customHeight="1" x14ac:dyDescent="0.2">
      <c r="A3" s="421" t="s">
        <v>2604</v>
      </c>
      <c r="B3" s="421" t="s">
        <v>415</v>
      </c>
      <c r="C3" s="423" t="s">
        <v>741</v>
      </c>
      <c r="D3" s="421"/>
      <c r="E3" s="421"/>
      <c r="F3" s="96" t="s">
        <v>2605</v>
      </c>
      <c r="G3" s="96" t="s">
        <v>2606</v>
      </c>
      <c r="H3" s="117" t="s">
        <v>2467</v>
      </c>
      <c r="I3" s="152" t="s">
        <v>507</v>
      </c>
      <c r="J3" s="37" t="s">
        <v>4588</v>
      </c>
    </row>
    <row r="4" spans="1:10" ht="25.5" x14ac:dyDescent="0.2">
      <c r="A4" s="421"/>
      <c r="B4" s="421"/>
      <c r="C4" s="423"/>
      <c r="D4" s="421"/>
      <c r="E4" s="421"/>
      <c r="F4" s="96" t="s">
        <v>2607</v>
      </c>
      <c r="G4" s="96" t="s">
        <v>2608</v>
      </c>
      <c r="H4" s="96" t="s">
        <v>1967</v>
      </c>
      <c r="I4" s="152" t="s">
        <v>507</v>
      </c>
      <c r="J4" s="37" t="s">
        <v>4589</v>
      </c>
    </row>
    <row r="5" spans="1:10" x14ac:dyDescent="0.2">
      <c r="A5" s="421"/>
      <c r="B5" s="421"/>
      <c r="C5" s="423"/>
      <c r="D5" s="421"/>
      <c r="E5" s="421"/>
      <c r="F5" s="96" t="s">
        <v>2609</v>
      </c>
      <c r="G5" s="96" t="s">
        <v>2610</v>
      </c>
      <c r="H5" s="96" t="s">
        <v>1967</v>
      </c>
      <c r="I5" s="152" t="s">
        <v>507</v>
      </c>
      <c r="J5" s="37"/>
    </row>
    <row r="6" spans="1:10" x14ac:dyDescent="0.2">
      <c r="A6" s="421"/>
      <c r="B6" s="421"/>
      <c r="C6" s="423"/>
      <c r="D6" s="421"/>
      <c r="E6" s="421"/>
      <c r="F6" s="96" t="s">
        <v>2611</v>
      </c>
      <c r="G6" s="96" t="s">
        <v>2612</v>
      </c>
      <c r="H6" s="96" t="s">
        <v>1967</v>
      </c>
      <c r="I6" s="152" t="s">
        <v>507</v>
      </c>
      <c r="J6" s="37"/>
    </row>
    <row r="7" spans="1:10" x14ac:dyDescent="0.2">
      <c r="A7" s="421"/>
      <c r="B7" s="421"/>
      <c r="C7" s="423"/>
      <c r="D7" s="421"/>
      <c r="E7" s="421"/>
      <c r="F7" s="96" t="s">
        <v>2613</v>
      </c>
      <c r="G7" s="96" t="s">
        <v>2614</v>
      </c>
      <c r="H7" s="96" t="s">
        <v>1967</v>
      </c>
      <c r="I7" s="152" t="s">
        <v>507</v>
      </c>
      <c r="J7" s="37"/>
    </row>
    <row r="8" spans="1:10" x14ac:dyDescent="0.2">
      <c r="A8" s="421"/>
      <c r="B8" s="421"/>
      <c r="C8" s="423"/>
      <c r="D8" s="421"/>
      <c r="E8" s="421"/>
      <c r="F8" s="96" t="s">
        <v>2615</v>
      </c>
      <c r="G8" s="96" t="s">
        <v>2616</v>
      </c>
      <c r="H8" s="96" t="s">
        <v>1967</v>
      </c>
      <c r="I8" s="152" t="s">
        <v>507</v>
      </c>
      <c r="J8" s="37"/>
    </row>
    <row r="9" spans="1:10" ht="27" customHeight="1" x14ac:dyDescent="0.2">
      <c r="A9" s="421"/>
      <c r="B9" s="421" t="s">
        <v>416</v>
      </c>
      <c r="C9" s="423" t="s">
        <v>2617</v>
      </c>
      <c r="D9" s="421"/>
      <c r="E9" s="421"/>
      <c r="F9" s="96" t="s">
        <v>2618</v>
      </c>
      <c r="G9" s="96" t="s">
        <v>2619</v>
      </c>
      <c r="H9" s="117" t="s">
        <v>2467</v>
      </c>
      <c r="I9" s="152" t="s">
        <v>511</v>
      </c>
      <c r="J9" s="37" t="s">
        <v>4590</v>
      </c>
    </row>
    <row r="10" spans="1:10" ht="16.350000000000001" customHeight="1" x14ac:dyDescent="0.2">
      <c r="A10" s="421"/>
      <c r="B10" s="421"/>
      <c r="C10" s="423"/>
      <c r="D10" s="421"/>
      <c r="E10" s="421"/>
      <c r="F10" s="96" t="s">
        <v>2620</v>
      </c>
      <c r="G10" s="96" t="s">
        <v>2621</v>
      </c>
      <c r="H10" s="117" t="s">
        <v>2467</v>
      </c>
      <c r="I10" s="152" t="s">
        <v>511</v>
      </c>
      <c r="J10" s="37"/>
    </row>
    <row r="11" spans="1:10" x14ac:dyDescent="0.2">
      <c r="A11" s="421"/>
      <c r="B11" s="421"/>
      <c r="C11" s="423"/>
      <c r="D11" s="421"/>
      <c r="E11" s="421"/>
      <c r="F11" s="96" t="s">
        <v>2622</v>
      </c>
      <c r="G11" s="96" t="s">
        <v>2623</v>
      </c>
      <c r="H11" s="117" t="s">
        <v>2467</v>
      </c>
      <c r="I11" s="152" t="s">
        <v>511</v>
      </c>
      <c r="J11" s="37"/>
    </row>
    <row r="12" spans="1:10" ht="15" customHeight="1" x14ac:dyDescent="0.2">
      <c r="A12" s="421"/>
      <c r="B12" s="421"/>
      <c r="C12" s="423"/>
      <c r="D12" s="421"/>
      <c r="E12" s="421"/>
      <c r="F12" s="96" t="s">
        <v>2624</v>
      </c>
      <c r="G12" s="96" t="s">
        <v>2625</v>
      </c>
      <c r="H12" s="117" t="s">
        <v>2467</v>
      </c>
      <c r="I12" s="152" t="s">
        <v>511</v>
      </c>
      <c r="J12" s="37"/>
    </row>
    <row r="13" spans="1:10" ht="15" customHeight="1" x14ac:dyDescent="0.2">
      <c r="A13" s="421"/>
      <c r="B13" s="421"/>
      <c r="C13" s="423"/>
      <c r="D13" s="421"/>
      <c r="E13" s="421"/>
      <c r="F13" s="96" t="s">
        <v>2626</v>
      </c>
      <c r="G13" s="96" t="s">
        <v>2627</v>
      </c>
      <c r="H13" s="117" t="s">
        <v>2467</v>
      </c>
      <c r="I13" s="152" t="s">
        <v>511</v>
      </c>
      <c r="J13" s="37"/>
    </row>
    <row r="14" spans="1:10" x14ac:dyDescent="0.2">
      <c r="A14" s="421"/>
      <c r="B14" s="421"/>
      <c r="C14" s="423"/>
      <c r="D14" s="421"/>
      <c r="E14" s="421"/>
      <c r="F14" s="96" t="s">
        <v>2628</v>
      </c>
      <c r="G14" s="96" t="s">
        <v>2629</v>
      </c>
      <c r="H14" s="117" t="s">
        <v>2467</v>
      </c>
      <c r="I14" s="152" t="s">
        <v>511</v>
      </c>
      <c r="J14" s="37"/>
    </row>
    <row r="15" spans="1:10" ht="28.35" customHeight="1" x14ac:dyDescent="0.2">
      <c r="A15" s="421"/>
      <c r="B15" s="421" t="s">
        <v>417</v>
      </c>
      <c r="C15" s="423" t="s">
        <v>748</v>
      </c>
      <c r="D15" s="421"/>
      <c r="E15" s="421"/>
      <c r="F15" s="96" t="s">
        <v>2630</v>
      </c>
      <c r="G15" s="96" t="s">
        <v>2631</v>
      </c>
      <c r="H15" s="117" t="s">
        <v>2467</v>
      </c>
      <c r="I15" s="152" t="s">
        <v>511</v>
      </c>
      <c r="J15" s="37" t="s">
        <v>4590</v>
      </c>
    </row>
    <row r="16" spans="1:10" ht="45" x14ac:dyDescent="0.2">
      <c r="A16" s="421"/>
      <c r="B16" s="421"/>
      <c r="C16" s="423"/>
      <c r="D16" s="421"/>
      <c r="E16" s="421"/>
      <c r="F16" s="96" t="s">
        <v>2632</v>
      </c>
      <c r="G16" s="96" t="s">
        <v>2633</v>
      </c>
      <c r="H16" s="117" t="s">
        <v>2467</v>
      </c>
      <c r="I16" s="152" t="s">
        <v>511</v>
      </c>
      <c r="J16" s="37" t="s">
        <v>4590</v>
      </c>
    </row>
    <row r="17" spans="1:10" ht="15" customHeight="1" x14ac:dyDescent="0.2">
      <c r="A17" s="421"/>
      <c r="B17" s="421"/>
      <c r="C17" s="423"/>
      <c r="D17" s="421"/>
      <c r="E17" s="421"/>
      <c r="F17" s="96" t="s">
        <v>2634</v>
      </c>
      <c r="G17" s="96" t="s">
        <v>2635</v>
      </c>
      <c r="H17" s="117" t="s">
        <v>2467</v>
      </c>
      <c r="I17" s="152" t="s">
        <v>511</v>
      </c>
      <c r="J17" s="37" t="s">
        <v>4590</v>
      </c>
    </row>
    <row r="18" spans="1:10" ht="45" x14ac:dyDescent="0.2">
      <c r="A18" s="421"/>
      <c r="B18" s="421"/>
      <c r="C18" s="423"/>
      <c r="D18" s="421"/>
      <c r="E18" s="421"/>
      <c r="F18" s="96" t="s">
        <v>2636</v>
      </c>
      <c r="G18" s="96" t="s">
        <v>2637</v>
      </c>
      <c r="H18" s="117" t="s">
        <v>2467</v>
      </c>
      <c r="I18" s="152" t="s">
        <v>511</v>
      </c>
      <c r="J18" s="37" t="s">
        <v>4590</v>
      </c>
    </row>
    <row r="19" spans="1:10" ht="45" x14ac:dyDescent="0.2">
      <c r="A19" s="421"/>
      <c r="B19" s="421"/>
      <c r="C19" s="423"/>
      <c r="D19" s="421"/>
      <c r="E19" s="421"/>
      <c r="F19" s="96" t="s">
        <v>2638</v>
      </c>
      <c r="G19" s="96" t="s">
        <v>2639</v>
      </c>
      <c r="H19" s="117" t="s">
        <v>2467</v>
      </c>
      <c r="I19" s="152" t="s">
        <v>511</v>
      </c>
      <c r="J19" s="37" t="s">
        <v>4590</v>
      </c>
    </row>
    <row r="20" spans="1:10" ht="45" x14ac:dyDescent="0.2">
      <c r="A20" s="421"/>
      <c r="B20" s="421"/>
      <c r="C20" s="423"/>
      <c r="D20" s="421"/>
      <c r="E20" s="421"/>
      <c r="F20" s="96" t="s">
        <v>2640</v>
      </c>
      <c r="G20" s="96" t="s">
        <v>2641</v>
      </c>
      <c r="H20" s="117" t="s">
        <v>2467</v>
      </c>
      <c r="I20" s="152" t="s">
        <v>511</v>
      </c>
      <c r="J20" s="37" t="s">
        <v>4590</v>
      </c>
    </row>
    <row r="21" spans="1:10" ht="16.350000000000001" customHeight="1" x14ac:dyDescent="0.2">
      <c r="A21" s="421"/>
      <c r="B21" s="421" t="s">
        <v>418</v>
      </c>
      <c r="C21" s="423" t="s">
        <v>2642</v>
      </c>
      <c r="D21" s="421"/>
      <c r="E21" s="421"/>
      <c r="F21" s="96" t="s">
        <v>2643</v>
      </c>
      <c r="G21" s="96" t="s">
        <v>2644</v>
      </c>
      <c r="H21" s="117" t="s">
        <v>2467</v>
      </c>
      <c r="I21" s="152" t="s">
        <v>511</v>
      </c>
      <c r="J21" s="37" t="s">
        <v>4590</v>
      </c>
    </row>
    <row r="22" spans="1:10" ht="16.350000000000001" customHeight="1" x14ac:dyDescent="0.2">
      <c r="A22" s="421"/>
      <c r="B22" s="421"/>
      <c r="C22" s="423"/>
      <c r="D22" s="421"/>
      <c r="E22" s="421"/>
      <c r="F22" s="96" t="s">
        <v>2645</v>
      </c>
      <c r="G22" s="96" t="s">
        <v>2646</v>
      </c>
      <c r="H22" s="117" t="s">
        <v>2467</v>
      </c>
      <c r="I22" s="152" t="s">
        <v>511</v>
      </c>
      <c r="J22" s="37" t="s">
        <v>4590</v>
      </c>
    </row>
    <row r="23" spans="1:10" ht="45" x14ac:dyDescent="0.2">
      <c r="A23" s="421"/>
      <c r="B23" s="421"/>
      <c r="C23" s="423"/>
      <c r="D23" s="421"/>
      <c r="E23" s="421"/>
      <c r="F23" s="96" t="s">
        <v>2647</v>
      </c>
      <c r="G23" s="96" t="s">
        <v>2648</v>
      </c>
      <c r="H23" s="117" t="s">
        <v>2467</v>
      </c>
      <c r="I23" s="152" t="s">
        <v>511</v>
      </c>
      <c r="J23" s="37" t="s">
        <v>4590</v>
      </c>
    </row>
    <row r="24" spans="1:10" ht="15" customHeight="1" x14ac:dyDescent="0.2">
      <c r="A24" s="421"/>
      <c r="B24" s="421"/>
      <c r="C24" s="423"/>
      <c r="D24" s="421"/>
      <c r="E24" s="421"/>
      <c r="F24" s="96" t="s">
        <v>2649</v>
      </c>
      <c r="G24" s="96" t="s">
        <v>2650</v>
      </c>
      <c r="H24" s="117" t="s">
        <v>2467</v>
      </c>
      <c r="I24" s="152" t="s">
        <v>511</v>
      </c>
      <c r="J24" s="37" t="s">
        <v>4590</v>
      </c>
    </row>
    <row r="25" spans="1:10" ht="45" x14ac:dyDescent="0.2">
      <c r="A25" s="421"/>
      <c r="B25" s="421"/>
      <c r="C25" s="423"/>
      <c r="D25" s="421"/>
      <c r="E25" s="421"/>
      <c r="F25" s="96" t="s">
        <v>2651</v>
      </c>
      <c r="G25" s="96" t="s">
        <v>2652</v>
      </c>
      <c r="H25" s="117" t="s">
        <v>2467</v>
      </c>
      <c r="I25" s="152" t="s">
        <v>511</v>
      </c>
      <c r="J25" s="37" t="s">
        <v>4590</v>
      </c>
    </row>
    <row r="26" spans="1:10" ht="45" x14ac:dyDescent="0.2">
      <c r="A26" s="421"/>
      <c r="B26" s="421"/>
      <c r="C26" s="423"/>
      <c r="D26" s="421"/>
      <c r="E26" s="421"/>
      <c r="F26" s="96" t="s">
        <v>2653</v>
      </c>
      <c r="G26" s="96" t="s">
        <v>2654</v>
      </c>
      <c r="H26" s="117" t="s">
        <v>2467</v>
      </c>
      <c r="I26" s="152" t="s">
        <v>511</v>
      </c>
      <c r="J26" s="37" t="s">
        <v>4590</v>
      </c>
    </row>
    <row r="27" spans="1:10" ht="15" customHeight="1" x14ac:dyDescent="0.2">
      <c r="A27" s="421"/>
      <c r="B27" s="421" t="s">
        <v>419</v>
      </c>
      <c r="C27" s="423" t="s">
        <v>750</v>
      </c>
      <c r="D27" s="421"/>
      <c r="E27" s="421"/>
      <c r="F27" s="96" t="s">
        <v>2655</v>
      </c>
      <c r="G27" s="96" t="s">
        <v>2656</v>
      </c>
      <c r="H27" s="117" t="s">
        <v>1966</v>
      </c>
      <c r="I27" s="152"/>
      <c r="J27" s="37" t="s">
        <v>4591</v>
      </c>
    </row>
    <row r="28" spans="1:10" x14ac:dyDescent="0.2">
      <c r="A28" s="421"/>
      <c r="B28" s="421"/>
      <c r="C28" s="423"/>
      <c r="D28" s="421"/>
      <c r="E28" s="421"/>
      <c r="F28" s="96" t="s">
        <v>2657</v>
      </c>
      <c r="G28" s="96" t="s">
        <v>2658</v>
      </c>
      <c r="H28" s="117" t="s">
        <v>1966</v>
      </c>
      <c r="I28" s="152"/>
      <c r="J28" s="37" t="s">
        <v>4591</v>
      </c>
    </row>
    <row r="29" spans="1:10" x14ac:dyDescent="0.2">
      <c r="A29" s="421"/>
      <c r="B29" s="421"/>
      <c r="C29" s="423"/>
      <c r="D29" s="421"/>
      <c r="E29" s="421"/>
      <c r="F29" s="96" t="s">
        <v>2659</v>
      </c>
      <c r="G29" s="96" t="s">
        <v>2660</v>
      </c>
      <c r="H29" s="117" t="s">
        <v>1966</v>
      </c>
      <c r="I29" s="152"/>
      <c r="J29" s="37" t="s">
        <v>4591</v>
      </c>
    </row>
    <row r="30" spans="1:10" ht="15" customHeight="1" x14ac:dyDescent="0.2">
      <c r="A30" s="421"/>
      <c r="B30" s="421"/>
      <c r="C30" s="423"/>
      <c r="D30" s="421"/>
      <c r="E30" s="421"/>
      <c r="F30" s="96" t="s">
        <v>2661</v>
      </c>
      <c r="G30" s="96" t="s">
        <v>2662</v>
      </c>
      <c r="H30" s="117" t="s">
        <v>1966</v>
      </c>
      <c r="I30" s="152"/>
      <c r="J30" s="37" t="s">
        <v>4591</v>
      </c>
    </row>
    <row r="31" spans="1:10" x14ac:dyDescent="0.2">
      <c r="A31" s="421"/>
      <c r="B31" s="421"/>
      <c r="C31" s="423"/>
      <c r="D31" s="421"/>
      <c r="E31" s="421"/>
      <c r="F31" s="96" t="s">
        <v>2663</v>
      </c>
      <c r="G31" s="96" t="s">
        <v>2664</v>
      </c>
      <c r="H31" s="117" t="s">
        <v>1966</v>
      </c>
      <c r="I31" s="152"/>
      <c r="J31" s="37" t="s">
        <v>4591</v>
      </c>
    </row>
    <row r="32" spans="1:10" x14ac:dyDescent="0.2">
      <c r="A32" s="421"/>
      <c r="B32" s="421"/>
      <c r="C32" s="423"/>
      <c r="D32" s="421"/>
      <c r="E32" s="421"/>
      <c r="F32" s="96" t="s">
        <v>2665</v>
      </c>
      <c r="G32" s="96" t="s">
        <v>2666</v>
      </c>
      <c r="H32" s="117" t="s">
        <v>1966</v>
      </c>
      <c r="I32" s="152"/>
      <c r="J32" s="37" t="s">
        <v>4591</v>
      </c>
    </row>
    <row r="33" spans="1:10" ht="15" customHeight="1" x14ac:dyDescent="0.2">
      <c r="A33" s="421"/>
      <c r="B33" s="421" t="s">
        <v>751</v>
      </c>
      <c r="C33" s="422" t="s">
        <v>3045</v>
      </c>
      <c r="D33" s="421"/>
      <c r="E33" s="421"/>
      <c r="F33" s="96" t="s">
        <v>2667</v>
      </c>
      <c r="G33" s="16" t="s">
        <v>3046</v>
      </c>
      <c r="H33" s="117" t="s">
        <v>1966</v>
      </c>
      <c r="I33" s="152"/>
      <c r="J33" s="37" t="s">
        <v>4591</v>
      </c>
    </row>
    <row r="34" spans="1:10" ht="15" customHeight="1" x14ac:dyDescent="0.2">
      <c r="A34" s="421"/>
      <c r="B34" s="421"/>
      <c r="C34" s="422"/>
      <c r="D34" s="421"/>
      <c r="E34" s="421"/>
      <c r="F34" s="96" t="s">
        <v>2669</v>
      </c>
      <c r="G34" s="16" t="s">
        <v>3047</v>
      </c>
      <c r="H34" s="117" t="s">
        <v>1966</v>
      </c>
      <c r="I34" s="152"/>
      <c r="J34" s="37" t="s">
        <v>4591</v>
      </c>
    </row>
    <row r="35" spans="1:10" ht="15" customHeight="1" x14ac:dyDescent="0.2">
      <c r="A35" s="421"/>
      <c r="B35" s="421"/>
      <c r="C35" s="422"/>
      <c r="D35" s="421"/>
      <c r="E35" s="421"/>
      <c r="F35" s="96" t="s">
        <v>2671</v>
      </c>
      <c r="G35" s="96" t="s">
        <v>2668</v>
      </c>
      <c r="H35" s="117" t="s">
        <v>1966</v>
      </c>
      <c r="I35" s="152"/>
      <c r="J35" s="37" t="s">
        <v>4592</v>
      </c>
    </row>
    <row r="36" spans="1:10" ht="15" customHeight="1" x14ac:dyDescent="0.2">
      <c r="A36" s="421"/>
      <c r="B36" s="421"/>
      <c r="C36" s="422"/>
      <c r="D36" s="421"/>
      <c r="E36" s="421"/>
      <c r="F36" s="96" t="s">
        <v>2673</v>
      </c>
      <c r="G36" s="16" t="s">
        <v>3048</v>
      </c>
      <c r="H36" s="117" t="s">
        <v>1966</v>
      </c>
      <c r="I36" s="152"/>
      <c r="J36" s="37" t="s">
        <v>4592</v>
      </c>
    </row>
    <row r="37" spans="1:10" ht="30" x14ac:dyDescent="0.2">
      <c r="A37" s="421"/>
      <c r="B37" s="421"/>
      <c r="C37" s="423"/>
      <c r="D37" s="421"/>
      <c r="E37" s="421"/>
      <c r="F37" s="96" t="s">
        <v>2675</v>
      </c>
      <c r="G37" s="96" t="s">
        <v>2670</v>
      </c>
      <c r="H37" s="117" t="s">
        <v>1966</v>
      </c>
      <c r="I37" s="152"/>
      <c r="J37" s="37" t="s">
        <v>4592</v>
      </c>
    </row>
    <row r="38" spans="1:10" ht="16.350000000000001" customHeight="1" x14ac:dyDescent="0.2">
      <c r="A38" s="421"/>
      <c r="B38" s="421"/>
      <c r="C38" s="423"/>
      <c r="D38" s="421"/>
      <c r="E38" s="421"/>
      <c r="F38" s="96" t="s">
        <v>2677</v>
      </c>
      <c r="G38" s="96" t="s">
        <v>2672</v>
      </c>
      <c r="H38" s="117" t="s">
        <v>1966</v>
      </c>
      <c r="I38" s="152"/>
      <c r="J38" s="37" t="s">
        <v>4592</v>
      </c>
    </row>
    <row r="39" spans="1:10" ht="15" customHeight="1" x14ac:dyDescent="0.2">
      <c r="A39" s="421"/>
      <c r="B39" s="421"/>
      <c r="C39" s="423"/>
      <c r="D39" s="421"/>
      <c r="E39" s="421"/>
      <c r="F39" s="96" t="s">
        <v>3049</v>
      </c>
      <c r="G39" s="96" t="s">
        <v>2674</v>
      </c>
      <c r="H39" s="117" t="s">
        <v>1966</v>
      </c>
      <c r="I39" s="152"/>
      <c r="J39" s="37" t="s">
        <v>4592</v>
      </c>
    </row>
    <row r="40" spans="1:10" ht="30" x14ac:dyDescent="0.2">
      <c r="A40" s="421"/>
      <c r="B40" s="421"/>
      <c r="C40" s="423"/>
      <c r="D40" s="421"/>
      <c r="E40" s="421"/>
      <c r="F40" s="96" t="s">
        <v>3050</v>
      </c>
      <c r="G40" s="96" t="s">
        <v>2676</v>
      </c>
      <c r="H40" s="117" t="s">
        <v>1966</v>
      </c>
      <c r="I40" s="152"/>
      <c r="J40" s="37" t="s">
        <v>4592</v>
      </c>
    </row>
    <row r="41" spans="1:10" ht="30" x14ac:dyDescent="0.2">
      <c r="A41" s="421"/>
      <c r="B41" s="421"/>
      <c r="C41" s="423"/>
      <c r="D41" s="421"/>
      <c r="E41" s="421"/>
      <c r="F41" s="96" t="s">
        <v>3051</v>
      </c>
      <c r="G41" s="96" t="s">
        <v>2678</v>
      </c>
      <c r="H41" s="117" t="s">
        <v>1966</v>
      </c>
      <c r="I41" s="152"/>
      <c r="J41" s="37" t="s">
        <v>4592</v>
      </c>
    </row>
    <row r="42" spans="1:10" ht="33.4" customHeight="1" x14ac:dyDescent="0.2">
      <c r="A42" s="421"/>
      <c r="B42" s="421" t="s">
        <v>753</v>
      </c>
      <c r="C42" s="422" t="s">
        <v>754</v>
      </c>
      <c r="D42" s="421"/>
      <c r="E42" s="421"/>
      <c r="F42" s="96" t="s">
        <v>2679</v>
      </c>
      <c r="G42" s="96" t="s">
        <v>2680</v>
      </c>
      <c r="H42" s="96" t="s">
        <v>2467</v>
      </c>
      <c r="I42" s="152" t="s">
        <v>511</v>
      </c>
      <c r="J42" s="203" t="s">
        <v>4578</v>
      </c>
    </row>
    <row r="43" spans="1:10" ht="15" customHeight="1" x14ac:dyDescent="0.2">
      <c r="A43" s="421"/>
      <c r="B43" s="421"/>
      <c r="C43" s="423"/>
      <c r="D43" s="421"/>
      <c r="E43" s="421"/>
      <c r="F43" s="96" t="s">
        <v>2681</v>
      </c>
      <c r="G43" s="96" t="s">
        <v>2682</v>
      </c>
      <c r="H43" s="96" t="s">
        <v>2467</v>
      </c>
      <c r="I43" s="152" t="s">
        <v>511</v>
      </c>
      <c r="J43" s="202" t="s">
        <v>4577</v>
      </c>
    </row>
    <row r="44" spans="1:10" x14ac:dyDescent="0.2">
      <c r="A44" s="421"/>
      <c r="B44" s="421"/>
      <c r="C44" s="423"/>
      <c r="D44" s="421"/>
      <c r="E44" s="421"/>
      <c r="F44" s="96" t="s">
        <v>2683</v>
      </c>
      <c r="G44" s="96" t="s">
        <v>2684</v>
      </c>
      <c r="H44" s="96" t="s">
        <v>2467</v>
      </c>
      <c r="I44" s="152" t="s">
        <v>511</v>
      </c>
      <c r="J44" s="202" t="s">
        <v>4579</v>
      </c>
    </row>
    <row r="45" spans="1:10" ht="15" customHeight="1" x14ac:dyDescent="0.2">
      <c r="A45" s="421"/>
      <c r="B45" s="421"/>
      <c r="C45" s="423"/>
      <c r="D45" s="421"/>
      <c r="E45" s="421"/>
      <c r="F45" s="96" t="s">
        <v>2685</v>
      </c>
      <c r="G45" s="96" t="s">
        <v>2686</v>
      </c>
      <c r="H45" s="96" t="s">
        <v>2467</v>
      </c>
      <c r="I45" s="152" t="s">
        <v>511</v>
      </c>
      <c r="J45" s="202" t="s">
        <v>4580</v>
      </c>
    </row>
    <row r="46" spans="1:10" ht="30" x14ac:dyDescent="0.2">
      <c r="A46" s="421"/>
      <c r="B46" s="421"/>
      <c r="C46" s="423"/>
      <c r="D46" s="421"/>
      <c r="E46" s="421"/>
      <c r="F46" s="96" t="s">
        <v>2687</v>
      </c>
      <c r="G46" s="96" t="s">
        <v>2688</v>
      </c>
      <c r="H46" s="96" t="s">
        <v>2467</v>
      </c>
      <c r="I46" s="152" t="s">
        <v>511</v>
      </c>
      <c r="J46" s="202" t="s">
        <v>4581</v>
      </c>
    </row>
    <row r="47" spans="1:10" x14ac:dyDescent="0.2">
      <c r="A47" s="421"/>
      <c r="B47" s="421"/>
      <c r="C47" s="423"/>
      <c r="D47" s="421"/>
      <c r="E47" s="421"/>
      <c r="F47" s="96" t="s">
        <v>2689</v>
      </c>
      <c r="G47" s="96" t="s">
        <v>2690</v>
      </c>
      <c r="H47" s="96" t="s">
        <v>2467</v>
      </c>
      <c r="I47" s="152" t="s">
        <v>511</v>
      </c>
      <c r="J47" s="202" t="s">
        <v>4580</v>
      </c>
    </row>
    <row r="48" spans="1:10" ht="22.15" customHeight="1" x14ac:dyDescent="0.2">
      <c r="A48" s="421"/>
      <c r="B48" s="421" t="s">
        <v>755</v>
      </c>
      <c r="C48" s="423" t="s">
        <v>756</v>
      </c>
      <c r="D48" s="421"/>
      <c r="E48" s="421"/>
      <c r="F48" s="96" t="s">
        <v>2691</v>
      </c>
      <c r="G48" s="96" t="s">
        <v>2692</v>
      </c>
      <c r="H48" s="96" t="s">
        <v>2467</v>
      </c>
      <c r="I48" s="152" t="s">
        <v>511</v>
      </c>
      <c r="J48" s="202" t="s">
        <v>4582</v>
      </c>
    </row>
    <row r="49" spans="1:10" x14ac:dyDescent="0.2">
      <c r="A49" s="421"/>
      <c r="B49" s="421"/>
      <c r="C49" s="423"/>
      <c r="D49" s="421"/>
      <c r="E49" s="421"/>
      <c r="F49" s="96" t="s">
        <v>2693</v>
      </c>
      <c r="G49" s="96" t="s">
        <v>2694</v>
      </c>
      <c r="H49" s="96" t="s">
        <v>2467</v>
      </c>
      <c r="I49" s="152" t="s">
        <v>511</v>
      </c>
      <c r="J49" s="152"/>
    </row>
    <row r="50" spans="1:10" x14ac:dyDescent="0.2">
      <c r="A50" s="421"/>
      <c r="B50" s="421"/>
      <c r="C50" s="423"/>
      <c r="D50" s="421"/>
      <c r="E50" s="421"/>
      <c r="F50" s="96" t="s">
        <v>2695</v>
      </c>
      <c r="G50" s="96" t="s">
        <v>2696</v>
      </c>
      <c r="H50" s="96" t="s">
        <v>2467</v>
      </c>
      <c r="I50" s="152" t="s">
        <v>511</v>
      </c>
      <c r="J50" s="152"/>
    </row>
    <row r="51" spans="1:10" x14ac:dyDescent="0.2">
      <c r="A51" s="421"/>
      <c r="B51" s="421"/>
      <c r="C51" s="423"/>
      <c r="D51" s="421"/>
      <c r="E51" s="421"/>
      <c r="F51" s="96" t="s">
        <v>2697</v>
      </c>
      <c r="G51" s="96" t="s">
        <v>2698</v>
      </c>
      <c r="H51" s="96" t="s">
        <v>2467</v>
      </c>
      <c r="I51" s="152" t="s">
        <v>511</v>
      </c>
      <c r="J51" s="152"/>
    </row>
    <row r="52" spans="1:10" ht="16.350000000000001" customHeight="1" x14ac:dyDescent="0.2">
      <c r="A52" s="421"/>
      <c r="B52" s="421"/>
      <c r="C52" s="423"/>
      <c r="D52" s="421"/>
      <c r="E52" s="421"/>
      <c r="F52" s="96" t="s">
        <v>2699</v>
      </c>
      <c r="G52" s="96" t="s">
        <v>2700</v>
      </c>
      <c r="H52" s="96" t="s">
        <v>2467</v>
      </c>
      <c r="I52" s="152" t="s">
        <v>511</v>
      </c>
      <c r="J52" s="152"/>
    </row>
    <row r="53" spans="1:10" ht="28.35" customHeight="1" x14ac:dyDescent="0.2">
      <c r="A53" s="421"/>
      <c r="B53" s="421"/>
      <c r="C53" s="423"/>
      <c r="D53" s="421"/>
      <c r="E53" s="421"/>
      <c r="F53" s="96" t="s">
        <v>2701</v>
      </c>
      <c r="G53" s="96" t="s">
        <v>2702</v>
      </c>
      <c r="H53" s="96" t="s">
        <v>2467</v>
      </c>
      <c r="I53" s="152" t="s">
        <v>505</v>
      </c>
      <c r="J53" s="202" t="s">
        <v>4583</v>
      </c>
    </row>
    <row r="54" spans="1:10" ht="15" customHeight="1" x14ac:dyDescent="0.2">
      <c r="A54" s="421"/>
      <c r="B54" s="421" t="s">
        <v>757</v>
      </c>
      <c r="C54" s="423" t="s">
        <v>2703</v>
      </c>
      <c r="D54" s="421"/>
      <c r="E54" s="421"/>
      <c r="F54" s="96" t="s">
        <v>2704</v>
      </c>
      <c r="G54" s="96" t="s">
        <v>2705</v>
      </c>
      <c r="H54" s="96" t="s">
        <v>2467</v>
      </c>
      <c r="I54" s="152" t="s">
        <v>511</v>
      </c>
      <c r="J54" s="202" t="s">
        <v>4584</v>
      </c>
    </row>
    <row r="55" spans="1:10" ht="15" customHeight="1" x14ac:dyDescent="0.2">
      <c r="A55" s="421"/>
      <c r="B55" s="421"/>
      <c r="C55" s="423"/>
      <c r="D55" s="421"/>
      <c r="E55" s="421"/>
      <c r="F55" s="96" t="s">
        <v>2706</v>
      </c>
      <c r="G55" s="96" t="s">
        <v>2707</v>
      </c>
      <c r="H55" s="96" t="s">
        <v>2467</v>
      </c>
      <c r="I55" s="152" t="s">
        <v>511</v>
      </c>
      <c r="J55" s="202" t="s">
        <v>4586</v>
      </c>
    </row>
    <row r="56" spans="1:10" x14ac:dyDescent="0.2">
      <c r="A56" s="421"/>
      <c r="B56" s="421"/>
      <c r="C56" s="423"/>
      <c r="D56" s="421"/>
      <c r="E56" s="421"/>
      <c r="F56" s="96" t="s">
        <v>2708</v>
      </c>
      <c r="G56" s="96" t="s">
        <v>2709</v>
      </c>
      <c r="H56" s="96" t="s">
        <v>2467</v>
      </c>
      <c r="I56" s="152" t="s">
        <v>511</v>
      </c>
      <c r="J56" s="152" t="s">
        <v>4585</v>
      </c>
    </row>
    <row r="57" spans="1:10" x14ac:dyDescent="0.2">
      <c r="A57" s="421"/>
      <c r="B57" s="421"/>
      <c r="C57" s="423"/>
      <c r="D57" s="421"/>
      <c r="E57" s="421"/>
      <c r="F57" s="96" t="s">
        <v>2710</v>
      </c>
      <c r="G57" s="96" t="s">
        <v>2711</v>
      </c>
      <c r="H57" s="96" t="s">
        <v>2467</v>
      </c>
      <c r="I57" s="152" t="s">
        <v>511</v>
      </c>
      <c r="J57" s="152" t="s">
        <v>4585</v>
      </c>
    </row>
    <row r="58" spans="1:10" ht="15" customHeight="1" x14ac:dyDescent="0.2">
      <c r="A58" s="421"/>
      <c r="B58" s="421"/>
      <c r="C58" s="423"/>
      <c r="D58" s="421"/>
      <c r="E58" s="421"/>
      <c r="F58" s="96" t="s">
        <v>2712</v>
      </c>
      <c r="G58" s="96" t="s">
        <v>2713</v>
      </c>
      <c r="H58" s="96" t="s">
        <v>2467</v>
      </c>
      <c r="I58" s="152" t="s">
        <v>511</v>
      </c>
      <c r="J58" s="152" t="s">
        <v>4585</v>
      </c>
    </row>
    <row r="59" spans="1:10" x14ac:dyDescent="0.2">
      <c r="A59" s="421"/>
      <c r="B59" s="421"/>
      <c r="C59" s="423"/>
      <c r="D59" s="421"/>
      <c r="E59" s="421"/>
      <c r="F59" s="96" t="s">
        <v>2714</v>
      </c>
      <c r="G59" s="96" t="s">
        <v>2715</v>
      </c>
      <c r="H59" s="96" t="s">
        <v>2467</v>
      </c>
      <c r="I59" s="152" t="s">
        <v>511</v>
      </c>
      <c r="J59" s="152" t="s">
        <v>4585</v>
      </c>
    </row>
    <row r="60" spans="1:10" ht="28.35" customHeight="1" x14ac:dyDescent="0.2">
      <c r="A60" s="421"/>
      <c r="B60" s="421" t="s">
        <v>759</v>
      </c>
      <c r="C60" s="423" t="s">
        <v>760</v>
      </c>
      <c r="D60" s="421"/>
      <c r="E60" s="421"/>
      <c r="F60" s="96" t="s">
        <v>2716</v>
      </c>
      <c r="G60" s="96" t="s">
        <v>2717</v>
      </c>
      <c r="H60" s="96" t="s">
        <v>2467</v>
      </c>
      <c r="I60" s="152" t="s">
        <v>511</v>
      </c>
      <c r="J60" s="202" t="s">
        <v>4587</v>
      </c>
    </row>
    <row r="61" spans="1:10" ht="15" customHeight="1" x14ac:dyDescent="0.2">
      <c r="A61" s="421"/>
      <c r="B61" s="421"/>
      <c r="C61" s="423"/>
      <c r="D61" s="421"/>
      <c r="E61" s="421"/>
      <c r="F61" s="96" t="s">
        <v>2718</v>
      </c>
      <c r="G61" s="96" t="s">
        <v>2719</v>
      </c>
      <c r="H61" s="96" t="s">
        <v>2467</v>
      </c>
      <c r="I61" s="152" t="s">
        <v>511</v>
      </c>
      <c r="J61" s="152" t="s">
        <v>4585</v>
      </c>
    </row>
    <row r="62" spans="1:10" ht="16.350000000000001" customHeight="1" x14ac:dyDescent="0.2">
      <c r="A62" s="421"/>
      <c r="B62" s="421"/>
      <c r="C62" s="423"/>
      <c r="D62" s="421"/>
      <c r="E62" s="421"/>
      <c r="F62" s="96" t="s">
        <v>2720</v>
      </c>
      <c r="G62" s="96" t="s">
        <v>2721</v>
      </c>
      <c r="H62" s="96" t="s">
        <v>2467</v>
      </c>
      <c r="I62" s="152" t="s">
        <v>511</v>
      </c>
      <c r="J62" s="152" t="s">
        <v>4585</v>
      </c>
    </row>
    <row r="63" spans="1:10" x14ac:dyDescent="0.2">
      <c r="A63" s="421"/>
      <c r="B63" s="421"/>
      <c r="C63" s="423"/>
      <c r="D63" s="421"/>
      <c r="E63" s="421"/>
      <c r="F63" s="96" t="s">
        <v>2722</v>
      </c>
      <c r="G63" s="96" t="s">
        <v>2723</v>
      </c>
      <c r="H63" s="96" t="s">
        <v>2467</v>
      </c>
      <c r="I63" s="152" t="s">
        <v>511</v>
      </c>
      <c r="J63" s="152" t="s">
        <v>4585</v>
      </c>
    </row>
    <row r="64" spans="1:10" ht="15" customHeight="1" x14ac:dyDescent="0.2">
      <c r="A64" s="421"/>
      <c r="B64" s="421"/>
      <c r="C64" s="423"/>
      <c r="D64" s="421"/>
      <c r="E64" s="421"/>
      <c r="F64" s="96" t="s">
        <v>2724</v>
      </c>
      <c r="G64" s="96" t="s">
        <v>2725</v>
      </c>
      <c r="H64" s="96" t="s">
        <v>2467</v>
      </c>
      <c r="I64" s="152" t="s">
        <v>511</v>
      </c>
      <c r="J64" s="152" t="s">
        <v>4585</v>
      </c>
    </row>
    <row r="65" spans="1:10" x14ac:dyDescent="0.2">
      <c r="A65" s="421"/>
      <c r="B65" s="421"/>
      <c r="C65" s="423"/>
      <c r="D65" s="421"/>
      <c r="E65" s="421"/>
      <c r="F65" s="96" t="s">
        <v>2726</v>
      </c>
      <c r="G65" s="96" t="s">
        <v>2727</v>
      </c>
      <c r="H65" s="96" t="s">
        <v>2467</v>
      </c>
      <c r="I65" s="152" t="s">
        <v>511</v>
      </c>
      <c r="J65" s="152" t="s">
        <v>4585</v>
      </c>
    </row>
    <row r="74" spans="1:10" ht="25.5" x14ac:dyDescent="0.2">
      <c r="E74" s="10" t="s">
        <v>528</v>
      </c>
    </row>
    <row r="75" spans="1:10" x14ac:dyDescent="0.2">
      <c r="E75" s="10" t="s">
        <v>511</v>
      </c>
    </row>
    <row r="76" spans="1:10" x14ac:dyDescent="0.2">
      <c r="E76" s="10" t="s">
        <v>515</v>
      </c>
    </row>
    <row r="77" spans="1:10" x14ac:dyDescent="0.2">
      <c r="E77" s="10" t="s">
        <v>505</v>
      </c>
    </row>
    <row r="78" spans="1:10" x14ac:dyDescent="0.2">
      <c r="E78" s="10" t="s">
        <v>507</v>
      </c>
    </row>
  </sheetData>
  <mergeCells count="41">
    <mergeCell ref="A3:A65"/>
    <mergeCell ref="B54:B59"/>
    <mergeCell ref="C54:C59"/>
    <mergeCell ref="D54:D59"/>
    <mergeCell ref="E54:E59"/>
    <mergeCell ref="B60:B65"/>
    <mergeCell ref="C60:C65"/>
    <mergeCell ref="D60:D65"/>
    <mergeCell ref="E60:E65"/>
    <mergeCell ref="B42:B47"/>
    <mergeCell ref="C42:C47"/>
    <mergeCell ref="D42:D47"/>
    <mergeCell ref="E42:E47"/>
    <mergeCell ref="B48:B53"/>
    <mergeCell ref="C48:C53"/>
    <mergeCell ref="D48:D53"/>
    <mergeCell ref="E48:E53"/>
    <mergeCell ref="B27:B32"/>
    <mergeCell ref="C27:C32"/>
    <mergeCell ref="D27:D32"/>
    <mergeCell ref="E27:E32"/>
    <mergeCell ref="B33:B41"/>
    <mergeCell ref="C33:C41"/>
    <mergeCell ref="D33:D41"/>
    <mergeCell ref="E33:E41"/>
    <mergeCell ref="C15:C20"/>
    <mergeCell ref="D15:D20"/>
    <mergeCell ref="E15:E20"/>
    <mergeCell ref="B21:B26"/>
    <mergeCell ref="C21:C26"/>
    <mergeCell ref="D21:D26"/>
    <mergeCell ref="E21:E26"/>
    <mergeCell ref="B15:B20"/>
    <mergeCell ref="B3:B8"/>
    <mergeCell ref="C3:C8"/>
    <mergeCell ref="D3:D8"/>
    <mergeCell ref="E3:E8"/>
    <mergeCell ref="B9:B14"/>
    <mergeCell ref="C9:C14"/>
    <mergeCell ref="D9:D14"/>
    <mergeCell ref="E9:E14"/>
  </mergeCells>
  <phoneticPr fontId="14" type="noConversion"/>
  <dataValidations count="1">
    <dataValidation type="list" allowBlank="1" showInputMessage="1" showErrorMessage="1" sqref="E3:E65 I3:I65" xr:uid="{5065AAC0-459F-0D4B-BB82-BA87C0644DAD}">
      <formula1>$E$74:$E$78</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72B6-F99D-8D40-80BF-B4E63C182478}">
  <sheetPr>
    <tabColor theme="5"/>
  </sheetPr>
  <dimension ref="A1:J81"/>
  <sheetViews>
    <sheetView showGridLines="0" topLeftCell="A46" zoomScale="98" workbookViewId="0">
      <selection activeCell="J57" sqref="J57"/>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2" t="s">
        <v>1041</v>
      </c>
      <c r="D2" s="11" t="s">
        <v>185</v>
      </c>
      <c r="E2" s="11" t="s">
        <v>1038</v>
      </c>
      <c r="F2" s="11" t="s">
        <v>1049</v>
      </c>
      <c r="G2" s="11" t="s">
        <v>1040</v>
      </c>
      <c r="H2" s="11" t="s">
        <v>2016</v>
      </c>
      <c r="I2" s="11" t="s">
        <v>1038</v>
      </c>
      <c r="J2" s="11" t="s">
        <v>1039</v>
      </c>
    </row>
    <row r="3" spans="1:10" ht="28.35" customHeight="1" x14ac:dyDescent="0.2">
      <c r="A3" s="423" t="s">
        <v>2471</v>
      </c>
      <c r="B3" s="421" t="s">
        <v>411</v>
      </c>
      <c r="C3" s="423" t="s">
        <v>716</v>
      </c>
      <c r="D3" s="421"/>
      <c r="E3" s="421" t="s">
        <v>507</v>
      </c>
      <c r="F3" s="96" t="s">
        <v>2472</v>
      </c>
      <c r="G3" s="96" t="s">
        <v>2473</v>
      </c>
      <c r="H3" s="156"/>
      <c r="I3" s="152" t="s">
        <v>515</v>
      </c>
      <c r="J3" s="202" t="s">
        <v>4712</v>
      </c>
    </row>
    <row r="4" spans="1:10" x14ac:dyDescent="0.2">
      <c r="A4" s="423"/>
      <c r="B4" s="421"/>
      <c r="C4" s="423"/>
      <c r="D4" s="421"/>
      <c r="E4" s="421"/>
      <c r="F4" s="96" t="s">
        <v>2474</v>
      </c>
      <c r="G4" s="96" t="s">
        <v>2475</v>
      </c>
      <c r="H4" s="156"/>
      <c r="I4" s="152" t="s">
        <v>507</v>
      </c>
      <c r="J4" s="202" t="s">
        <v>4713</v>
      </c>
    </row>
    <row r="5" spans="1:10" x14ac:dyDescent="0.2">
      <c r="A5" s="423"/>
      <c r="B5" s="421"/>
      <c r="C5" s="423"/>
      <c r="D5" s="421"/>
      <c r="E5" s="421"/>
      <c r="F5" s="96" t="s">
        <v>2476</v>
      </c>
      <c r="G5" s="96" t="s">
        <v>2477</v>
      </c>
      <c r="H5" s="156"/>
      <c r="I5" s="152" t="s">
        <v>507</v>
      </c>
      <c r="J5" s="202" t="s">
        <v>4713</v>
      </c>
    </row>
    <row r="6" spans="1:10" x14ac:dyDescent="0.2">
      <c r="A6" s="423"/>
      <c r="B6" s="421"/>
      <c r="C6" s="423"/>
      <c r="D6" s="421"/>
      <c r="E6" s="421"/>
      <c r="F6" s="96" t="s">
        <v>2478</v>
      </c>
      <c r="G6" s="96" t="s">
        <v>2479</v>
      </c>
      <c r="H6" s="156"/>
      <c r="I6" s="152" t="s">
        <v>507</v>
      </c>
      <c r="J6" s="202" t="s">
        <v>4713</v>
      </c>
    </row>
    <row r="7" spans="1:10" x14ac:dyDescent="0.2">
      <c r="A7" s="423"/>
      <c r="B7" s="421"/>
      <c r="C7" s="423"/>
      <c r="D7" s="421"/>
      <c r="E7" s="421"/>
      <c r="F7" s="96" t="s">
        <v>2480</v>
      </c>
      <c r="G7" s="96" t="s">
        <v>2481</v>
      </c>
      <c r="H7" s="156"/>
      <c r="I7" s="152" t="s">
        <v>507</v>
      </c>
      <c r="J7" s="202" t="s">
        <v>4713</v>
      </c>
    </row>
    <row r="8" spans="1:10" x14ac:dyDescent="0.2">
      <c r="A8" s="423"/>
      <c r="B8" s="421"/>
      <c r="C8" s="423"/>
      <c r="D8" s="421"/>
      <c r="E8" s="421"/>
      <c r="F8" s="96" t="s">
        <v>2482</v>
      </c>
      <c r="G8" s="96" t="s">
        <v>2483</v>
      </c>
      <c r="H8" s="156"/>
      <c r="I8" s="152" t="s">
        <v>507</v>
      </c>
      <c r="J8" s="202" t="s">
        <v>4713</v>
      </c>
    </row>
    <row r="9" spans="1:10" ht="45" x14ac:dyDescent="0.2">
      <c r="A9" s="423"/>
      <c r="B9" s="421" t="s">
        <v>412</v>
      </c>
      <c r="C9" s="423" t="s">
        <v>718</v>
      </c>
      <c r="D9" s="421"/>
      <c r="E9" s="421" t="s">
        <v>507</v>
      </c>
      <c r="F9" s="96" t="s">
        <v>2484</v>
      </c>
      <c r="G9" s="96" t="s">
        <v>2485</v>
      </c>
      <c r="H9" s="156"/>
      <c r="I9" s="152" t="s">
        <v>507</v>
      </c>
      <c r="J9" s="202" t="s">
        <v>4715</v>
      </c>
    </row>
    <row r="10" spans="1:10" ht="16.350000000000001" customHeight="1" x14ac:dyDescent="0.2">
      <c r="A10" s="423"/>
      <c r="B10" s="421"/>
      <c r="C10" s="423"/>
      <c r="D10" s="421"/>
      <c r="E10" s="421"/>
      <c r="F10" s="96" t="s">
        <v>2486</v>
      </c>
      <c r="G10" s="96" t="s">
        <v>2487</v>
      </c>
      <c r="H10" s="156"/>
      <c r="I10" s="152" t="s">
        <v>507</v>
      </c>
      <c r="J10" s="202" t="s">
        <v>4714</v>
      </c>
    </row>
    <row r="11" spans="1:10" ht="30" x14ac:dyDescent="0.2">
      <c r="A11" s="423"/>
      <c r="B11" s="421"/>
      <c r="C11" s="423"/>
      <c r="D11" s="421"/>
      <c r="E11" s="421"/>
      <c r="F11" s="96" t="s">
        <v>2488</v>
      </c>
      <c r="G11" s="96" t="s">
        <v>2489</v>
      </c>
      <c r="H11" s="156"/>
      <c r="I11" s="152" t="s">
        <v>507</v>
      </c>
      <c r="J11" s="202" t="s">
        <v>4714</v>
      </c>
    </row>
    <row r="12" spans="1:10" ht="15" customHeight="1" x14ac:dyDescent="0.2">
      <c r="A12" s="423"/>
      <c r="B12" s="421"/>
      <c r="C12" s="423"/>
      <c r="D12" s="421"/>
      <c r="E12" s="421"/>
      <c r="F12" s="96" t="s">
        <v>2490</v>
      </c>
      <c r="G12" s="96" t="s">
        <v>2491</v>
      </c>
      <c r="H12" s="156"/>
      <c r="I12" s="152" t="s">
        <v>507</v>
      </c>
      <c r="J12" s="202" t="s">
        <v>4714</v>
      </c>
    </row>
    <row r="13" spans="1:10" ht="15" customHeight="1" x14ac:dyDescent="0.2">
      <c r="A13" s="423"/>
      <c r="B13" s="421"/>
      <c r="C13" s="423"/>
      <c r="D13" s="421"/>
      <c r="E13" s="421"/>
      <c r="F13" s="96" t="s">
        <v>2492</v>
      </c>
      <c r="G13" s="96" t="s">
        <v>2493</v>
      </c>
      <c r="H13" s="156"/>
      <c r="I13" s="152" t="s">
        <v>507</v>
      </c>
      <c r="J13" s="202" t="s">
        <v>4714</v>
      </c>
    </row>
    <row r="14" spans="1:10" ht="30" x14ac:dyDescent="0.2">
      <c r="A14" s="423"/>
      <c r="B14" s="421"/>
      <c r="C14" s="423"/>
      <c r="D14" s="421"/>
      <c r="E14" s="421"/>
      <c r="F14" s="96" t="s">
        <v>2494</v>
      </c>
      <c r="G14" s="96" t="s">
        <v>2495</v>
      </c>
      <c r="H14" s="156"/>
      <c r="I14" s="152" t="s">
        <v>507</v>
      </c>
      <c r="J14" s="202" t="s">
        <v>4714</v>
      </c>
    </row>
    <row r="15" spans="1:10" ht="45" x14ac:dyDescent="0.2">
      <c r="A15" s="423"/>
      <c r="B15" s="421" t="s">
        <v>413</v>
      </c>
      <c r="C15" s="423" t="s">
        <v>720</v>
      </c>
      <c r="D15" s="421" t="s">
        <v>4717</v>
      </c>
      <c r="E15" s="421" t="s">
        <v>507</v>
      </c>
      <c r="F15" s="96" t="s">
        <v>2496</v>
      </c>
      <c r="G15" s="96" t="s">
        <v>2497</v>
      </c>
      <c r="H15" s="156"/>
      <c r="I15" s="152" t="s">
        <v>511</v>
      </c>
      <c r="J15" s="202" t="s">
        <v>4717</v>
      </c>
    </row>
    <row r="16" spans="1:10" ht="45" x14ac:dyDescent="0.2">
      <c r="A16" s="423"/>
      <c r="B16" s="421"/>
      <c r="C16" s="423"/>
      <c r="D16" s="421"/>
      <c r="E16" s="421"/>
      <c r="F16" s="96" t="s">
        <v>2498</v>
      </c>
      <c r="G16" s="96" t="s">
        <v>2499</v>
      </c>
      <c r="H16" s="156"/>
      <c r="I16" s="152" t="s">
        <v>511</v>
      </c>
      <c r="J16" s="202" t="s">
        <v>4716</v>
      </c>
    </row>
    <row r="17" spans="1:10" ht="36.75" customHeight="1" x14ac:dyDescent="0.2">
      <c r="A17" s="423"/>
      <c r="B17" s="421"/>
      <c r="C17" s="423"/>
      <c r="D17" s="421"/>
      <c r="E17" s="421"/>
      <c r="F17" s="96" t="s">
        <v>2500</v>
      </c>
      <c r="G17" s="96" t="s">
        <v>2501</v>
      </c>
      <c r="H17" s="156"/>
      <c r="I17" s="152" t="s">
        <v>511</v>
      </c>
      <c r="J17" s="202" t="s">
        <v>4716</v>
      </c>
    </row>
    <row r="18" spans="1:10" ht="45" x14ac:dyDescent="0.2">
      <c r="A18" s="423"/>
      <c r="B18" s="421"/>
      <c r="C18" s="423"/>
      <c r="D18" s="421"/>
      <c r="E18" s="421"/>
      <c r="F18" s="96" t="s">
        <v>2502</v>
      </c>
      <c r="G18" s="96" t="s">
        <v>2503</v>
      </c>
      <c r="H18" s="156"/>
      <c r="I18" s="152" t="s">
        <v>511</v>
      </c>
      <c r="J18" s="202" t="s">
        <v>4716</v>
      </c>
    </row>
    <row r="19" spans="1:10" ht="45" x14ac:dyDescent="0.2">
      <c r="A19" s="423"/>
      <c r="B19" s="421"/>
      <c r="C19" s="423"/>
      <c r="D19" s="421"/>
      <c r="E19" s="421"/>
      <c r="F19" s="96" t="s">
        <v>2504</v>
      </c>
      <c r="G19" s="96" t="s">
        <v>2505</v>
      </c>
      <c r="H19" s="156"/>
      <c r="I19" s="152" t="s">
        <v>511</v>
      </c>
      <c r="J19" s="202" t="s">
        <v>4716</v>
      </c>
    </row>
    <row r="20" spans="1:10" ht="45" x14ac:dyDescent="0.2">
      <c r="A20" s="423"/>
      <c r="B20" s="421"/>
      <c r="C20" s="423"/>
      <c r="D20" s="421"/>
      <c r="E20" s="421"/>
      <c r="F20" s="96" t="s">
        <v>2506</v>
      </c>
      <c r="G20" s="96" t="s">
        <v>2507</v>
      </c>
      <c r="H20" s="156"/>
      <c r="I20" s="152" t="s">
        <v>511</v>
      </c>
      <c r="J20" s="202" t="s">
        <v>4716</v>
      </c>
    </row>
    <row r="21" spans="1:10" ht="27.4" customHeight="1" x14ac:dyDescent="0.2">
      <c r="A21" s="423"/>
      <c r="B21" s="421" t="s">
        <v>721</v>
      </c>
      <c r="C21" s="423" t="s">
        <v>722</v>
      </c>
      <c r="D21" s="421"/>
      <c r="E21" s="421" t="s">
        <v>507</v>
      </c>
      <c r="F21" s="96" t="s">
        <v>2508</v>
      </c>
      <c r="G21" s="96" t="s">
        <v>2509</v>
      </c>
      <c r="H21" s="156"/>
      <c r="I21" s="152" t="s">
        <v>507</v>
      </c>
      <c r="J21" s="202" t="s">
        <v>4718</v>
      </c>
    </row>
    <row r="22" spans="1:10" ht="16.350000000000001" customHeight="1" x14ac:dyDescent="0.2">
      <c r="A22" s="423"/>
      <c r="B22" s="421"/>
      <c r="C22" s="423"/>
      <c r="D22" s="421"/>
      <c r="E22" s="421"/>
      <c r="F22" s="96" t="s">
        <v>2510</v>
      </c>
      <c r="G22" s="96" t="s">
        <v>2511</v>
      </c>
      <c r="H22" s="156"/>
      <c r="I22" s="152" t="s">
        <v>507</v>
      </c>
      <c r="J22" s="152"/>
    </row>
    <row r="23" spans="1:10" x14ac:dyDescent="0.2">
      <c r="A23" s="423"/>
      <c r="B23" s="421"/>
      <c r="C23" s="423"/>
      <c r="D23" s="421"/>
      <c r="E23" s="421"/>
      <c r="F23" s="96" t="s">
        <v>2512</v>
      </c>
      <c r="G23" s="96" t="s">
        <v>2513</v>
      </c>
      <c r="H23" s="156"/>
      <c r="I23" s="152" t="s">
        <v>507</v>
      </c>
      <c r="J23" s="152"/>
    </row>
    <row r="24" spans="1:10" ht="15" customHeight="1" x14ac:dyDescent="0.2">
      <c r="A24" s="423"/>
      <c r="B24" s="421"/>
      <c r="C24" s="423"/>
      <c r="D24" s="421"/>
      <c r="E24" s="421"/>
      <c r="F24" s="96" t="s">
        <v>2514</v>
      </c>
      <c r="G24" s="96" t="s">
        <v>2515</v>
      </c>
      <c r="H24" s="156"/>
      <c r="I24" s="152" t="s">
        <v>507</v>
      </c>
      <c r="J24" s="152"/>
    </row>
    <row r="25" spans="1:10" x14ac:dyDescent="0.2">
      <c r="A25" s="423"/>
      <c r="B25" s="421"/>
      <c r="C25" s="423"/>
      <c r="D25" s="421"/>
      <c r="E25" s="421"/>
      <c r="F25" s="96" t="s">
        <v>2516</v>
      </c>
      <c r="G25" s="96" t="s">
        <v>2517</v>
      </c>
      <c r="H25" s="156"/>
      <c r="I25" s="152" t="s">
        <v>507</v>
      </c>
      <c r="J25" s="152"/>
    </row>
    <row r="26" spans="1:10" x14ac:dyDescent="0.2">
      <c r="A26" s="423"/>
      <c r="B26" s="421"/>
      <c r="C26" s="423"/>
      <c r="D26" s="421"/>
      <c r="E26" s="421"/>
      <c r="F26" s="96" t="s">
        <v>2518</v>
      </c>
      <c r="G26" s="96" t="s">
        <v>2519</v>
      </c>
      <c r="H26" s="156"/>
      <c r="I26" s="152" t="s">
        <v>507</v>
      </c>
      <c r="J26" s="152"/>
    </row>
    <row r="27" spans="1:10" x14ac:dyDescent="0.2">
      <c r="A27" s="423"/>
      <c r="B27" s="421" t="s">
        <v>723</v>
      </c>
      <c r="C27" s="423" t="s">
        <v>724</v>
      </c>
      <c r="D27" s="421"/>
      <c r="E27" s="421" t="s">
        <v>507</v>
      </c>
      <c r="F27" s="96" t="s">
        <v>2520</v>
      </c>
      <c r="G27" s="96" t="s">
        <v>2521</v>
      </c>
      <c r="H27" s="156"/>
      <c r="I27" s="152" t="s">
        <v>507</v>
      </c>
      <c r="J27" s="152"/>
    </row>
    <row r="28" spans="1:10" x14ac:dyDescent="0.2">
      <c r="A28" s="423"/>
      <c r="B28" s="421"/>
      <c r="C28" s="423"/>
      <c r="D28" s="421"/>
      <c r="E28" s="421"/>
      <c r="F28" s="96" t="s">
        <v>2522</v>
      </c>
      <c r="G28" s="96" t="s">
        <v>2523</v>
      </c>
      <c r="H28" s="156"/>
      <c r="I28" s="152" t="s">
        <v>507</v>
      </c>
      <c r="J28" s="152"/>
    </row>
    <row r="29" spans="1:10" x14ac:dyDescent="0.2">
      <c r="A29" s="423"/>
      <c r="B29" s="421"/>
      <c r="C29" s="423"/>
      <c r="D29" s="421"/>
      <c r="E29" s="421"/>
      <c r="F29" s="96" t="s">
        <v>2524</v>
      </c>
      <c r="G29" s="96" t="s">
        <v>2525</v>
      </c>
      <c r="H29" s="156"/>
      <c r="I29" s="152" t="s">
        <v>507</v>
      </c>
      <c r="J29" s="152"/>
    </row>
    <row r="30" spans="1:10" ht="15" customHeight="1" x14ac:dyDescent="0.2">
      <c r="A30" s="423"/>
      <c r="B30" s="421"/>
      <c r="C30" s="423"/>
      <c r="D30" s="421"/>
      <c r="E30" s="421"/>
      <c r="F30" s="96" t="s">
        <v>2526</v>
      </c>
      <c r="G30" s="96" t="s">
        <v>2527</v>
      </c>
      <c r="H30" s="156"/>
      <c r="I30" s="152" t="s">
        <v>507</v>
      </c>
      <c r="J30" s="152"/>
    </row>
    <row r="31" spans="1:10" x14ac:dyDescent="0.2">
      <c r="A31" s="423"/>
      <c r="B31" s="421"/>
      <c r="C31" s="423"/>
      <c r="D31" s="421"/>
      <c r="E31" s="421"/>
      <c r="F31" s="96" t="s">
        <v>2528</v>
      </c>
      <c r="G31" s="96" t="s">
        <v>2529</v>
      </c>
      <c r="H31" s="156"/>
      <c r="I31" s="152" t="s">
        <v>507</v>
      </c>
      <c r="J31" s="152"/>
    </row>
    <row r="32" spans="1:10" x14ac:dyDescent="0.2">
      <c r="A32" s="423"/>
      <c r="B32" s="421"/>
      <c r="C32" s="423"/>
      <c r="D32" s="421"/>
      <c r="E32" s="421"/>
      <c r="F32" s="96" t="s">
        <v>2530</v>
      </c>
      <c r="G32" s="96" t="s">
        <v>2531</v>
      </c>
      <c r="H32" s="156"/>
      <c r="I32" s="152" t="s">
        <v>507</v>
      </c>
      <c r="J32" s="152"/>
    </row>
    <row r="33" spans="1:10" ht="15" customHeight="1" x14ac:dyDescent="0.2">
      <c r="A33" s="423"/>
      <c r="B33" s="421" t="s">
        <v>725</v>
      </c>
      <c r="C33" s="423" t="s">
        <v>726</v>
      </c>
      <c r="D33" s="421"/>
      <c r="E33" s="421" t="s">
        <v>507</v>
      </c>
      <c r="F33" s="96" t="s">
        <v>2532</v>
      </c>
      <c r="G33" s="96" t="s">
        <v>2533</v>
      </c>
      <c r="H33" s="156"/>
      <c r="I33" s="152" t="s">
        <v>507</v>
      </c>
      <c r="J33" s="152"/>
    </row>
    <row r="34" spans="1:10" x14ac:dyDescent="0.2">
      <c r="A34" s="423"/>
      <c r="B34" s="421"/>
      <c r="C34" s="423"/>
      <c r="D34" s="421"/>
      <c r="E34" s="421"/>
      <c r="F34" s="96" t="s">
        <v>2534</v>
      </c>
      <c r="G34" s="96" t="s">
        <v>2535</v>
      </c>
      <c r="H34" s="156"/>
      <c r="I34" s="152" t="s">
        <v>507</v>
      </c>
      <c r="J34" s="152"/>
    </row>
    <row r="35" spans="1:10" ht="16.350000000000001" customHeight="1" x14ac:dyDescent="0.2">
      <c r="A35" s="423"/>
      <c r="B35" s="421"/>
      <c r="C35" s="423"/>
      <c r="D35" s="421"/>
      <c r="E35" s="421"/>
      <c r="F35" s="96" t="s">
        <v>2536</v>
      </c>
      <c r="G35" s="96" t="s">
        <v>2537</v>
      </c>
      <c r="H35" s="156"/>
      <c r="I35" s="152" t="s">
        <v>507</v>
      </c>
      <c r="J35" s="152"/>
    </row>
    <row r="36" spans="1:10" ht="15" customHeight="1" x14ac:dyDescent="0.2">
      <c r="A36" s="423"/>
      <c r="B36" s="421"/>
      <c r="C36" s="423"/>
      <c r="D36" s="421"/>
      <c r="E36" s="421"/>
      <c r="F36" s="96" t="s">
        <v>2538</v>
      </c>
      <c r="G36" s="96" t="s">
        <v>2539</v>
      </c>
      <c r="H36" s="156"/>
      <c r="I36" s="152" t="s">
        <v>507</v>
      </c>
      <c r="J36" s="152"/>
    </row>
    <row r="37" spans="1:10" x14ac:dyDescent="0.2">
      <c r="A37" s="423"/>
      <c r="B37" s="421"/>
      <c r="C37" s="423"/>
      <c r="D37" s="421"/>
      <c r="E37" s="421"/>
      <c r="F37" s="96" t="s">
        <v>2540</v>
      </c>
      <c r="G37" s="96" t="s">
        <v>2541</v>
      </c>
      <c r="H37" s="156"/>
      <c r="I37" s="152" t="s">
        <v>507</v>
      </c>
      <c r="J37" s="152"/>
    </row>
    <row r="38" spans="1:10" x14ac:dyDescent="0.2">
      <c r="A38" s="423"/>
      <c r="B38" s="421"/>
      <c r="C38" s="423"/>
      <c r="D38" s="421"/>
      <c r="E38" s="421"/>
      <c r="F38" s="96" t="s">
        <v>2542</v>
      </c>
      <c r="G38" s="96" t="s">
        <v>2543</v>
      </c>
      <c r="H38" s="156"/>
      <c r="I38" s="152" t="s">
        <v>507</v>
      </c>
      <c r="J38" s="152"/>
    </row>
    <row r="39" spans="1:10" x14ac:dyDescent="0.2">
      <c r="A39" s="423"/>
      <c r="B39" s="421" t="s">
        <v>727</v>
      </c>
      <c r="C39" s="423" t="s">
        <v>2544</v>
      </c>
      <c r="D39" s="421"/>
      <c r="E39" s="421" t="s">
        <v>507</v>
      </c>
      <c r="F39" s="96" t="s">
        <v>2545</v>
      </c>
      <c r="G39" s="96" t="s">
        <v>2546</v>
      </c>
      <c r="H39" s="156"/>
      <c r="I39" s="152" t="s">
        <v>507</v>
      </c>
      <c r="J39" s="152"/>
    </row>
    <row r="40" spans="1:10" ht="15" customHeight="1" x14ac:dyDescent="0.2">
      <c r="A40" s="423"/>
      <c r="B40" s="421"/>
      <c r="C40" s="423"/>
      <c r="D40" s="421"/>
      <c r="E40" s="421"/>
      <c r="F40" s="96" t="s">
        <v>2547</v>
      </c>
      <c r="G40" s="96" t="s">
        <v>2548</v>
      </c>
      <c r="H40" s="156"/>
      <c r="I40" s="152" t="s">
        <v>507</v>
      </c>
      <c r="J40" s="152"/>
    </row>
    <row r="41" spans="1:10" x14ac:dyDescent="0.2">
      <c r="A41" s="423"/>
      <c r="B41" s="421"/>
      <c r="C41" s="423"/>
      <c r="D41" s="421"/>
      <c r="E41" s="421"/>
      <c r="F41" s="96" t="s">
        <v>2549</v>
      </c>
      <c r="G41" s="96" t="s">
        <v>2550</v>
      </c>
      <c r="H41" s="156"/>
      <c r="I41" s="152" t="s">
        <v>507</v>
      </c>
      <c r="J41" s="152"/>
    </row>
    <row r="42" spans="1:10" ht="15" customHeight="1" x14ac:dyDescent="0.2">
      <c r="A42" s="423"/>
      <c r="B42" s="421"/>
      <c r="C42" s="423"/>
      <c r="D42" s="421"/>
      <c r="E42" s="421"/>
      <c r="F42" s="96" t="s">
        <v>2551</v>
      </c>
      <c r="G42" s="96" t="s">
        <v>2260</v>
      </c>
      <c r="H42" s="156"/>
      <c r="I42" s="152" t="s">
        <v>507</v>
      </c>
      <c r="J42" s="152"/>
    </row>
    <row r="43" spans="1:10" x14ac:dyDescent="0.2">
      <c r="A43" s="423"/>
      <c r="B43" s="421"/>
      <c r="C43" s="423"/>
      <c r="D43" s="421"/>
      <c r="E43" s="421"/>
      <c r="F43" s="96" t="s">
        <v>2552</v>
      </c>
      <c r="G43" s="96" t="s">
        <v>2553</v>
      </c>
      <c r="H43" s="156"/>
      <c r="I43" s="152" t="s">
        <v>507</v>
      </c>
      <c r="J43" s="152"/>
    </row>
    <row r="44" spans="1:10" x14ac:dyDescent="0.2">
      <c r="A44" s="423"/>
      <c r="B44" s="421"/>
      <c r="C44" s="423"/>
      <c r="D44" s="421"/>
      <c r="E44" s="421"/>
      <c r="F44" s="96" t="s">
        <v>2554</v>
      </c>
      <c r="G44" s="96" t="s">
        <v>2555</v>
      </c>
      <c r="H44" s="156"/>
      <c r="I44" s="152" t="s">
        <v>507</v>
      </c>
      <c r="J44" s="152"/>
    </row>
    <row r="45" spans="1:10" ht="15" customHeight="1" x14ac:dyDescent="0.2">
      <c r="A45" s="423"/>
      <c r="B45" s="421" t="s">
        <v>729</v>
      </c>
      <c r="C45" s="423" t="s">
        <v>730</v>
      </c>
      <c r="D45" s="423"/>
      <c r="E45" s="421" t="s">
        <v>507</v>
      </c>
      <c r="F45" s="96" t="s">
        <v>2556</v>
      </c>
      <c r="G45" s="96" t="s">
        <v>2557</v>
      </c>
      <c r="H45" s="156"/>
      <c r="I45" s="152" t="s">
        <v>507</v>
      </c>
      <c r="J45" s="152"/>
    </row>
    <row r="46" spans="1:10" x14ac:dyDescent="0.2">
      <c r="A46" s="423"/>
      <c r="B46" s="421"/>
      <c r="C46" s="423"/>
      <c r="D46" s="423"/>
      <c r="E46" s="421"/>
      <c r="F46" s="96" t="s">
        <v>2558</v>
      </c>
      <c r="G46" s="96" t="s">
        <v>2559</v>
      </c>
      <c r="H46" s="156"/>
      <c r="I46" s="152" t="s">
        <v>507</v>
      </c>
      <c r="J46" s="152"/>
    </row>
    <row r="47" spans="1:10" x14ac:dyDescent="0.2">
      <c r="A47" s="423"/>
      <c r="B47" s="421"/>
      <c r="C47" s="423"/>
      <c r="D47" s="423"/>
      <c r="E47" s="421"/>
      <c r="F47" s="96" t="s">
        <v>2560</v>
      </c>
      <c r="G47" s="96" t="s">
        <v>2561</v>
      </c>
      <c r="H47" s="156"/>
      <c r="I47" s="152" t="s">
        <v>507</v>
      </c>
      <c r="J47" s="152"/>
    </row>
    <row r="48" spans="1:10" x14ac:dyDescent="0.2">
      <c r="A48" s="423"/>
      <c r="B48" s="421"/>
      <c r="C48" s="423"/>
      <c r="D48" s="423"/>
      <c r="E48" s="421"/>
      <c r="F48" s="96" t="s">
        <v>2562</v>
      </c>
      <c r="G48" s="96" t="s">
        <v>2563</v>
      </c>
      <c r="H48" s="156"/>
      <c r="I48" s="152" t="s">
        <v>507</v>
      </c>
      <c r="J48" s="152"/>
    </row>
    <row r="49" spans="1:10" ht="16.350000000000001" customHeight="1" x14ac:dyDescent="0.2">
      <c r="A49" s="423"/>
      <c r="B49" s="421"/>
      <c r="C49" s="423"/>
      <c r="D49" s="423"/>
      <c r="E49" s="421"/>
      <c r="F49" s="96" t="s">
        <v>2564</v>
      </c>
      <c r="G49" s="96" t="s">
        <v>2565</v>
      </c>
      <c r="H49" s="156"/>
      <c r="I49" s="152" t="s">
        <v>507</v>
      </c>
      <c r="J49" s="152"/>
    </row>
    <row r="50" spans="1:10" ht="28.35" customHeight="1" x14ac:dyDescent="0.2">
      <c r="A50" s="423"/>
      <c r="B50" s="421"/>
      <c r="C50" s="423"/>
      <c r="D50" s="423"/>
      <c r="E50" s="421"/>
      <c r="F50" s="96" t="s">
        <v>2566</v>
      </c>
      <c r="G50" s="96" t="s">
        <v>2567</v>
      </c>
      <c r="H50" s="156"/>
      <c r="I50" s="152" t="s">
        <v>507</v>
      </c>
      <c r="J50" s="152"/>
    </row>
    <row r="51" spans="1:10" x14ac:dyDescent="0.2">
      <c r="A51" s="423"/>
      <c r="B51" s="421" t="s">
        <v>731</v>
      </c>
      <c r="C51" s="423" t="s">
        <v>732</v>
      </c>
      <c r="D51" s="423"/>
      <c r="E51" s="421" t="s">
        <v>507</v>
      </c>
      <c r="F51" s="96" t="s">
        <v>2568</v>
      </c>
      <c r="G51" s="96" t="s">
        <v>2569</v>
      </c>
      <c r="H51" s="156"/>
      <c r="I51" s="152" t="s">
        <v>507</v>
      </c>
      <c r="J51" s="152"/>
    </row>
    <row r="52" spans="1:10" ht="15" customHeight="1" x14ac:dyDescent="0.2">
      <c r="A52" s="423"/>
      <c r="B52" s="421"/>
      <c r="C52" s="423"/>
      <c r="D52" s="423"/>
      <c r="E52" s="421"/>
      <c r="F52" s="96" t="s">
        <v>2570</v>
      </c>
      <c r="G52" s="96" t="s">
        <v>2571</v>
      </c>
      <c r="H52" s="156"/>
      <c r="I52" s="152" t="s">
        <v>507</v>
      </c>
      <c r="J52" s="152"/>
    </row>
    <row r="53" spans="1:10" x14ac:dyDescent="0.2">
      <c r="A53" s="423"/>
      <c r="B53" s="421"/>
      <c r="C53" s="423"/>
      <c r="D53" s="423"/>
      <c r="E53" s="421"/>
      <c r="F53" s="96" t="s">
        <v>2572</v>
      </c>
      <c r="G53" s="96" t="s">
        <v>2573</v>
      </c>
      <c r="H53" s="156"/>
      <c r="I53" s="152" t="s">
        <v>507</v>
      </c>
      <c r="J53" s="152"/>
    </row>
    <row r="54" spans="1:10" x14ac:dyDescent="0.2">
      <c r="A54" s="423"/>
      <c r="B54" s="421"/>
      <c r="C54" s="423"/>
      <c r="D54" s="423"/>
      <c r="E54" s="421"/>
      <c r="F54" s="96" t="s">
        <v>2574</v>
      </c>
      <c r="G54" s="96" t="s">
        <v>2575</v>
      </c>
      <c r="H54" s="156"/>
      <c r="I54" s="152" t="s">
        <v>507</v>
      </c>
      <c r="J54" s="152"/>
    </row>
    <row r="55" spans="1:10" ht="15" customHeight="1" x14ac:dyDescent="0.2">
      <c r="A55" s="423"/>
      <c r="B55" s="421"/>
      <c r="C55" s="423"/>
      <c r="D55" s="423"/>
      <c r="E55" s="421"/>
      <c r="F55" s="96" t="s">
        <v>2576</v>
      </c>
      <c r="G55" s="96" t="s">
        <v>2577</v>
      </c>
      <c r="H55" s="156"/>
      <c r="I55" s="152" t="s">
        <v>507</v>
      </c>
      <c r="J55" s="152"/>
    </row>
    <row r="56" spans="1:10" x14ac:dyDescent="0.2">
      <c r="A56" s="423"/>
      <c r="B56" s="421"/>
      <c r="C56" s="423"/>
      <c r="D56" s="423"/>
      <c r="E56" s="421"/>
      <c r="F56" s="96" t="s">
        <v>2578</v>
      </c>
      <c r="G56" s="96" t="s">
        <v>2579</v>
      </c>
      <c r="H56" s="156"/>
      <c r="I56" s="152" t="s">
        <v>507</v>
      </c>
      <c r="J56" s="152"/>
    </row>
    <row r="57" spans="1:10" ht="28.35" customHeight="1" x14ac:dyDescent="0.2">
      <c r="A57" s="423"/>
      <c r="B57" s="421" t="s">
        <v>733</v>
      </c>
      <c r="C57" s="423" t="s">
        <v>734</v>
      </c>
      <c r="D57" s="421"/>
      <c r="E57" s="421" t="s">
        <v>507</v>
      </c>
      <c r="F57" s="96" t="s">
        <v>2580</v>
      </c>
      <c r="G57" s="96" t="s">
        <v>2581</v>
      </c>
      <c r="H57" s="156"/>
      <c r="I57" s="152" t="s">
        <v>507</v>
      </c>
      <c r="J57" s="202" t="s">
        <v>4719</v>
      </c>
    </row>
    <row r="58" spans="1:10" ht="22.5" customHeight="1" x14ac:dyDescent="0.2">
      <c r="A58" s="423"/>
      <c r="B58" s="421"/>
      <c r="C58" s="423"/>
      <c r="D58" s="421"/>
      <c r="E58" s="421"/>
      <c r="F58" s="96" t="s">
        <v>2582</v>
      </c>
      <c r="G58" s="96" t="s">
        <v>2583</v>
      </c>
      <c r="H58" s="156"/>
      <c r="I58" s="152" t="s">
        <v>507</v>
      </c>
      <c r="J58" s="202" t="s">
        <v>3114</v>
      </c>
    </row>
    <row r="59" spans="1:10" ht="16.350000000000001" customHeight="1" x14ac:dyDescent="0.2">
      <c r="A59" s="423"/>
      <c r="B59" s="421"/>
      <c r="C59" s="423"/>
      <c r="D59" s="421"/>
      <c r="E59" s="421"/>
      <c r="F59" s="96" t="s">
        <v>2584</v>
      </c>
      <c r="G59" s="96" t="s">
        <v>2585</v>
      </c>
      <c r="H59" s="156"/>
      <c r="I59" s="152" t="s">
        <v>507</v>
      </c>
      <c r="J59" s="152"/>
    </row>
    <row r="60" spans="1:10" x14ac:dyDescent="0.2">
      <c r="A60" s="423"/>
      <c r="B60" s="421"/>
      <c r="C60" s="423"/>
      <c r="D60" s="421"/>
      <c r="E60" s="421"/>
      <c r="F60" s="96" t="s">
        <v>2586</v>
      </c>
      <c r="G60" s="96" t="s">
        <v>2587</v>
      </c>
      <c r="H60" s="156"/>
      <c r="I60" s="152" t="s">
        <v>507</v>
      </c>
      <c r="J60" s="152"/>
    </row>
    <row r="61" spans="1:10" ht="15" customHeight="1" x14ac:dyDescent="0.2">
      <c r="A61" s="423"/>
      <c r="B61" s="421"/>
      <c r="C61" s="423"/>
      <c r="D61" s="421"/>
      <c r="E61" s="421"/>
      <c r="F61" s="96" t="s">
        <v>2588</v>
      </c>
      <c r="G61" s="96" t="s">
        <v>2589</v>
      </c>
      <c r="H61" s="156"/>
      <c r="I61" s="152" t="s">
        <v>507</v>
      </c>
      <c r="J61" s="152"/>
    </row>
    <row r="62" spans="1:10" x14ac:dyDescent="0.2">
      <c r="A62" s="423"/>
      <c r="B62" s="421"/>
      <c r="C62" s="423"/>
      <c r="D62" s="421"/>
      <c r="E62" s="421"/>
      <c r="F62" s="96" t="s">
        <v>2590</v>
      </c>
      <c r="G62" s="96" t="s">
        <v>2591</v>
      </c>
      <c r="H62" s="156"/>
      <c r="I62" s="152" t="s">
        <v>507</v>
      </c>
      <c r="J62" s="152"/>
    </row>
    <row r="63" spans="1:10" x14ac:dyDescent="0.2">
      <c r="A63" s="423"/>
      <c r="B63" s="421" t="s">
        <v>735</v>
      </c>
      <c r="C63" s="423" t="s">
        <v>736</v>
      </c>
      <c r="D63" s="421"/>
      <c r="E63" s="421" t="s">
        <v>507</v>
      </c>
      <c r="F63" s="96" t="s">
        <v>2592</v>
      </c>
      <c r="G63" s="96" t="s">
        <v>2593</v>
      </c>
      <c r="H63" s="156"/>
      <c r="I63" s="152" t="s">
        <v>507</v>
      </c>
      <c r="J63" s="152"/>
    </row>
    <row r="64" spans="1:10" ht="15" customHeight="1" x14ac:dyDescent="0.2">
      <c r="A64" s="423"/>
      <c r="B64" s="421"/>
      <c r="C64" s="423"/>
      <c r="D64" s="421"/>
      <c r="E64" s="421"/>
      <c r="F64" s="96" t="s">
        <v>2594</v>
      </c>
      <c r="G64" s="96" t="s">
        <v>2595</v>
      </c>
      <c r="H64" s="156"/>
      <c r="I64" s="152" t="s">
        <v>507</v>
      </c>
      <c r="J64" s="152"/>
    </row>
    <row r="65" spans="1:10" ht="16.350000000000001" customHeight="1" x14ac:dyDescent="0.2">
      <c r="A65" s="423"/>
      <c r="B65" s="421"/>
      <c r="C65" s="423"/>
      <c r="D65" s="421"/>
      <c r="E65" s="421"/>
      <c r="F65" s="96" t="s">
        <v>2596</v>
      </c>
      <c r="G65" s="96" t="s">
        <v>2597</v>
      </c>
      <c r="H65" s="156"/>
      <c r="I65" s="152" t="s">
        <v>507</v>
      </c>
      <c r="J65" s="152"/>
    </row>
    <row r="66" spans="1:10" x14ac:dyDescent="0.2">
      <c r="A66" s="423"/>
      <c r="B66" s="421"/>
      <c r="C66" s="423"/>
      <c r="D66" s="421"/>
      <c r="E66" s="421"/>
      <c r="F66" s="96" t="s">
        <v>2598</v>
      </c>
      <c r="G66" s="96" t="s">
        <v>2599</v>
      </c>
      <c r="H66" s="156"/>
      <c r="I66" s="152" t="s">
        <v>507</v>
      </c>
      <c r="J66" s="152"/>
    </row>
    <row r="67" spans="1:10" x14ac:dyDescent="0.2">
      <c r="A67" s="423"/>
      <c r="B67" s="421"/>
      <c r="C67" s="423"/>
      <c r="D67" s="421"/>
      <c r="E67" s="421"/>
      <c r="F67" s="96" t="s">
        <v>2600</v>
      </c>
      <c r="G67" s="96" t="s">
        <v>2601</v>
      </c>
      <c r="I67" s="152" t="s">
        <v>507</v>
      </c>
    </row>
    <row r="68" spans="1:10" x14ac:dyDescent="0.2">
      <c r="A68" s="423"/>
      <c r="B68" s="421"/>
      <c r="C68" s="423"/>
      <c r="D68" s="421"/>
      <c r="E68" s="421"/>
      <c r="F68" s="96" t="s">
        <v>2602</v>
      </c>
      <c r="G68" s="96" t="s">
        <v>2603</v>
      </c>
      <c r="I68" s="152" t="s">
        <v>507</v>
      </c>
    </row>
    <row r="70" spans="1:10" x14ac:dyDescent="0.2">
      <c r="A70" s="200" t="s">
        <v>3114</v>
      </c>
    </row>
    <row r="77" spans="1:10" ht="25.5" x14ac:dyDescent="0.2">
      <c r="E77" s="10" t="s">
        <v>528</v>
      </c>
    </row>
    <row r="78" spans="1:10" x14ac:dyDescent="0.2">
      <c r="E78" s="10" t="s">
        <v>511</v>
      </c>
    </row>
    <row r="79" spans="1:10" x14ac:dyDescent="0.2">
      <c r="E79" s="10" t="s">
        <v>515</v>
      </c>
    </row>
    <row r="80" spans="1:10" x14ac:dyDescent="0.2">
      <c r="E80" s="10" t="s">
        <v>505</v>
      </c>
    </row>
    <row r="81" spans="5:5" x14ac:dyDescent="0.2">
      <c r="E81" s="10" t="s">
        <v>507</v>
      </c>
    </row>
  </sheetData>
  <mergeCells count="45">
    <mergeCell ref="C45:C50"/>
    <mergeCell ref="D45:D50"/>
    <mergeCell ref="E45:E50"/>
    <mergeCell ref="D51:D56"/>
    <mergeCell ref="E51:E56"/>
    <mergeCell ref="B63:B68"/>
    <mergeCell ref="C63:C68"/>
    <mergeCell ref="D63:D68"/>
    <mergeCell ref="E63:E68"/>
    <mergeCell ref="C51:C56"/>
    <mergeCell ref="B51:B56"/>
    <mergeCell ref="B57:B62"/>
    <mergeCell ref="C57:C62"/>
    <mergeCell ref="D57:D62"/>
    <mergeCell ref="E57:E62"/>
    <mergeCell ref="D33:D38"/>
    <mergeCell ref="E33:E38"/>
    <mergeCell ref="B39:B44"/>
    <mergeCell ref="C39:C44"/>
    <mergeCell ref="D39:D44"/>
    <mergeCell ref="E39:E44"/>
    <mergeCell ref="B21:B26"/>
    <mergeCell ref="C21:C26"/>
    <mergeCell ref="D21:D26"/>
    <mergeCell ref="E21:E26"/>
    <mergeCell ref="B27:B32"/>
    <mergeCell ref="C27:C32"/>
    <mergeCell ref="D27:D32"/>
    <mergeCell ref="E27:E32"/>
    <mergeCell ref="A3:A68"/>
    <mergeCell ref="B3:B8"/>
    <mergeCell ref="C3:C8"/>
    <mergeCell ref="D3:D8"/>
    <mergeCell ref="E3:E8"/>
    <mergeCell ref="B9:B14"/>
    <mergeCell ref="C9:C14"/>
    <mergeCell ref="D9:D14"/>
    <mergeCell ref="E9:E14"/>
    <mergeCell ref="B15:B20"/>
    <mergeCell ref="B45:B50"/>
    <mergeCell ref="B33:B38"/>
    <mergeCell ref="C33:C38"/>
    <mergeCell ref="C15:C20"/>
    <mergeCell ref="D15:D20"/>
    <mergeCell ref="E15:E20"/>
  </mergeCells>
  <dataValidations count="1">
    <dataValidation type="list" allowBlank="1" showInputMessage="1" showErrorMessage="1" sqref="E3:E68 I3:I68" xr:uid="{C48675B6-433D-284C-B632-6290DE8B9236}">
      <formula1>$E$77:$E$81</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7960-1805-6848-97CA-C16F0F052DD6}">
  <sheetPr>
    <tabColor theme="5"/>
  </sheetPr>
  <dimension ref="A1:K81"/>
  <sheetViews>
    <sheetView showGridLines="0" topLeftCell="A38" zoomScale="91" workbookViewId="0">
      <selection activeCell="C61" sqref="C61:C66"/>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2" t="s">
        <v>1041</v>
      </c>
      <c r="D2" s="11" t="s">
        <v>185</v>
      </c>
      <c r="E2" s="11" t="s">
        <v>1038</v>
      </c>
      <c r="F2" s="11" t="s">
        <v>1049</v>
      </c>
      <c r="G2" s="11" t="s">
        <v>1040</v>
      </c>
      <c r="H2" s="11" t="s">
        <v>2016</v>
      </c>
      <c r="I2" s="11" t="s">
        <v>1038</v>
      </c>
      <c r="J2" s="11" t="s">
        <v>1039</v>
      </c>
    </row>
    <row r="3" spans="1:10" ht="28.35" customHeight="1" x14ac:dyDescent="0.2">
      <c r="A3" s="396" t="s">
        <v>2465</v>
      </c>
      <c r="B3" s="421" t="s">
        <v>401</v>
      </c>
      <c r="C3" s="423" t="s">
        <v>700</v>
      </c>
      <c r="D3" s="421"/>
      <c r="E3" s="421" t="s">
        <v>528</v>
      </c>
      <c r="F3" s="96" t="s">
        <v>2355</v>
      </c>
      <c r="G3" s="96" t="s">
        <v>2356</v>
      </c>
      <c r="H3" s="153" t="s">
        <v>2467</v>
      </c>
      <c r="I3" s="152" t="s">
        <v>511</v>
      </c>
      <c r="J3" s="202" t="s">
        <v>4917</v>
      </c>
    </row>
    <row r="4" spans="1:10" x14ac:dyDescent="0.2">
      <c r="A4" s="421"/>
      <c r="B4" s="421"/>
      <c r="C4" s="423"/>
      <c r="D4" s="421"/>
      <c r="E4" s="421"/>
      <c r="F4" s="96" t="s">
        <v>2357</v>
      </c>
      <c r="G4" s="96" t="s">
        <v>2358</v>
      </c>
      <c r="H4" s="153" t="s">
        <v>2467</v>
      </c>
      <c r="I4" s="152" t="s">
        <v>511</v>
      </c>
      <c r="J4" s="202" t="s">
        <v>4917</v>
      </c>
    </row>
    <row r="5" spans="1:10" x14ac:dyDescent="0.2">
      <c r="A5" s="421"/>
      <c r="B5" s="421"/>
      <c r="C5" s="423"/>
      <c r="D5" s="421"/>
      <c r="E5" s="421"/>
      <c r="F5" s="96" t="s">
        <v>2359</v>
      </c>
      <c r="G5" s="96" t="s">
        <v>2360</v>
      </c>
      <c r="H5" s="153" t="s">
        <v>2467</v>
      </c>
      <c r="I5" s="152" t="s">
        <v>511</v>
      </c>
      <c r="J5" s="202" t="s">
        <v>4917</v>
      </c>
    </row>
    <row r="6" spans="1:10" x14ac:dyDescent="0.2">
      <c r="A6" s="421"/>
      <c r="B6" s="421"/>
      <c r="C6" s="423"/>
      <c r="D6" s="421"/>
      <c r="E6" s="421"/>
      <c r="F6" s="96" t="s">
        <v>2361</v>
      </c>
      <c r="G6" s="96" t="s">
        <v>2362</v>
      </c>
      <c r="H6" s="153" t="s">
        <v>2467</v>
      </c>
      <c r="I6" s="152" t="s">
        <v>511</v>
      </c>
      <c r="J6" s="202" t="s">
        <v>4917</v>
      </c>
    </row>
    <row r="7" spans="1:10" x14ac:dyDescent="0.2">
      <c r="A7" s="421"/>
      <c r="B7" s="421"/>
      <c r="C7" s="423"/>
      <c r="D7" s="421"/>
      <c r="E7" s="421"/>
      <c r="F7" s="96" t="s">
        <v>2363</v>
      </c>
      <c r="G7" s="96" t="s">
        <v>2364</v>
      </c>
      <c r="H7" s="153" t="s">
        <v>2467</v>
      </c>
      <c r="I7" s="152" t="s">
        <v>511</v>
      </c>
      <c r="J7" s="202" t="s">
        <v>4917</v>
      </c>
    </row>
    <row r="8" spans="1:10" x14ac:dyDescent="0.2">
      <c r="A8" s="421"/>
      <c r="B8" s="421"/>
      <c r="C8" s="423"/>
      <c r="D8" s="421"/>
      <c r="E8" s="421"/>
      <c r="F8" s="96" t="s">
        <v>2365</v>
      </c>
      <c r="G8" s="96" t="s">
        <v>2366</v>
      </c>
      <c r="H8" s="153" t="s">
        <v>2467</v>
      </c>
      <c r="I8" s="152" t="s">
        <v>511</v>
      </c>
      <c r="J8" s="202" t="s">
        <v>4917</v>
      </c>
    </row>
    <row r="9" spans="1:10" x14ac:dyDescent="0.2">
      <c r="A9" s="421"/>
      <c r="B9" s="421"/>
      <c r="C9" s="423"/>
      <c r="D9" s="421"/>
      <c r="E9" s="421"/>
      <c r="F9" s="96" t="s">
        <v>2464</v>
      </c>
      <c r="G9" s="96"/>
      <c r="H9" s="153"/>
      <c r="I9" s="152"/>
      <c r="J9" s="202" t="s">
        <v>3114</v>
      </c>
    </row>
    <row r="10" spans="1:10" ht="16.350000000000001" customHeight="1" x14ac:dyDescent="0.2">
      <c r="A10" s="421"/>
      <c r="B10" s="421" t="s">
        <v>402</v>
      </c>
      <c r="C10" s="423" t="s">
        <v>701</v>
      </c>
      <c r="D10" s="421"/>
      <c r="E10" s="421" t="s">
        <v>511</v>
      </c>
      <c r="F10" s="96" t="s">
        <v>2367</v>
      </c>
      <c r="G10" s="96" t="s">
        <v>2368</v>
      </c>
      <c r="H10" s="153" t="s">
        <v>2467</v>
      </c>
      <c r="I10" s="152" t="s">
        <v>511</v>
      </c>
      <c r="J10" s="202" t="s">
        <v>4919</v>
      </c>
    </row>
    <row r="11" spans="1:10" ht="25.5" x14ac:dyDescent="0.2">
      <c r="A11" s="421"/>
      <c r="B11" s="421"/>
      <c r="C11" s="423"/>
      <c r="D11" s="421"/>
      <c r="E11" s="421"/>
      <c r="F11" s="96" t="s">
        <v>2369</v>
      </c>
      <c r="G11" s="96" t="s">
        <v>4918</v>
      </c>
      <c r="H11" s="153" t="s">
        <v>2467</v>
      </c>
      <c r="I11" s="152" t="s">
        <v>511</v>
      </c>
      <c r="J11" s="202" t="s">
        <v>4919</v>
      </c>
    </row>
    <row r="12" spans="1:10" ht="15" customHeight="1" x14ac:dyDescent="0.2">
      <c r="A12" s="421"/>
      <c r="B12" s="421"/>
      <c r="C12" s="423"/>
      <c r="D12" s="421"/>
      <c r="E12" s="421"/>
      <c r="F12" s="96" t="s">
        <v>2370</v>
      </c>
      <c r="G12" s="96" t="s">
        <v>2371</v>
      </c>
      <c r="H12" s="153" t="s">
        <v>2467</v>
      </c>
      <c r="I12" s="152" t="s">
        <v>511</v>
      </c>
      <c r="J12" s="202" t="s">
        <v>4919</v>
      </c>
    </row>
    <row r="13" spans="1:10" ht="15" customHeight="1" x14ac:dyDescent="0.2">
      <c r="A13" s="421"/>
      <c r="B13" s="421"/>
      <c r="C13" s="423"/>
      <c r="D13" s="421"/>
      <c r="E13" s="421"/>
      <c r="F13" s="96" t="s">
        <v>2372</v>
      </c>
      <c r="G13" s="96" t="s">
        <v>2215</v>
      </c>
      <c r="H13" s="153" t="s">
        <v>2467</v>
      </c>
      <c r="I13" s="152" t="s">
        <v>511</v>
      </c>
      <c r="J13" s="202" t="s">
        <v>4919</v>
      </c>
    </row>
    <row r="14" spans="1:10" x14ac:dyDescent="0.2">
      <c r="A14" s="421"/>
      <c r="B14" s="421"/>
      <c r="C14" s="423"/>
      <c r="D14" s="421"/>
      <c r="E14" s="421"/>
      <c r="F14" s="96" t="s">
        <v>2373</v>
      </c>
      <c r="G14" s="96" t="s">
        <v>2374</v>
      </c>
      <c r="H14" s="153" t="s">
        <v>2467</v>
      </c>
      <c r="I14" s="152" t="s">
        <v>511</v>
      </c>
      <c r="J14" s="202" t="s">
        <v>4919</v>
      </c>
    </row>
    <row r="15" spans="1:10" x14ac:dyDescent="0.2">
      <c r="A15" s="421"/>
      <c r="B15" s="421"/>
      <c r="C15" s="423"/>
      <c r="D15" s="421"/>
      <c r="E15" s="421"/>
      <c r="F15" s="96" t="s">
        <v>2373</v>
      </c>
      <c r="G15" s="96" t="s">
        <v>2376</v>
      </c>
      <c r="H15" s="153" t="s">
        <v>2467</v>
      </c>
      <c r="I15" s="152" t="s">
        <v>515</v>
      </c>
      <c r="J15" s="202" t="s">
        <v>4922</v>
      </c>
    </row>
    <row r="16" spans="1:10" x14ac:dyDescent="0.2">
      <c r="A16" s="421"/>
      <c r="B16" s="421"/>
      <c r="C16" s="423"/>
      <c r="D16" s="421"/>
      <c r="E16" s="421"/>
      <c r="F16" s="96" t="s">
        <v>2375</v>
      </c>
      <c r="G16" s="96"/>
      <c r="H16" s="153"/>
      <c r="I16" s="152"/>
      <c r="J16" s="152"/>
    </row>
    <row r="17" spans="1:11" x14ac:dyDescent="0.2">
      <c r="A17" s="421"/>
      <c r="B17" s="421" t="s">
        <v>403</v>
      </c>
      <c r="C17" s="423" t="s">
        <v>702</v>
      </c>
      <c r="D17" s="421"/>
      <c r="E17" s="421" t="s">
        <v>511</v>
      </c>
      <c r="F17" s="96" t="s">
        <v>2377</v>
      </c>
      <c r="G17" s="96" t="s">
        <v>2378</v>
      </c>
      <c r="H17" s="230" t="s">
        <v>4897</v>
      </c>
      <c r="I17" s="37" t="s">
        <v>505</v>
      </c>
      <c r="J17" s="37" t="s">
        <v>4898</v>
      </c>
    </row>
    <row r="18" spans="1:11" x14ac:dyDescent="0.2">
      <c r="A18" s="421"/>
      <c r="B18" s="421"/>
      <c r="C18" s="423"/>
      <c r="D18" s="421"/>
      <c r="E18" s="421"/>
      <c r="F18" s="96" t="s">
        <v>2379</v>
      </c>
      <c r="G18" s="96" t="s">
        <v>2380</v>
      </c>
      <c r="H18" s="153" t="s">
        <v>2467</v>
      </c>
      <c r="I18" s="152" t="s">
        <v>511</v>
      </c>
      <c r="J18" s="152"/>
    </row>
    <row r="19" spans="1:11" x14ac:dyDescent="0.2">
      <c r="A19" s="421"/>
      <c r="B19" s="421"/>
      <c r="C19" s="423"/>
      <c r="D19" s="421"/>
      <c r="E19" s="421"/>
      <c r="F19" s="96" t="s">
        <v>2381</v>
      </c>
      <c r="G19" s="96" t="s">
        <v>2382</v>
      </c>
      <c r="H19" s="153" t="s">
        <v>2467</v>
      </c>
      <c r="I19" s="152" t="s">
        <v>511</v>
      </c>
      <c r="J19" s="152"/>
    </row>
    <row r="20" spans="1:11" x14ac:dyDescent="0.2">
      <c r="A20" s="421"/>
      <c r="B20" s="421"/>
      <c r="C20" s="423"/>
      <c r="D20" s="421"/>
      <c r="E20" s="421"/>
      <c r="F20" s="96" t="s">
        <v>2383</v>
      </c>
      <c r="G20" s="96" t="s">
        <v>2385</v>
      </c>
      <c r="H20" s="153" t="s">
        <v>2467</v>
      </c>
      <c r="I20" s="152" t="s">
        <v>511</v>
      </c>
      <c r="J20" s="152"/>
    </row>
    <row r="21" spans="1:11" ht="16.350000000000001" customHeight="1" x14ac:dyDescent="0.2">
      <c r="A21" s="421"/>
      <c r="B21" s="421"/>
      <c r="C21" s="423"/>
      <c r="D21" s="421"/>
      <c r="E21" s="421"/>
      <c r="F21" s="96" t="s">
        <v>2384</v>
      </c>
      <c r="G21" s="96" t="s">
        <v>2387</v>
      </c>
      <c r="H21" s="153" t="s">
        <v>2467</v>
      </c>
      <c r="I21" s="152" t="s">
        <v>511</v>
      </c>
      <c r="J21" s="152"/>
    </row>
    <row r="22" spans="1:11" ht="16.350000000000001" customHeight="1" x14ac:dyDescent="0.2">
      <c r="A22" s="421"/>
      <c r="B22" s="421"/>
      <c r="C22" s="423"/>
      <c r="D22" s="421"/>
      <c r="E22" s="421"/>
      <c r="F22" s="96" t="s">
        <v>2386</v>
      </c>
      <c r="G22" s="14"/>
      <c r="H22" s="153"/>
      <c r="I22" s="152"/>
      <c r="J22" s="152"/>
    </row>
    <row r="23" spans="1:11" x14ac:dyDescent="0.2">
      <c r="A23" s="421"/>
      <c r="B23" s="421"/>
      <c r="C23" s="423"/>
      <c r="D23" s="421"/>
      <c r="E23" s="421"/>
      <c r="F23" s="96" t="s">
        <v>2466</v>
      </c>
      <c r="G23" s="96"/>
      <c r="H23" s="153"/>
      <c r="I23" s="152"/>
      <c r="J23" s="152"/>
    </row>
    <row r="24" spans="1:11" ht="15" customHeight="1" x14ac:dyDescent="0.2">
      <c r="A24" s="421"/>
      <c r="B24" s="421" t="s">
        <v>404</v>
      </c>
      <c r="C24" s="423" t="s">
        <v>704</v>
      </c>
      <c r="D24" s="421"/>
      <c r="E24" s="421" t="s">
        <v>511</v>
      </c>
      <c r="F24" s="96" t="s">
        <v>2388</v>
      </c>
      <c r="G24" s="96" t="s">
        <v>2389</v>
      </c>
      <c r="H24" s="231" t="s">
        <v>2467</v>
      </c>
      <c r="I24" s="152" t="s">
        <v>511</v>
      </c>
      <c r="J24" s="152"/>
    </row>
    <row r="25" spans="1:11" ht="30" x14ac:dyDescent="0.2">
      <c r="A25" s="421"/>
      <c r="B25" s="421"/>
      <c r="C25" s="423"/>
      <c r="D25" s="421"/>
      <c r="E25" s="421"/>
      <c r="F25" s="96" t="s">
        <v>2390</v>
      </c>
      <c r="G25" s="96" t="s">
        <v>2391</v>
      </c>
      <c r="H25" s="231" t="s">
        <v>2467</v>
      </c>
      <c r="I25" s="152" t="s">
        <v>511</v>
      </c>
      <c r="J25" s="152" t="s">
        <v>712</v>
      </c>
      <c r="K25" s="200" t="s">
        <v>4921</v>
      </c>
    </row>
    <row r="26" spans="1:11" x14ac:dyDescent="0.2">
      <c r="A26" s="421"/>
      <c r="B26" s="421"/>
      <c r="C26" s="423"/>
      <c r="D26" s="421"/>
      <c r="E26" s="421"/>
      <c r="F26" s="96" t="s">
        <v>2392</v>
      </c>
      <c r="G26" s="96" t="s">
        <v>2393</v>
      </c>
      <c r="H26" s="231" t="s">
        <v>2467</v>
      </c>
      <c r="I26" s="152" t="s">
        <v>511</v>
      </c>
      <c r="J26" s="152"/>
    </row>
    <row r="27" spans="1:11" x14ac:dyDescent="0.2">
      <c r="A27" s="421"/>
      <c r="B27" s="421"/>
      <c r="C27" s="423"/>
      <c r="D27" s="421"/>
      <c r="E27" s="421"/>
      <c r="F27" s="96" t="s">
        <v>2394</v>
      </c>
      <c r="G27" s="96" t="s">
        <v>2395</v>
      </c>
      <c r="H27" s="231" t="s">
        <v>2467</v>
      </c>
      <c r="I27" s="152" t="s">
        <v>511</v>
      </c>
      <c r="J27" s="152"/>
    </row>
    <row r="28" spans="1:11" x14ac:dyDescent="0.2">
      <c r="A28" s="421"/>
      <c r="B28" s="421"/>
      <c r="C28" s="423"/>
      <c r="D28" s="421"/>
      <c r="E28" s="421"/>
      <c r="F28" s="96" t="s">
        <v>2396</v>
      </c>
      <c r="G28" s="117" t="s">
        <v>4920</v>
      </c>
      <c r="H28" s="231" t="s">
        <v>2467</v>
      </c>
      <c r="I28" s="152" t="s">
        <v>511</v>
      </c>
      <c r="J28" s="152"/>
    </row>
    <row r="29" spans="1:11" x14ac:dyDescent="0.2">
      <c r="A29" s="421"/>
      <c r="B29" s="421"/>
      <c r="C29" s="423"/>
      <c r="D29" s="421"/>
      <c r="E29" s="421"/>
      <c r="F29" s="96" t="s">
        <v>2397</v>
      </c>
      <c r="G29" s="96"/>
      <c r="H29" s="153"/>
      <c r="I29" s="152"/>
      <c r="J29" s="152"/>
    </row>
    <row r="30" spans="1:11" x14ac:dyDescent="0.2">
      <c r="A30" s="421"/>
      <c r="B30" s="421" t="s">
        <v>405</v>
      </c>
      <c r="C30" s="423" t="s">
        <v>2398</v>
      </c>
      <c r="D30" s="421"/>
      <c r="E30" s="421" t="s">
        <v>511</v>
      </c>
      <c r="F30" s="96" t="s">
        <v>2399</v>
      </c>
      <c r="G30" s="96" t="s">
        <v>2400</v>
      </c>
      <c r="H30" s="231" t="s">
        <v>2467</v>
      </c>
      <c r="I30" s="152" t="s">
        <v>511</v>
      </c>
      <c r="J30" s="202" t="s">
        <v>4925</v>
      </c>
    </row>
    <row r="31" spans="1:11" x14ac:dyDescent="0.2">
      <c r="A31" s="421"/>
      <c r="B31" s="421"/>
      <c r="C31" s="423"/>
      <c r="D31" s="421"/>
      <c r="E31" s="421"/>
      <c r="F31" s="96" t="s">
        <v>2401</v>
      </c>
      <c r="G31" s="96" t="s">
        <v>2402</v>
      </c>
      <c r="H31" s="231" t="s">
        <v>2467</v>
      </c>
      <c r="I31" s="152" t="s">
        <v>511</v>
      </c>
      <c r="J31" s="202" t="s">
        <v>4923</v>
      </c>
    </row>
    <row r="32" spans="1:11" ht="25.5" x14ac:dyDescent="0.2">
      <c r="A32" s="421"/>
      <c r="B32" s="421"/>
      <c r="C32" s="423"/>
      <c r="D32" s="421"/>
      <c r="E32" s="421"/>
      <c r="F32" s="96" t="s">
        <v>2403</v>
      </c>
      <c r="G32" s="96" t="s">
        <v>2404</v>
      </c>
      <c r="H32" s="231" t="s">
        <v>2467</v>
      </c>
      <c r="I32" s="152" t="s">
        <v>511</v>
      </c>
      <c r="J32" s="202" t="s">
        <v>4924</v>
      </c>
    </row>
    <row r="33" spans="1:10" ht="15" customHeight="1" x14ac:dyDescent="0.2">
      <c r="A33" s="421"/>
      <c r="B33" s="421"/>
      <c r="C33" s="423"/>
      <c r="D33" s="421"/>
      <c r="E33" s="421"/>
      <c r="F33" s="96" t="s">
        <v>2405</v>
      </c>
      <c r="G33" s="96" t="s">
        <v>2406</v>
      </c>
      <c r="H33" s="231" t="s">
        <v>2467</v>
      </c>
      <c r="I33" s="152" t="s">
        <v>511</v>
      </c>
      <c r="J33" s="152"/>
    </row>
    <row r="34" spans="1:10" x14ac:dyDescent="0.2">
      <c r="A34" s="421"/>
      <c r="B34" s="421"/>
      <c r="C34" s="423"/>
      <c r="D34" s="421"/>
      <c r="E34" s="421"/>
      <c r="F34" s="96" t="s">
        <v>2407</v>
      </c>
      <c r="G34" s="96" t="s">
        <v>2410</v>
      </c>
      <c r="H34" s="231" t="s">
        <v>2467</v>
      </c>
      <c r="I34" s="152" t="s">
        <v>511</v>
      </c>
      <c r="J34" s="152"/>
    </row>
    <row r="35" spans="1:10" ht="16.350000000000001" customHeight="1" x14ac:dyDescent="0.2">
      <c r="A35" s="421"/>
      <c r="B35" s="421"/>
      <c r="C35" s="423"/>
      <c r="D35" s="421"/>
      <c r="E35" s="421"/>
      <c r="F35" s="96" t="s">
        <v>2409</v>
      </c>
      <c r="G35" s="96"/>
      <c r="H35" s="153"/>
      <c r="I35" s="152"/>
      <c r="J35" s="152"/>
    </row>
    <row r="36" spans="1:10" x14ac:dyDescent="0.2">
      <c r="A36" s="421"/>
      <c r="B36" s="421" t="s">
        <v>406</v>
      </c>
      <c r="C36" s="422" t="s">
        <v>4927</v>
      </c>
      <c r="D36" s="421"/>
      <c r="E36" s="421" t="s">
        <v>507</v>
      </c>
      <c r="F36" s="96" t="s">
        <v>2411</v>
      </c>
      <c r="G36" s="96" t="s">
        <v>2412</v>
      </c>
      <c r="H36" s="231" t="s">
        <v>4866</v>
      </c>
      <c r="I36" s="152" t="s">
        <v>507</v>
      </c>
      <c r="J36" s="202" t="s">
        <v>4926</v>
      </c>
    </row>
    <row r="37" spans="1:10" ht="25.5" x14ac:dyDescent="0.2">
      <c r="A37" s="421"/>
      <c r="B37" s="421"/>
      <c r="C37" s="423"/>
      <c r="D37" s="421"/>
      <c r="E37" s="421"/>
      <c r="F37" s="96" t="s">
        <v>2413</v>
      </c>
      <c r="G37" s="96" t="s">
        <v>2414</v>
      </c>
      <c r="H37" s="231" t="s">
        <v>4866</v>
      </c>
      <c r="I37" s="152" t="s">
        <v>507</v>
      </c>
      <c r="J37" s="152" t="s">
        <v>4928</v>
      </c>
    </row>
    <row r="38" spans="1:10" ht="30" x14ac:dyDescent="0.2">
      <c r="A38" s="421"/>
      <c r="B38" s="421"/>
      <c r="C38" s="423"/>
      <c r="D38" s="421"/>
      <c r="E38" s="421"/>
      <c r="F38" s="96" t="s">
        <v>2415</v>
      </c>
      <c r="G38" s="96" t="s">
        <v>2416</v>
      </c>
      <c r="H38" s="231" t="s">
        <v>4866</v>
      </c>
      <c r="I38" s="152" t="s">
        <v>507</v>
      </c>
      <c r="J38" s="202" t="s">
        <v>4929</v>
      </c>
    </row>
    <row r="39" spans="1:10" x14ac:dyDescent="0.2">
      <c r="A39" s="421"/>
      <c r="B39" s="421"/>
      <c r="C39" s="423"/>
      <c r="D39" s="421"/>
      <c r="E39" s="421"/>
      <c r="F39" s="96" t="s">
        <v>2417</v>
      </c>
      <c r="G39" s="96" t="s">
        <v>2418</v>
      </c>
      <c r="H39" s="231" t="s">
        <v>4866</v>
      </c>
      <c r="I39" s="152" t="s">
        <v>507</v>
      </c>
      <c r="J39" s="152"/>
    </row>
    <row r="40" spans="1:10" ht="15" customHeight="1" x14ac:dyDescent="0.2">
      <c r="A40" s="421"/>
      <c r="B40" s="421"/>
      <c r="C40" s="423"/>
      <c r="D40" s="421"/>
      <c r="E40" s="421"/>
      <c r="F40" s="96" t="s">
        <v>2419</v>
      </c>
      <c r="G40" s="96" t="s">
        <v>2420</v>
      </c>
      <c r="H40" s="231" t="s">
        <v>4866</v>
      </c>
      <c r="I40" s="152" t="s">
        <v>507</v>
      </c>
      <c r="J40" s="152"/>
    </row>
    <row r="41" spans="1:10" x14ac:dyDescent="0.2">
      <c r="A41" s="421"/>
      <c r="B41" s="421"/>
      <c r="C41" s="423"/>
      <c r="D41" s="421"/>
      <c r="E41" s="421"/>
      <c r="F41" s="96" t="s">
        <v>2421</v>
      </c>
      <c r="G41" s="96" t="s">
        <v>2422</v>
      </c>
      <c r="H41" s="231" t="s">
        <v>4866</v>
      </c>
      <c r="I41" s="152" t="s">
        <v>507</v>
      </c>
      <c r="J41" s="152"/>
    </row>
    <row r="42" spans="1:10" ht="27" customHeight="1" x14ac:dyDescent="0.2">
      <c r="A42" s="421"/>
      <c r="B42" s="421" t="s">
        <v>407</v>
      </c>
      <c r="C42" s="422" t="s">
        <v>4931</v>
      </c>
      <c r="D42" s="421"/>
      <c r="E42" s="421" t="s">
        <v>515</v>
      </c>
      <c r="F42" s="96" t="s">
        <v>2423</v>
      </c>
      <c r="G42" s="96" t="s">
        <v>2424</v>
      </c>
      <c r="H42" s="231" t="s">
        <v>2467</v>
      </c>
      <c r="I42" s="152" t="s">
        <v>505</v>
      </c>
      <c r="J42" s="202" t="s">
        <v>4932</v>
      </c>
    </row>
    <row r="43" spans="1:10" x14ac:dyDescent="0.2">
      <c r="A43" s="421"/>
      <c r="B43" s="421"/>
      <c r="C43" s="423"/>
      <c r="D43" s="421"/>
      <c r="E43" s="421"/>
      <c r="F43" s="96" t="s">
        <v>2425</v>
      </c>
      <c r="G43" s="96" t="s">
        <v>2426</v>
      </c>
      <c r="H43" s="231" t="s">
        <v>2467</v>
      </c>
      <c r="I43" s="152" t="s">
        <v>505</v>
      </c>
      <c r="J43" s="202" t="s">
        <v>4930</v>
      </c>
    </row>
    <row r="44" spans="1:10" ht="30" x14ac:dyDescent="0.2">
      <c r="A44" s="421"/>
      <c r="B44" s="421"/>
      <c r="C44" s="423"/>
      <c r="D44" s="421"/>
      <c r="E44" s="421"/>
      <c r="F44" s="96" t="s">
        <v>2427</v>
      </c>
      <c r="G44" s="96" t="s">
        <v>2428</v>
      </c>
      <c r="H44" s="231" t="s">
        <v>2467</v>
      </c>
      <c r="I44" s="152" t="s">
        <v>505</v>
      </c>
      <c r="J44" s="202" t="s">
        <v>4933</v>
      </c>
    </row>
    <row r="45" spans="1:10" x14ac:dyDescent="0.2">
      <c r="A45" s="421"/>
      <c r="B45" s="421"/>
      <c r="C45" s="423"/>
      <c r="D45" s="421"/>
      <c r="E45" s="421"/>
      <c r="F45" s="96" t="s">
        <v>2429</v>
      </c>
      <c r="G45" s="96" t="s">
        <v>2430</v>
      </c>
      <c r="H45" s="231" t="s">
        <v>2467</v>
      </c>
      <c r="I45" s="152" t="s">
        <v>505</v>
      </c>
      <c r="J45" s="202" t="s">
        <v>4926</v>
      </c>
    </row>
    <row r="46" spans="1:10" x14ac:dyDescent="0.2">
      <c r="A46" s="421"/>
      <c r="B46" s="421"/>
      <c r="C46" s="423"/>
      <c r="D46" s="421"/>
      <c r="E46" s="421"/>
      <c r="F46" s="96" t="s">
        <v>2431</v>
      </c>
      <c r="G46" s="96" t="s">
        <v>2432</v>
      </c>
      <c r="H46" s="231" t="s">
        <v>2467</v>
      </c>
      <c r="I46" s="152" t="s">
        <v>505</v>
      </c>
      <c r="J46" s="202" t="s">
        <v>4926</v>
      </c>
    </row>
    <row r="47" spans="1:10" x14ac:dyDescent="0.2">
      <c r="A47" s="421"/>
      <c r="B47" s="421"/>
      <c r="C47" s="423"/>
      <c r="D47" s="421"/>
      <c r="E47" s="421"/>
      <c r="F47" s="96" t="s">
        <v>2433</v>
      </c>
      <c r="G47" s="117" t="s">
        <v>2468</v>
      </c>
      <c r="H47" s="231" t="s">
        <v>2467</v>
      </c>
      <c r="I47" s="152" t="s">
        <v>505</v>
      </c>
      <c r="J47" s="202" t="s">
        <v>4926</v>
      </c>
    </row>
    <row r="48" spans="1:10" x14ac:dyDescent="0.2">
      <c r="A48" s="421"/>
      <c r="B48" s="421"/>
      <c r="C48" s="423"/>
      <c r="D48" s="421"/>
      <c r="E48" s="421"/>
      <c r="F48" s="96" t="s">
        <v>2469</v>
      </c>
      <c r="G48" s="117" t="s">
        <v>2470</v>
      </c>
      <c r="H48" s="231" t="s">
        <v>2467</v>
      </c>
      <c r="I48" s="152" t="s">
        <v>505</v>
      </c>
      <c r="J48" s="202" t="s">
        <v>4926</v>
      </c>
    </row>
    <row r="49" spans="1:10" ht="16.350000000000001" customHeight="1" x14ac:dyDescent="0.2">
      <c r="A49" s="421"/>
      <c r="B49" s="396" t="s">
        <v>409</v>
      </c>
      <c r="C49" s="434" t="s">
        <v>709</v>
      </c>
      <c r="D49" s="435"/>
      <c r="E49" s="435" t="s">
        <v>505</v>
      </c>
      <c r="F49" s="127" t="s">
        <v>2434</v>
      </c>
      <c r="G49" s="127" t="s">
        <v>2435</v>
      </c>
      <c r="H49" s="230" t="s">
        <v>1966</v>
      </c>
      <c r="I49" s="37" t="s">
        <v>505</v>
      </c>
      <c r="J49" s="202" t="s">
        <v>4934</v>
      </c>
    </row>
    <row r="50" spans="1:10" ht="28.35" customHeight="1" x14ac:dyDescent="0.2">
      <c r="A50" s="421"/>
      <c r="B50" s="421"/>
      <c r="C50" s="434"/>
      <c r="D50" s="435"/>
      <c r="E50" s="435"/>
      <c r="F50" s="127" t="s">
        <v>2436</v>
      </c>
      <c r="G50" s="127" t="s">
        <v>2437</v>
      </c>
      <c r="H50" s="230" t="s">
        <v>1966</v>
      </c>
      <c r="I50" s="37" t="s">
        <v>505</v>
      </c>
      <c r="J50" s="202" t="s">
        <v>4934</v>
      </c>
    </row>
    <row r="51" spans="1:10" x14ac:dyDescent="0.2">
      <c r="A51" s="421"/>
      <c r="B51" s="421"/>
      <c r="C51" s="434"/>
      <c r="D51" s="435"/>
      <c r="E51" s="435"/>
      <c r="F51" s="127" t="s">
        <v>2438</v>
      </c>
      <c r="G51" s="127" t="s">
        <v>2439</v>
      </c>
      <c r="H51" s="230" t="s">
        <v>1966</v>
      </c>
      <c r="I51" s="37" t="s">
        <v>505</v>
      </c>
      <c r="J51" s="202" t="s">
        <v>4934</v>
      </c>
    </row>
    <row r="52" spans="1:10" ht="15" customHeight="1" x14ac:dyDescent="0.2">
      <c r="A52" s="421"/>
      <c r="B52" s="421"/>
      <c r="C52" s="434"/>
      <c r="D52" s="435"/>
      <c r="E52" s="435"/>
      <c r="F52" s="127" t="s">
        <v>2440</v>
      </c>
      <c r="G52" s="127" t="s">
        <v>2441</v>
      </c>
      <c r="H52" s="230" t="s">
        <v>1966</v>
      </c>
      <c r="I52" s="37" t="s">
        <v>505</v>
      </c>
      <c r="J52" s="202" t="s">
        <v>4934</v>
      </c>
    </row>
    <row r="53" spans="1:10" x14ac:dyDescent="0.2">
      <c r="A53" s="421"/>
      <c r="B53" s="421"/>
      <c r="C53" s="434"/>
      <c r="D53" s="435"/>
      <c r="E53" s="435"/>
      <c r="F53" s="127" t="s">
        <v>2442</v>
      </c>
      <c r="G53" s="127" t="s">
        <v>2443</v>
      </c>
      <c r="H53" s="230" t="s">
        <v>1966</v>
      </c>
      <c r="I53" s="37" t="s">
        <v>505</v>
      </c>
      <c r="J53" s="202" t="s">
        <v>4934</v>
      </c>
    </row>
    <row r="54" spans="1:10" x14ac:dyDescent="0.2">
      <c r="A54" s="421"/>
      <c r="B54" s="421"/>
      <c r="C54" s="434"/>
      <c r="D54" s="435"/>
      <c r="E54" s="435"/>
      <c r="F54" s="127" t="s">
        <v>2444</v>
      </c>
      <c r="G54" s="127" t="s">
        <v>2445</v>
      </c>
      <c r="H54" s="230" t="s">
        <v>1966</v>
      </c>
      <c r="I54" s="37" t="s">
        <v>505</v>
      </c>
      <c r="J54" s="202" t="s">
        <v>4934</v>
      </c>
    </row>
    <row r="55" spans="1:10" x14ac:dyDescent="0.2">
      <c r="A55" s="421"/>
      <c r="B55" s="396" t="s">
        <v>711</v>
      </c>
      <c r="C55" s="422" t="s">
        <v>710</v>
      </c>
      <c r="D55" s="421"/>
      <c r="E55" s="421" t="s">
        <v>511</v>
      </c>
      <c r="F55" s="96" t="s">
        <v>2446</v>
      </c>
      <c r="G55" s="96" t="s">
        <v>2447</v>
      </c>
      <c r="H55" s="231" t="s">
        <v>1966</v>
      </c>
      <c r="I55" s="152" t="s">
        <v>511</v>
      </c>
      <c r="J55" s="152"/>
    </row>
    <row r="56" spans="1:10" x14ac:dyDescent="0.2">
      <c r="A56" s="421"/>
      <c r="B56" s="421"/>
      <c r="C56" s="423"/>
      <c r="D56" s="421"/>
      <c r="E56" s="421"/>
      <c r="F56" s="96" t="s">
        <v>2448</v>
      </c>
      <c r="G56" s="96" t="s">
        <v>2449</v>
      </c>
      <c r="H56" s="231" t="s">
        <v>1966</v>
      </c>
      <c r="I56" s="152" t="s">
        <v>511</v>
      </c>
      <c r="J56" s="152"/>
    </row>
    <row r="57" spans="1:10" ht="28.35" customHeight="1" x14ac:dyDescent="0.2">
      <c r="A57" s="421"/>
      <c r="B57" s="421"/>
      <c r="C57" s="423"/>
      <c r="D57" s="421"/>
      <c r="E57" s="421"/>
      <c r="F57" s="96" t="s">
        <v>2450</v>
      </c>
      <c r="G57" s="96" t="s">
        <v>2451</v>
      </c>
      <c r="H57" s="231" t="s">
        <v>1966</v>
      </c>
      <c r="I57" s="152" t="s">
        <v>511</v>
      </c>
      <c r="J57" s="152"/>
    </row>
    <row r="58" spans="1:10" ht="15" customHeight="1" x14ac:dyDescent="0.2">
      <c r="A58" s="421"/>
      <c r="B58" s="421"/>
      <c r="C58" s="423"/>
      <c r="D58" s="421"/>
      <c r="E58" s="421"/>
      <c r="F58" s="96" t="s">
        <v>2452</v>
      </c>
      <c r="G58" s="96" t="s">
        <v>2453</v>
      </c>
      <c r="H58" s="231" t="s">
        <v>1966</v>
      </c>
      <c r="I58" s="152" t="s">
        <v>511</v>
      </c>
      <c r="J58" s="152"/>
    </row>
    <row r="59" spans="1:10" ht="16.350000000000001" customHeight="1" x14ac:dyDescent="0.2">
      <c r="A59" s="421"/>
      <c r="B59" s="421"/>
      <c r="C59" s="423"/>
      <c r="D59" s="421"/>
      <c r="E59" s="421"/>
      <c r="F59" s="96" t="s">
        <v>2454</v>
      </c>
      <c r="G59" s="96" t="s">
        <v>2455</v>
      </c>
      <c r="H59" s="231" t="s">
        <v>1966</v>
      </c>
      <c r="I59" s="152" t="s">
        <v>511</v>
      </c>
      <c r="J59" s="152"/>
    </row>
    <row r="60" spans="1:10" x14ac:dyDescent="0.2">
      <c r="A60" s="421"/>
      <c r="B60" s="421"/>
      <c r="C60" s="423"/>
      <c r="D60" s="421"/>
      <c r="E60" s="421"/>
      <c r="F60" s="96" t="s">
        <v>2456</v>
      </c>
      <c r="G60" s="96" t="s">
        <v>2457</v>
      </c>
      <c r="H60" s="231" t="s">
        <v>1966</v>
      </c>
      <c r="I60" s="152" t="s">
        <v>511</v>
      </c>
      <c r="J60" s="152"/>
    </row>
    <row r="61" spans="1:10" ht="45" x14ac:dyDescent="0.2">
      <c r="A61" s="421"/>
      <c r="B61" s="396" t="s">
        <v>408</v>
      </c>
      <c r="C61" s="434" t="s">
        <v>4940</v>
      </c>
      <c r="D61" s="435"/>
      <c r="E61" s="435" t="s">
        <v>507</v>
      </c>
      <c r="F61" s="127" t="s">
        <v>2458</v>
      </c>
      <c r="G61" s="127" t="s">
        <v>4935</v>
      </c>
      <c r="H61" s="230" t="s">
        <v>4866</v>
      </c>
      <c r="I61" s="37" t="s">
        <v>507</v>
      </c>
      <c r="J61" s="37" t="s">
        <v>4939</v>
      </c>
    </row>
    <row r="62" spans="1:10" x14ac:dyDescent="0.2">
      <c r="A62" s="421"/>
      <c r="B62" s="421"/>
      <c r="C62" s="434"/>
      <c r="D62" s="435"/>
      <c r="E62" s="435"/>
      <c r="F62" s="127" t="s">
        <v>2459</v>
      </c>
      <c r="G62" s="127" t="s">
        <v>4938</v>
      </c>
      <c r="H62" s="230" t="s">
        <v>4866</v>
      </c>
      <c r="I62" s="37" t="s">
        <v>507</v>
      </c>
      <c r="J62" s="37"/>
    </row>
    <row r="63" spans="1:10" ht="25.5" x14ac:dyDescent="0.2">
      <c r="A63" s="421"/>
      <c r="B63" s="421"/>
      <c r="C63" s="434"/>
      <c r="D63" s="435"/>
      <c r="E63" s="435"/>
      <c r="F63" s="127" t="s">
        <v>2460</v>
      </c>
      <c r="G63" s="127" t="s">
        <v>4936</v>
      </c>
      <c r="H63" s="230" t="s">
        <v>4866</v>
      </c>
      <c r="I63" s="37" t="s">
        <v>507</v>
      </c>
      <c r="J63" s="37"/>
    </row>
    <row r="64" spans="1:10" ht="15" customHeight="1" x14ac:dyDescent="0.2">
      <c r="A64" s="421"/>
      <c r="B64" s="421"/>
      <c r="C64" s="434"/>
      <c r="D64" s="435"/>
      <c r="E64" s="435"/>
      <c r="F64" s="127" t="s">
        <v>2461</v>
      </c>
      <c r="G64" s="127" t="s">
        <v>4937</v>
      </c>
      <c r="H64" s="230" t="s">
        <v>4866</v>
      </c>
      <c r="I64" s="37" t="s">
        <v>507</v>
      </c>
      <c r="J64" s="37"/>
    </row>
    <row r="65" spans="1:10" ht="16.350000000000001" customHeight="1" x14ac:dyDescent="0.2">
      <c r="A65" s="421"/>
      <c r="B65" s="421"/>
      <c r="C65" s="434"/>
      <c r="D65" s="435"/>
      <c r="E65" s="435"/>
      <c r="F65" s="127" t="s">
        <v>2462</v>
      </c>
      <c r="G65" s="127"/>
      <c r="H65" s="230"/>
      <c r="I65" s="37"/>
      <c r="J65" s="37"/>
    </row>
    <row r="66" spans="1:10" x14ac:dyDescent="0.2">
      <c r="A66" s="421"/>
      <c r="B66" s="421"/>
      <c r="C66" s="434"/>
      <c r="D66" s="435"/>
      <c r="E66" s="435"/>
      <c r="F66" s="127" t="s">
        <v>2463</v>
      </c>
      <c r="G66" s="127"/>
      <c r="H66" s="230"/>
      <c r="I66" s="37"/>
      <c r="J66" s="37"/>
    </row>
    <row r="77" spans="1:10" ht="25.5" x14ac:dyDescent="0.2">
      <c r="E77" s="10" t="s">
        <v>528</v>
      </c>
    </row>
    <row r="78" spans="1:10" x14ac:dyDescent="0.2">
      <c r="E78" s="10" t="s">
        <v>511</v>
      </c>
    </row>
    <row r="79" spans="1:10" x14ac:dyDescent="0.2">
      <c r="E79" s="10" t="s">
        <v>515</v>
      </c>
    </row>
    <row r="80" spans="1:10" x14ac:dyDescent="0.2">
      <c r="E80" s="10" t="s">
        <v>505</v>
      </c>
    </row>
    <row r="81" spans="5:5" x14ac:dyDescent="0.2">
      <c r="E81" s="10" t="s">
        <v>507</v>
      </c>
    </row>
  </sheetData>
  <mergeCells count="41">
    <mergeCell ref="D61:D66"/>
    <mergeCell ref="E61:E66"/>
    <mergeCell ref="D49:D54"/>
    <mergeCell ref="E49:E54"/>
    <mergeCell ref="B42:B48"/>
    <mergeCell ref="C42:C48"/>
    <mergeCell ref="D42:D48"/>
    <mergeCell ref="E42:E48"/>
    <mergeCell ref="B55:B60"/>
    <mergeCell ref="C55:C60"/>
    <mergeCell ref="D55:D60"/>
    <mergeCell ref="E55:E60"/>
    <mergeCell ref="C17:C23"/>
    <mergeCell ref="D17:D23"/>
    <mergeCell ref="E17:E23"/>
    <mergeCell ref="B24:B29"/>
    <mergeCell ref="C24:C29"/>
    <mergeCell ref="D24:D29"/>
    <mergeCell ref="E24:E29"/>
    <mergeCell ref="D30:D35"/>
    <mergeCell ref="E30:E35"/>
    <mergeCell ref="B36:B41"/>
    <mergeCell ref="C36:C41"/>
    <mergeCell ref="D36:D41"/>
    <mergeCell ref="E36:E41"/>
    <mergeCell ref="A3:A66"/>
    <mergeCell ref="B3:B9"/>
    <mergeCell ref="C3:C9"/>
    <mergeCell ref="D3:D9"/>
    <mergeCell ref="E3:E9"/>
    <mergeCell ref="B10:B16"/>
    <mergeCell ref="C10:C16"/>
    <mergeCell ref="D10:D16"/>
    <mergeCell ref="E10:E16"/>
    <mergeCell ref="B17:B23"/>
    <mergeCell ref="B61:B66"/>
    <mergeCell ref="C61:C66"/>
    <mergeCell ref="B49:B54"/>
    <mergeCell ref="C49:C54"/>
    <mergeCell ref="B30:B35"/>
    <mergeCell ref="C30:C35"/>
  </mergeCells>
  <phoneticPr fontId="14" type="noConversion"/>
  <dataValidations count="1">
    <dataValidation type="list" allowBlank="1" showInputMessage="1" showErrorMessage="1" sqref="E3:E66 I3:I66" xr:uid="{A8D74C90-4FEC-FD40-AD3E-E6BF10C2824E}">
      <formula1>$E$77:$E$81</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9E6B-BBD8-AE43-98C0-A18DE1BE750C}">
  <sheetPr>
    <tabColor theme="5"/>
  </sheetPr>
  <dimension ref="A1:K81"/>
  <sheetViews>
    <sheetView topLeftCell="A47" zoomScale="102" workbookViewId="0">
      <selection activeCell="E68" sqref="E68"/>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6"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1" t="s">
        <v>1041</v>
      </c>
      <c r="D2" s="11" t="s">
        <v>185</v>
      </c>
      <c r="E2" s="11" t="s">
        <v>1038</v>
      </c>
      <c r="F2" s="11" t="s">
        <v>1049</v>
      </c>
      <c r="G2" s="11" t="s">
        <v>1040</v>
      </c>
      <c r="H2" s="11" t="s">
        <v>2016</v>
      </c>
      <c r="I2" s="11" t="s">
        <v>1038</v>
      </c>
      <c r="J2" s="11" t="s">
        <v>1039</v>
      </c>
    </row>
    <row r="3" spans="1:10" ht="28.35" customHeight="1" x14ac:dyDescent="0.2">
      <c r="A3" s="421" t="s">
        <v>2240</v>
      </c>
      <c r="B3" s="421" t="s">
        <v>394</v>
      </c>
      <c r="C3" s="423" t="s">
        <v>686</v>
      </c>
      <c r="D3" s="421"/>
      <c r="E3" s="421" t="s">
        <v>515</v>
      </c>
      <c r="F3" s="96" t="s">
        <v>2241</v>
      </c>
      <c r="G3" s="96" t="s">
        <v>2242</v>
      </c>
      <c r="H3" s="153" t="s">
        <v>2467</v>
      </c>
      <c r="I3" s="152" t="s">
        <v>515</v>
      </c>
      <c r="J3" s="202" t="s">
        <v>4899</v>
      </c>
    </row>
    <row r="4" spans="1:10" ht="30" x14ac:dyDescent="0.2">
      <c r="A4" s="421"/>
      <c r="B4" s="421"/>
      <c r="C4" s="423"/>
      <c r="D4" s="421"/>
      <c r="E4" s="421"/>
      <c r="F4" s="96" t="s">
        <v>2243</v>
      </c>
      <c r="G4" s="96" t="s">
        <v>2244</v>
      </c>
      <c r="H4" s="153" t="s">
        <v>2467</v>
      </c>
      <c r="I4" s="152" t="s">
        <v>515</v>
      </c>
      <c r="J4" s="202" t="s">
        <v>4900</v>
      </c>
    </row>
    <row r="5" spans="1:10" x14ac:dyDescent="0.2">
      <c r="A5" s="421"/>
      <c r="B5" s="421"/>
      <c r="C5" s="423"/>
      <c r="D5" s="421"/>
      <c r="E5" s="421"/>
      <c r="F5" s="96" t="s">
        <v>2245</v>
      </c>
      <c r="G5" s="117" t="s">
        <v>2352</v>
      </c>
      <c r="H5" s="153" t="s">
        <v>4603</v>
      </c>
      <c r="I5" s="152" t="s">
        <v>507</v>
      </c>
      <c r="J5" s="202" t="s">
        <v>4901</v>
      </c>
    </row>
    <row r="6" spans="1:10" x14ac:dyDescent="0.2">
      <c r="A6" s="421"/>
      <c r="B6" s="421"/>
      <c r="C6" s="423"/>
      <c r="D6" s="421"/>
      <c r="E6" s="421"/>
      <c r="F6" s="96" t="s">
        <v>2246</v>
      </c>
      <c r="G6" s="96" t="s">
        <v>2250</v>
      </c>
      <c r="H6" s="153" t="s">
        <v>4603</v>
      </c>
      <c r="I6" s="152" t="s">
        <v>507</v>
      </c>
      <c r="J6" s="202" t="s">
        <v>4901</v>
      </c>
    </row>
    <row r="7" spans="1:10" ht="30" x14ac:dyDescent="0.2">
      <c r="A7" s="421"/>
      <c r="B7" s="421"/>
      <c r="C7" s="423"/>
      <c r="D7" s="421"/>
      <c r="E7" s="421"/>
      <c r="F7" s="96" t="s">
        <v>2247</v>
      </c>
      <c r="G7" s="96" t="s">
        <v>2252</v>
      </c>
      <c r="H7" s="153" t="s">
        <v>2467</v>
      </c>
      <c r="I7" s="152" t="s">
        <v>515</v>
      </c>
      <c r="J7" s="202" t="s">
        <v>4902</v>
      </c>
    </row>
    <row r="8" spans="1:10" ht="30" x14ac:dyDescent="0.2">
      <c r="A8" s="421"/>
      <c r="B8" s="421"/>
      <c r="C8" s="423"/>
      <c r="D8" s="421"/>
      <c r="E8" s="421"/>
      <c r="F8" s="96" t="s">
        <v>2248</v>
      </c>
      <c r="G8" s="96" t="s">
        <v>2254</v>
      </c>
      <c r="H8" s="153" t="s">
        <v>2467</v>
      </c>
      <c r="I8" s="152" t="s">
        <v>515</v>
      </c>
      <c r="J8" s="152" t="s">
        <v>4902</v>
      </c>
    </row>
    <row r="9" spans="1:10" ht="16.350000000000001" customHeight="1" x14ac:dyDescent="0.2">
      <c r="A9" s="421"/>
      <c r="B9" s="421"/>
      <c r="C9" s="423"/>
      <c r="D9" s="421"/>
      <c r="E9" s="421"/>
      <c r="F9" s="96" t="s">
        <v>2249</v>
      </c>
      <c r="G9" s="96"/>
      <c r="H9" s="153"/>
      <c r="I9" s="152"/>
      <c r="J9" s="152"/>
    </row>
    <row r="10" spans="1:10" x14ac:dyDescent="0.2">
      <c r="A10" s="421"/>
      <c r="B10" s="421"/>
      <c r="C10" s="423"/>
      <c r="D10" s="421"/>
      <c r="E10" s="421"/>
      <c r="F10" s="96" t="s">
        <v>2251</v>
      </c>
      <c r="G10" s="96"/>
      <c r="H10" s="153"/>
      <c r="I10" s="152"/>
      <c r="J10" s="152"/>
    </row>
    <row r="11" spans="1:10" ht="15" customHeight="1" x14ac:dyDescent="0.2">
      <c r="A11" s="421"/>
      <c r="B11" s="421"/>
      <c r="C11" s="423"/>
      <c r="D11" s="421"/>
      <c r="E11" s="421"/>
      <c r="F11" s="96" t="s">
        <v>2253</v>
      </c>
      <c r="G11" s="96"/>
      <c r="H11" s="153"/>
      <c r="I11" s="152"/>
      <c r="J11" s="152"/>
    </row>
    <row r="12" spans="1:10" x14ac:dyDescent="0.2">
      <c r="A12" s="421"/>
      <c r="B12" s="421" t="s">
        <v>395</v>
      </c>
      <c r="C12" s="423" t="s">
        <v>687</v>
      </c>
      <c r="D12" s="421"/>
      <c r="E12" s="421" t="s">
        <v>528</v>
      </c>
      <c r="F12" s="96" t="s">
        <v>2255</v>
      </c>
      <c r="G12" s="96" t="s">
        <v>2256</v>
      </c>
      <c r="H12" s="153" t="s">
        <v>2467</v>
      </c>
      <c r="I12" s="152" t="s">
        <v>528</v>
      </c>
      <c r="J12" s="152"/>
    </row>
    <row r="13" spans="1:10" x14ac:dyDescent="0.2">
      <c r="A13" s="421"/>
      <c r="B13" s="421"/>
      <c r="C13" s="423"/>
      <c r="D13" s="421"/>
      <c r="E13" s="421"/>
      <c r="F13" s="96" t="s">
        <v>2257</v>
      </c>
      <c r="G13" s="96" t="s">
        <v>2258</v>
      </c>
      <c r="H13" s="153" t="s">
        <v>2467</v>
      </c>
      <c r="I13" s="152" t="s">
        <v>528</v>
      </c>
      <c r="J13" s="152"/>
    </row>
    <row r="14" spans="1:10" x14ac:dyDescent="0.2">
      <c r="A14" s="421"/>
      <c r="B14" s="421"/>
      <c r="C14" s="423"/>
      <c r="D14" s="421"/>
      <c r="E14" s="421"/>
      <c r="F14" s="96" t="s">
        <v>2259</v>
      </c>
      <c r="G14" s="96" t="s">
        <v>2260</v>
      </c>
      <c r="H14" s="153" t="s">
        <v>2467</v>
      </c>
      <c r="I14" s="152" t="s">
        <v>528</v>
      </c>
      <c r="J14" s="152"/>
    </row>
    <row r="15" spans="1:10" x14ac:dyDescent="0.2">
      <c r="A15" s="421"/>
      <c r="B15" s="421"/>
      <c r="C15" s="423"/>
      <c r="D15" s="421"/>
      <c r="E15" s="421"/>
      <c r="F15" s="96" t="s">
        <v>2261</v>
      </c>
      <c r="G15" s="96" t="s">
        <v>2262</v>
      </c>
      <c r="H15" s="153" t="s">
        <v>2467</v>
      </c>
      <c r="I15" s="152" t="s">
        <v>528</v>
      </c>
      <c r="J15" s="152"/>
    </row>
    <row r="16" spans="1:10" x14ac:dyDescent="0.2">
      <c r="A16" s="421"/>
      <c r="B16" s="421"/>
      <c r="C16" s="423"/>
      <c r="D16" s="421"/>
      <c r="E16" s="421"/>
      <c r="F16" s="96" t="s">
        <v>2263</v>
      </c>
      <c r="G16" s="96" t="s">
        <v>2266</v>
      </c>
      <c r="H16" s="153" t="s">
        <v>2467</v>
      </c>
      <c r="I16" s="152" t="s">
        <v>528</v>
      </c>
      <c r="J16" s="152"/>
    </row>
    <row r="17" spans="1:11" x14ac:dyDescent="0.2">
      <c r="A17" s="421"/>
      <c r="B17" s="421"/>
      <c r="C17" s="423"/>
      <c r="D17" s="421"/>
      <c r="E17" s="421"/>
      <c r="F17" s="96" t="s">
        <v>2264</v>
      </c>
      <c r="G17" s="96" t="s">
        <v>2268</v>
      </c>
      <c r="H17" s="153" t="s">
        <v>2467</v>
      </c>
      <c r="I17" s="152" t="s">
        <v>528</v>
      </c>
      <c r="J17" s="152"/>
    </row>
    <row r="18" spans="1:11" ht="25.5" x14ac:dyDescent="0.2">
      <c r="A18" s="421"/>
      <c r="B18" s="421"/>
      <c r="C18" s="423"/>
      <c r="D18" s="421"/>
      <c r="E18" s="421"/>
      <c r="F18" s="96" t="s">
        <v>2265</v>
      </c>
      <c r="G18" s="96" t="s">
        <v>2270</v>
      </c>
      <c r="H18" s="153" t="s">
        <v>2467</v>
      </c>
      <c r="I18" s="152" t="s">
        <v>528</v>
      </c>
      <c r="J18" s="152"/>
    </row>
    <row r="19" spans="1:11" ht="16.350000000000001" customHeight="1" x14ac:dyDescent="0.2">
      <c r="A19" s="421"/>
      <c r="B19" s="421"/>
      <c r="C19" s="423"/>
      <c r="D19" s="421"/>
      <c r="E19" s="421"/>
      <c r="F19" s="96" t="s">
        <v>2267</v>
      </c>
      <c r="G19" s="96"/>
      <c r="H19" s="153"/>
      <c r="I19" s="152"/>
      <c r="J19" s="152"/>
    </row>
    <row r="20" spans="1:11" x14ac:dyDescent="0.2">
      <c r="A20" s="421"/>
      <c r="B20" s="421"/>
      <c r="C20" s="423"/>
      <c r="D20" s="421"/>
      <c r="E20" s="421"/>
      <c r="F20" s="96" t="s">
        <v>2269</v>
      </c>
      <c r="G20" s="96"/>
      <c r="H20" s="153"/>
      <c r="I20" s="152"/>
      <c r="J20" s="152"/>
    </row>
    <row r="21" spans="1:11" x14ac:dyDescent="0.2">
      <c r="A21" s="421"/>
      <c r="B21" s="421" t="s">
        <v>396</v>
      </c>
      <c r="C21" s="423" t="s">
        <v>688</v>
      </c>
      <c r="D21" s="421"/>
      <c r="E21" s="421" t="s">
        <v>511</v>
      </c>
      <c r="F21" s="96" t="s">
        <v>2271</v>
      </c>
      <c r="G21" s="96" t="s">
        <v>2272</v>
      </c>
      <c r="H21" s="153" t="s">
        <v>2467</v>
      </c>
      <c r="I21" s="152" t="s">
        <v>511</v>
      </c>
      <c r="J21" s="202" t="s">
        <v>4903</v>
      </c>
    </row>
    <row r="22" spans="1:11" ht="30" x14ac:dyDescent="0.2">
      <c r="A22" s="421"/>
      <c r="B22" s="421"/>
      <c r="C22" s="423"/>
      <c r="D22" s="421"/>
      <c r="E22" s="421"/>
      <c r="F22" s="96" t="s">
        <v>2273</v>
      </c>
      <c r="G22" s="96" t="s">
        <v>2274</v>
      </c>
      <c r="H22" s="153" t="s">
        <v>2467</v>
      </c>
      <c r="I22" s="152" t="s">
        <v>511</v>
      </c>
      <c r="J22" s="202" t="s">
        <v>4904</v>
      </c>
    </row>
    <row r="23" spans="1:11" ht="45" x14ac:dyDescent="0.2">
      <c r="A23" s="421"/>
      <c r="B23" s="421"/>
      <c r="C23" s="423"/>
      <c r="D23" s="421"/>
      <c r="E23" s="421"/>
      <c r="F23" s="96" t="s">
        <v>2275</v>
      </c>
      <c r="G23" s="96" t="s">
        <v>2276</v>
      </c>
      <c r="H23" s="153" t="s">
        <v>2467</v>
      </c>
      <c r="I23" s="152" t="s">
        <v>511</v>
      </c>
      <c r="J23" s="202" t="s">
        <v>4906</v>
      </c>
    </row>
    <row r="24" spans="1:11" ht="45" x14ac:dyDescent="0.2">
      <c r="A24" s="421"/>
      <c r="B24" s="421"/>
      <c r="C24" s="423"/>
      <c r="D24" s="421"/>
      <c r="E24" s="421"/>
      <c r="F24" s="96" t="s">
        <v>2277</v>
      </c>
      <c r="G24" s="96" t="s">
        <v>2278</v>
      </c>
      <c r="H24" s="153" t="s">
        <v>2467</v>
      </c>
      <c r="I24" s="152" t="s">
        <v>511</v>
      </c>
      <c r="J24" s="202" t="s">
        <v>4906</v>
      </c>
    </row>
    <row r="25" spans="1:11" ht="45" x14ac:dyDescent="0.2">
      <c r="A25" s="421"/>
      <c r="B25" s="421"/>
      <c r="C25" s="423"/>
      <c r="D25" s="421"/>
      <c r="E25" s="421"/>
      <c r="F25" s="96" t="s">
        <v>2279</v>
      </c>
      <c r="G25" s="96" t="s">
        <v>2280</v>
      </c>
      <c r="H25" s="153" t="s">
        <v>2467</v>
      </c>
      <c r="I25" s="152" t="s">
        <v>511</v>
      </c>
      <c r="J25" s="202" t="s">
        <v>4906</v>
      </c>
    </row>
    <row r="26" spans="1:11" ht="45" x14ac:dyDescent="0.2">
      <c r="A26" s="421"/>
      <c r="B26" s="421"/>
      <c r="C26" s="423"/>
      <c r="D26" s="421"/>
      <c r="E26" s="421"/>
      <c r="F26" s="96" t="s">
        <v>2281</v>
      </c>
      <c r="G26" s="96" t="s">
        <v>2282</v>
      </c>
      <c r="H26" s="153" t="s">
        <v>2467</v>
      </c>
      <c r="I26" s="152" t="s">
        <v>511</v>
      </c>
      <c r="J26" s="202" t="s">
        <v>4906</v>
      </c>
    </row>
    <row r="27" spans="1:11" ht="45" x14ac:dyDescent="0.2">
      <c r="A27" s="421"/>
      <c r="B27" s="421"/>
      <c r="C27" s="423"/>
      <c r="D27" s="421"/>
      <c r="E27" s="421"/>
      <c r="F27" s="96" t="s">
        <v>2283</v>
      </c>
      <c r="G27" s="96" t="s">
        <v>2285</v>
      </c>
      <c r="H27" s="153" t="s">
        <v>2467</v>
      </c>
      <c r="I27" s="152" t="s">
        <v>511</v>
      </c>
      <c r="J27" s="202" t="s">
        <v>4906</v>
      </c>
    </row>
    <row r="28" spans="1:11" ht="45" x14ac:dyDescent="0.2">
      <c r="A28" s="421"/>
      <c r="B28" s="421"/>
      <c r="C28" s="423"/>
      <c r="D28" s="421"/>
      <c r="E28" s="421"/>
      <c r="F28" s="96" t="s">
        <v>2284</v>
      </c>
      <c r="G28" s="96" t="s">
        <v>2287</v>
      </c>
      <c r="H28" s="153" t="s">
        <v>2467</v>
      </c>
      <c r="I28" s="152" t="s">
        <v>511</v>
      </c>
      <c r="J28" s="202" t="s">
        <v>4906</v>
      </c>
    </row>
    <row r="29" spans="1:11" x14ac:dyDescent="0.2">
      <c r="A29" s="421"/>
      <c r="B29" s="421"/>
      <c r="C29" s="423"/>
      <c r="D29" s="421"/>
      <c r="E29" s="421"/>
      <c r="F29" s="96" t="s">
        <v>2286</v>
      </c>
      <c r="G29" s="96"/>
      <c r="H29" s="153"/>
      <c r="I29" s="152"/>
      <c r="J29" s="152"/>
    </row>
    <row r="30" spans="1:11" ht="75" x14ac:dyDescent="0.2">
      <c r="A30" s="421"/>
      <c r="B30" s="421" t="s">
        <v>397</v>
      </c>
      <c r="C30" s="423" t="s">
        <v>690</v>
      </c>
      <c r="D30" s="421"/>
      <c r="E30" s="421" t="s">
        <v>511</v>
      </c>
      <c r="F30" s="96" t="s">
        <v>2288</v>
      </c>
      <c r="G30" s="96" t="s">
        <v>2289</v>
      </c>
      <c r="H30" s="153" t="s">
        <v>2467</v>
      </c>
      <c r="I30" s="152" t="s">
        <v>511</v>
      </c>
      <c r="J30" s="202" t="s">
        <v>4907</v>
      </c>
      <c r="K30" s="202" t="s">
        <v>4907</v>
      </c>
    </row>
    <row r="31" spans="1:11" ht="45" x14ac:dyDescent="0.2">
      <c r="A31" s="421"/>
      <c r="B31" s="421"/>
      <c r="C31" s="423"/>
      <c r="D31" s="421"/>
      <c r="E31" s="421"/>
      <c r="F31" s="96" t="s">
        <v>2290</v>
      </c>
      <c r="G31" s="127" t="s">
        <v>2353</v>
      </c>
      <c r="H31" s="230" t="s">
        <v>2467</v>
      </c>
      <c r="I31" s="37" t="s">
        <v>505</v>
      </c>
      <c r="J31" s="37" t="s">
        <v>4910</v>
      </c>
      <c r="K31" s="202" t="s">
        <v>4909</v>
      </c>
    </row>
    <row r="32" spans="1:11" ht="24.4" customHeight="1" x14ac:dyDescent="0.2">
      <c r="A32" s="421"/>
      <c r="B32" s="421"/>
      <c r="C32" s="423"/>
      <c r="D32" s="421"/>
      <c r="E32" s="421"/>
      <c r="F32" s="96" t="s">
        <v>2291</v>
      </c>
      <c r="G32" s="127" t="s">
        <v>2294</v>
      </c>
      <c r="H32" s="230" t="s">
        <v>2467</v>
      </c>
      <c r="I32" s="37" t="s">
        <v>505</v>
      </c>
      <c r="J32" s="37" t="s">
        <v>4908</v>
      </c>
      <c r="K32" s="202" t="s">
        <v>4909</v>
      </c>
    </row>
    <row r="33" spans="1:10" ht="45" x14ac:dyDescent="0.2">
      <c r="A33" s="421"/>
      <c r="B33" s="421"/>
      <c r="C33" s="423"/>
      <c r="D33" s="421"/>
      <c r="E33" s="421"/>
      <c r="F33" s="96" t="s">
        <v>2292</v>
      </c>
      <c r="G33" s="96" t="s">
        <v>2296</v>
      </c>
      <c r="H33" s="153" t="s">
        <v>2467</v>
      </c>
      <c r="I33" s="152" t="s">
        <v>511</v>
      </c>
      <c r="J33" s="202" t="s">
        <v>4906</v>
      </c>
    </row>
    <row r="34" spans="1:10" x14ac:dyDescent="0.2">
      <c r="A34" s="421"/>
      <c r="B34" s="421"/>
      <c r="C34" s="423"/>
      <c r="D34" s="421"/>
      <c r="E34" s="421"/>
      <c r="F34" s="96" t="s">
        <v>2293</v>
      </c>
      <c r="G34" s="96" t="s">
        <v>2298</v>
      </c>
      <c r="H34" s="153" t="s">
        <v>2467</v>
      </c>
      <c r="I34" s="152" t="s">
        <v>511</v>
      </c>
      <c r="J34" s="202" t="s">
        <v>4905</v>
      </c>
    </row>
    <row r="35" spans="1:10" ht="25.5" x14ac:dyDescent="0.2">
      <c r="A35" s="421"/>
      <c r="B35" s="421"/>
      <c r="C35" s="423"/>
      <c r="D35" s="421"/>
      <c r="E35" s="421"/>
      <c r="F35" s="96" t="s">
        <v>2295</v>
      </c>
      <c r="G35" s="117" t="s">
        <v>2354</v>
      </c>
      <c r="H35" s="153" t="s">
        <v>2467</v>
      </c>
      <c r="I35" s="152" t="s">
        <v>511</v>
      </c>
      <c r="J35" s="202" t="s">
        <v>4905</v>
      </c>
    </row>
    <row r="36" spans="1:10" x14ac:dyDescent="0.2">
      <c r="A36" s="421"/>
      <c r="B36" s="421"/>
      <c r="C36" s="423"/>
      <c r="D36" s="421"/>
      <c r="E36" s="421"/>
      <c r="F36" s="96" t="s">
        <v>2297</v>
      </c>
      <c r="G36" s="96"/>
      <c r="H36" s="153"/>
      <c r="I36" s="152"/>
      <c r="J36" s="152"/>
    </row>
    <row r="37" spans="1:10" ht="15" customHeight="1" x14ac:dyDescent="0.2">
      <c r="A37" s="421"/>
      <c r="B37" s="421"/>
      <c r="C37" s="423"/>
      <c r="D37" s="421"/>
      <c r="E37" s="421"/>
      <c r="F37" s="96" t="s">
        <v>2299</v>
      </c>
      <c r="G37" s="96"/>
      <c r="H37" s="153"/>
      <c r="I37" s="152"/>
      <c r="J37" s="152"/>
    </row>
    <row r="38" spans="1:10" x14ac:dyDescent="0.2">
      <c r="A38" s="421"/>
      <c r="B38" s="421"/>
      <c r="C38" s="423"/>
      <c r="D38" s="421"/>
      <c r="E38" s="421"/>
      <c r="F38" s="96" t="s">
        <v>2300</v>
      </c>
      <c r="G38" s="96"/>
      <c r="H38" s="153"/>
      <c r="I38" s="152"/>
      <c r="J38" s="152"/>
    </row>
    <row r="39" spans="1:10" ht="30" x14ac:dyDescent="0.2">
      <c r="A39" s="421"/>
      <c r="B39" s="396" t="s">
        <v>398</v>
      </c>
      <c r="C39" s="423" t="s">
        <v>691</v>
      </c>
      <c r="D39" s="421"/>
      <c r="E39" s="421" t="s">
        <v>515</v>
      </c>
      <c r="F39" s="96" t="s">
        <v>2301</v>
      </c>
      <c r="G39" s="96" t="s">
        <v>2305</v>
      </c>
      <c r="H39" s="231" t="s">
        <v>2467</v>
      </c>
      <c r="I39" s="152" t="s">
        <v>515</v>
      </c>
      <c r="J39" s="202" t="s">
        <v>4911</v>
      </c>
    </row>
    <row r="40" spans="1:10" ht="30" x14ac:dyDescent="0.2">
      <c r="A40" s="421"/>
      <c r="B40" s="421"/>
      <c r="C40" s="423"/>
      <c r="D40" s="421"/>
      <c r="E40" s="421"/>
      <c r="F40" s="96" t="s">
        <v>2302</v>
      </c>
      <c r="G40" s="96" t="s">
        <v>2307</v>
      </c>
      <c r="H40" s="231" t="s">
        <v>2467</v>
      </c>
      <c r="I40" s="152" t="s">
        <v>515</v>
      </c>
      <c r="J40" s="202" t="s">
        <v>4911</v>
      </c>
    </row>
    <row r="41" spans="1:10" ht="30" x14ac:dyDescent="0.2">
      <c r="A41" s="421"/>
      <c r="B41" s="421"/>
      <c r="C41" s="423"/>
      <c r="D41" s="421"/>
      <c r="E41" s="421"/>
      <c r="F41" s="96" t="s">
        <v>2303</v>
      </c>
      <c r="G41" s="96" t="s">
        <v>2309</v>
      </c>
      <c r="H41" s="231" t="s">
        <v>2467</v>
      </c>
      <c r="I41" s="152" t="s">
        <v>515</v>
      </c>
      <c r="J41" s="202" t="s">
        <v>4911</v>
      </c>
    </row>
    <row r="42" spans="1:10" ht="30" x14ac:dyDescent="0.2">
      <c r="A42" s="421"/>
      <c r="B42" s="421"/>
      <c r="C42" s="423"/>
      <c r="D42" s="421"/>
      <c r="E42" s="421"/>
      <c r="F42" s="96" t="s">
        <v>2304</v>
      </c>
      <c r="G42" s="96" t="s">
        <v>2311</v>
      </c>
      <c r="H42" s="231" t="s">
        <v>2467</v>
      </c>
      <c r="I42" s="152" t="s">
        <v>515</v>
      </c>
      <c r="J42" s="202" t="s">
        <v>4911</v>
      </c>
    </row>
    <row r="43" spans="1:10" ht="30" x14ac:dyDescent="0.2">
      <c r="A43" s="421"/>
      <c r="B43" s="421"/>
      <c r="C43" s="423"/>
      <c r="D43" s="421"/>
      <c r="E43" s="421"/>
      <c r="F43" s="96" t="s">
        <v>2306</v>
      </c>
      <c r="G43" s="96" t="s">
        <v>2313</v>
      </c>
      <c r="H43" s="231" t="s">
        <v>2467</v>
      </c>
      <c r="I43" s="152" t="s">
        <v>515</v>
      </c>
      <c r="J43" s="202" t="s">
        <v>4911</v>
      </c>
    </row>
    <row r="44" spans="1:10" ht="30" x14ac:dyDescent="0.2">
      <c r="A44" s="421"/>
      <c r="B44" s="421"/>
      <c r="C44" s="423"/>
      <c r="D44" s="421"/>
      <c r="E44" s="421"/>
      <c r="F44" s="96" t="s">
        <v>2308</v>
      </c>
      <c r="G44" s="96" t="s">
        <v>2315</v>
      </c>
      <c r="H44" s="231" t="s">
        <v>2467</v>
      </c>
      <c r="I44" s="152" t="s">
        <v>515</v>
      </c>
      <c r="J44" s="202" t="s">
        <v>4911</v>
      </c>
    </row>
    <row r="45" spans="1:10" ht="16.350000000000001" customHeight="1" x14ac:dyDescent="0.2">
      <c r="A45" s="421"/>
      <c r="B45" s="421"/>
      <c r="C45" s="423"/>
      <c r="D45" s="421"/>
      <c r="E45" s="421"/>
      <c r="F45" s="96" t="s">
        <v>2310</v>
      </c>
      <c r="G45" s="96"/>
      <c r="H45" s="153"/>
      <c r="I45" s="152"/>
      <c r="J45" s="152"/>
    </row>
    <row r="46" spans="1:10" ht="28.35" customHeight="1" x14ac:dyDescent="0.2">
      <c r="A46" s="421"/>
      <c r="B46" s="421"/>
      <c r="C46" s="423"/>
      <c r="D46" s="421"/>
      <c r="E46" s="421"/>
      <c r="F46" s="96" t="s">
        <v>2312</v>
      </c>
      <c r="G46" s="96"/>
      <c r="H46" s="153"/>
      <c r="I46" s="152"/>
      <c r="J46" s="152"/>
    </row>
    <row r="47" spans="1:10" x14ac:dyDescent="0.2">
      <c r="A47" s="421"/>
      <c r="B47" s="421"/>
      <c r="C47" s="423"/>
      <c r="D47" s="421"/>
      <c r="E47" s="421"/>
      <c r="F47" s="96" t="s">
        <v>2314</v>
      </c>
      <c r="G47" s="96"/>
      <c r="H47" s="153"/>
      <c r="I47" s="152"/>
      <c r="J47" s="152"/>
    </row>
    <row r="48" spans="1:10" x14ac:dyDescent="0.2">
      <c r="A48" s="421"/>
      <c r="B48" s="421" t="s">
        <v>399</v>
      </c>
      <c r="C48" s="423" t="s">
        <v>693</v>
      </c>
      <c r="D48" s="421"/>
      <c r="E48" s="421" t="s">
        <v>507</v>
      </c>
      <c r="F48" s="96" t="s">
        <v>2316</v>
      </c>
      <c r="G48" s="96" t="s">
        <v>2317</v>
      </c>
      <c r="H48" s="231" t="s">
        <v>1966</v>
      </c>
      <c r="I48" s="152" t="s">
        <v>515</v>
      </c>
      <c r="J48" s="202" t="s">
        <v>4912</v>
      </c>
    </row>
    <row r="49" spans="1:10" x14ac:dyDescent="0.2">
      <c r="A49" s="421"/>
      <c r="B49" s="421"/>
      <c r="C49" s="423"/>
      <c r="D49" s="421"/>
      <c r="E49" s="421"/>
      <c r="F49" s="96" t="s">
        <v>2318</v>
      </c>
      <c r="G49" s="96" t="s">
        <v>2319</v>
      </c>
      <c r="H49" s="231" t="s">
        <v>4603</v>
      </c>
      <c r="I49" s="152" t="s">
        <v>507</v>
      </c>
      <c r="J49" s="202" t="s">
        <v>4913</v>
      </c>
    </row>
    <row r="50" spans="1:10" x14ac:dyDescent="0.2">
      <c r="A50" s="421"/>
      <c r="B50" s="421"/>
      <c r="C50" s="423"/>
      <c r="D50" s="421"/>
      <c r="E50" s="421"/>
      <c r="F50" s="96" t="s">
        <v>2320</v>
      </c>
      <c r="G50" s="96" t="s">
        <v>2321</v>
      </c>
      <c r="H50" s="231" t="s">
        <v>4603</v>
      </c>
      <c r="I50" s="152" t="s">
        <v>507</v>
      </c>
      <c r="J50" s="202" t="s">
        <v>4913</v>
      </c>
    </row>
    <row r="51" spans="1:10" x14ac:dyDescent="0.2">
      <c r="A51" s="421"/>
      <c r="B51" s="421"/>
      <c r="C51" s="423"/>
      <c r="D51" s="421"/>
      <c r="E51" s="421"/>
      <c r="F51" s="96" t="s">
        <v>2322</v>
      </c>
      <c r="G51" s="96" t="s">
        <v>2323</v>
      </c>
      <c r="H51" s="231" t="s">
        <v>4603</v>
      </c>
      <c r="I51" s="152" t="s">
        <v>507</v>
      </c>
      <c r="J51" s="202" t="s">
        <v>4913</v>
      </c>
    </row>
    <row r="52" spans="1:10" x14ac:dyDescent="0.2">
      <c r="A52" s="421"/>
      <c r="B52" s="421"/>
      <c r="C52" s="423"/>
      <c r="D52" s="421"/>
      <c r="E52" s="421"/>
      <c r="F52" s="96" t="s">
        <v>2324</v>
      </c>
      <c r="G52" s="96" t="s">
        <v>2325</v>
      </c>
      <c r="H52" s="231" t="s">
        <v>4603</v>
      </c>
      <c r="I52" s="152" t="s">
        <v>507</v>
      </c>
      <c r="J52" s="202" t="s">
        <v>4913</v>
      </c>
    </row>
    <row r="53" spans="1:10" ht="28.35" customHeight="1" x14ac:dyDescent="0.2">
      <c r="A53" s="421"/>
      <c r="B53" s="421"/>
      <c r="C53" s="423"/>
      <c r="D53" s="421"/>
      <c r="E53" s="421"/>
      <c r="F53" s="96" t="s">
        <v>2326</v>
      </c>
      <c r="G53" s="96" t="s">
        <v>2327</v>
      </c>
      <c r="H53" s="231" t="s">
        <v>4603</v>
      </c>
      <c r="I53" s="152" t="s">
        <v>507</v>
      </c>
      <c r="J53" s="202" t="s">
        <v>4913</v>
      </c>
    </row>
    <row r="54" spans="1:10" x14ac:dyDescent="0.2">
      <c r="A54" s="421"/>
      <c r="B54" s="421" t="s">
        <v>694</v>
      </c>
      <c r="C54" s="423" t="s">
        <v>695</v>
      </c>
      <c r="D54" s="421"/>
      <c r="E54" s="421" t="s">
        <v>507</v>
      </c>
      <c r="F54" s="96" t="s">
        <v>2328</v>
      </c>
      <c r="G54" s="96" t="s">
        <v>2329</v>
      </c>
      <c r="H54" s="231" t="s">
        <v>4603</v>
      </c>
      <c r="I54" s="152" t="s">
        <v>507</v>
      </c>
      <c r="J54" s="202" t="s">
        <v>4913</v>
      </c>
    </row>
    <row r="55" spans="1:10" ht="16.350000000000001" customHeight="1" x14ac:dyDescent="0.2">
      <c r="A55" s="421"/>
      <c r="B55" s="421"/>
      <c r="C55" s="423"/>
      <c r="D55" s="421"/>
      <c r="E55" s="421"/>
      <c r="F55" s="96" t="s">
        <v>2330</v>
      </c>
      <c r="G55" s="96" t="s">
        <v>2331</v>
      </c>
      <c r="H55" s="231" t="s">
        <v>4603</v>
      </c>
      <c r="I55" s="152" t="s">
        <v>507</v>
      </c>
      <c r="J55" s="202" t="s">
        <v>4913</v>
      </c>
    </row>
    <row r="56" spans="1:10" x14ac:dyDescent="0.2">
      <c r="A56" s="421"/>
      <c r="B56" s="421"/>
      <c r="C56" s="423"/>
      <c r="D56" s="421"/>
      <c r="E56" s="421"/>
      <c r="F56" s="96" t="s">
        <v>2332</v>
      </c>
      <c r="G56" s="96" t="s">
        <v>2333</v>
      </c>
      <c r="H56" s="231" t="s">
        <v>4603</v>
      </c>
      <c r="I56" s="152" t="s">
        <v>507</v>
      </c>
      <c r="J56" s="202" t="s">
        <v>4913</v>
      </c>
    </row>
    <row r="57" spans="1:10" x14ac:dyDescent="0.2">
      <c r="A57" s="421"/>
      <c r="B57" s="421"/>
      <c r="C57" s="423"/>
      <c r="D57" s="421"/>
      <c r="E57" s="421"/>
      <c r="F57" s="96" t="s">
        <v>2334</v>
      </c>
      <c r="G57" s="96" t="s">
        <v>2335</v>
      </c>
      <c r="H57" s="231" t="s">
        <v>4603</v>
      </c>
      <c r="I57" s="152" t="s">
        <v>507</v>
      </c>
      <c r="J57" s="202" t="s">
        <v>4913</v>
      </c>
    </row>
    <row r="58" spans="1:10" x14ac:dyDescent="0.2">
      <c r="A58" s="421"/>
      <c r="B58" s="421"/>
      <c r="C58" s="423"/>
      <c r="D58" s="421"/>
      <c r="E58" s="421"/>
      <c r="F58" s="96" t="s">
        <v>2336</v>
      </c>
      <c r="G58" s="96" t="s">
        <v>2337</v>
      </c>
      <c r="H58" s="231" t="s">
        <v>4603</v>
      </c>
      <c r="I58" s="152" t="s">
        <v>507</v>
      </c>
      <c r="J58" s="202" t="s">
        <v>4913</v>
      </c>
    </row>
    <row r="59" spans="1:10" x14ac:dyDescent="0.2">
      <c r="A59" s="421"/>
      <c r="B59" s="421"/>
      <c r="C59" s="423"/>
      <c r="D59" s="421"/>
      <c r="E59" s="421"/>
      <c r="F59" s="96" t="s">
        <v>2338</v>
      </c>
      <c r="G59" s="96" t="s">
        <v>2339</v>
      </c>
      <c r="H59" s="231" t="s">
        <v>4603</v>
      </c>
      <c r="I59" s="152" t="s">
        <v>507</v>
      </c>
      <c r="J59" s="202" t="s">
        <v>4913</v>
      </c>
    </row>
    <row r="60" spans="1:10" ht="30" customHeight="1" x14ac:dyDescent="0.2">
      <c r="A60" s="421"/>
      <c r="B60" s="421"/>
      <c r="C60" s="423"/>
      <c r="D60" s="421"/>
      <c r="E60" s="421"/>
      <c r="F60" s="129" t="s">
        <v>4914</v>
      </c>
      <c r="G60" s="129" t="s">
        <v>4915</v>
      </c>
      <c r="H60" s="129" t="s">
        <v>4603</v>
      </c>
      <c r="I60" s="232" t="s">
        <v>507</v>
      </c>
      <c r="J60" s="232" t="s">
        <v>4916</v>
      </c>
    </row>
    <row r="61" spans="1:10" ht="19.5" customHeight="1" x14ac:dyDescent="0.2">
      <c r="A61" s="421"/>
      <c r="B61" s="421" t="s">
        <v>697</v>
      </c>
      <c r="C61" s="423" t="s">
        <v>698</v>
      </c>
      <c r="D61" s="421"/>
      <c r="E61" s="421" t="s">
        <v>507</v>
      </c>
      <c r="F61" s="96" t="s">
        <v>2340</v>
      </c>
      <c r="G61" s="96" t="s">
        <v>2341</v>
      </c>
      <c r="H61" s="6" t="s">
        <v>4603</v>
      </c>
      <c r="I61" s="7" t="s">
        <v>507</v>
      </c>
      <c r="J61" s="7" t="s">
        <v>4916</v>
      </c>
    </row>
    <row r="62" spans="1:10" ht="28.9" customHeight="1" x14ac:dyDescent="0.2">
      <c r="A62" s="421"/>
      <c r="B62" s="421"/>
      <c r="C62" s="423"/>
      <c r="D62" s="421"/>
      <c r="E62" s="421"/>
      <c r="F62" s="96" t="s">
        <v>2342</v>
      </c>
      <c r="G62" s="96" t="s">
        <v>2343</v>
      </c>
      <c r="H62" s="6" t="s">
        <v>4603</v>
      </c>
      <c r="I62" s="7" t="s">
        <v>507</v>
      </c>
      <c r="J62" s="7" t="s">
        <v>4916</v>
      </c>
    </row>
    <row r="63" spans="1:10" ht="30" x14ac:dyDescent="0.2">
      <c r="A63" s="421"/>
      <c r="B63" s="421"/>
      <c r="C63" s="423"/>
      <c r="D63" s="421"/>
      <c r="E63" s="421"/>
      <c r="F63" s="96" t="s">
        <v>2344</v>
      </c>
      <c r="G63" s="96" t="s">
        <v>2345</v>
      </c>
      <c r="H63" s="6" t="s">
        <v>4603</v>
      </c>
      <c r="I63" s="7" t="s">
        <v>507</v>
      </c>
      <c r="J63" s="7" t="s">
        <v>4916</v>
      </c>
    </row>
    <row r="64" spans="1:10" ht="30" x14ac:dyDescent="0.2">
      <c r="A64" s="421"/>
      <c r="B64" s="421"/>
      <c r="C64" s="423"/>
      <c r="D64" s="421"/>
      <c r="E64" s="421"/>
      <c r="F64" s="96" t="s">
        <v>2346</v>
      </c>
      <c r="G64" s="96" t="s">
        <v>2347</v>
      </c>
      <c r="H64" s="6" t="s">
        <v>4603</v>
      </c>
      <c r="I64" s="7" t="s">
        <v>507</v>
      </c>
      <c r="J64" s="7" t="s">
        <v>4916</v>
      </c>
    </row>
    <row r="65" spans="1:10" ht="30" x14ac:dyDescent="0.2">
      <c r="A65" s="421"/>
      <c r="B65" s="421"/>
      <c r="C65" s="423"/>
      <c r="D65" s="421"/>
      <c r="E65" s="421"/>
      <c r="F65" s="96" t="s">
        <v>2348</v>
      </c>
      <c r="G65" s="96" t="s">
        <v>2349</v>
      </c>
      <c r="H65" s="6" t="s">
        <v>4603</v>
      </c>
      <c r="I65" s="7" t="s">
        <v>507</v>
      </c>
      <c r="J65" s="7" t="s">
        <v>4916</v>
      </c>
    </row>
    <row r="66" spans="1:10" ht="30" x14ac:dyDescent="0.2">
      <c r="A66" s="421"/>
      <c r="B66" s="421"/>
      <c r="C66" s="423"/>
      <c r="D66" s="421"/>
      <c r="E66" s="421"/>
      <c r="F66" s="96" t="s">
        <v>2350</v>
      </c>
      <c r="G66" s="96" t="s">
        <v>2351</v>
      </c>
      <c r="H66" s="6" t="s">
        <v>4603</v>
      </c>
      <c r="I66" s="7" t="s">
        <v>507</v>
      </c>
      <c r="J66" s="7" t="s">
        <v>4916</v>
      </c>
    </row>
    <row r="77" spans="1:10" ht="25.5" x14ac:dyDescent="0.2">
      <c r="E77" s="10" t="s">
        <v>528</v>
      </c>
    </row>
    <row r="78" spans="1:10" x14ac:dyDescent="0.2">
      <c r="E78" s="10" t="s">
        <v>511</v>
      </c>
    </row>
    <row r="79" spans="1:10" x14ac:dyDescent="0.2">
      <c r="E79" s="10" t="s">
        <v>515</v>
      </c>
    </row>
    <row r="80" spans="1:10" x14ac:dyDescent="0.2">
      <c r="E80" s="10" t="s">
        <v>505</v>
      </c>
    </row>
    <row r="81" spans="5:5" x14ac:dyDescent="0.2">
      <c r="E81" s="10" t="s">
        <v>507</v>
      </c>
    </row>
  </sheetData>
  <mergeCells count="33">
    <mergeCell ref="B61:B66"/>
    <mergeCell ref="C61:C66"/>
    <mergeCell ref="D61:D66"/>
    <mergeCell ref="E61:E66"/>
    <mergeCell ref="B30:B38"/>
    <mergeCell ref="C30:C38"/>
    <mergeCell ref="D30:D38"/>
    <mergeCell ref="E30:E38"/>
    <mergeCell ref="B54:B60"/>
    <mergeCell ref="C54:C60"/>
    <mergeCell ref="D54:D60"/>
    <mergeCell ref="E54:E60"/>
    <mergeCell ref="B12:B20"/>
    <mergeCell ref="C12:C20"/>
    <mergeCell ref="D12:D20"/>
    <mergeCell ref="E12:E20"/>
    <mergeCell ref="E21:E29"/>
    <mergeCell ref="A3:A66"/>
    <mergeCell ref="B48:B53"/>
    <mergeCell ref="C48:C53"/>
    <mergeCell ref="D48:D53"/>
    <mergeCell ref="E48:E53"/>
    <mergeCell ref="B21:B29"/>
    <mergeCell ref="C21:C29"/>
    <mergeCell ref="D21:D29"/>
    <mergeCell ref="B39:B47"/>
    <mergeCell ref="C39:C47"/>
    <mergeCell ref="D39:D47"/>
    <mergeCell ref="E39:E47"/>
    <mergeCell ref="B3:B11"/>
    <mergeCell ref="C3:C11"/>
    <mergeCell ref="D3:D11"/>
    <mergeCell ref="E3:E11"/>
  </mergeCells>
  <dataValidations count="1">
    <dataValidation type="list" allowBlank="1" showInputMessage="1" showErrorMessage="1" sqref="E3:E66 I3:I66" xr:uid="{D9AE9AFF-5EA0-F148-8F05-EE5DDBB52ED4}">
      <formula1>$E$77:$E$81</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FB6B-B0F5-304C-BF66-787390F095E3}">
  <sheetPr>
    <tabColor theme="5"/>
  </sheetPr>
  <dimension ref="A1:K80"/>
  <sheetViews>
    <sheetView topLeftCell="C1" zoomScale="99" workbookViewId="0">
      <selection activeCell="G17" sqref="G17"/>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10" style="15" customWidth="1"/>
    <col min="9" max="9" width="18.85546875" style="15" customWidth="1"/>
    <col min="10" max="10" width="32.28515625" style="15" customWidth="1"/>
    <col min="11" max="11" width="31.28515625"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1" ht="30" customHeight="1" x14ac:dyDescent="0.2">
      <c r="A1" s="18"/>
      <c r="B1" s="18"/>
      <c r="C1" s="19"/>
      <c r="D1" s="19"/>
      <c r="E1" s="19"/>
      <c r="F1" s="19"/>
      <c r="G1" s="19"/>
      <c r="H1" s="19"/>
      <c r="I1" s="19"/>
      <c r="J1" s="19"/>
    </row>
    <row r="2" spans="1:11" s="13" customFormat="1" ht="45" x14ac:dyDescent="0.2">
      <c r="A2" s="11" t="s">
        <v>1042</v>
      </c>
      <c r="B2" s="11" t="s">
        <v>1050</v>
      </c>
      <c r="C2" s="11" t="s">
        <v>1041</v>
      </c>
      <c r="D2" s="11" t="s">
        <v>185</v>
      </c>
      <c r="E2" s="11" t="s">
        <v>1038</v>
      </c>
      <c r="F2" s="11" t="s">
        <v>1049</v>
      </c>
      <c r="G2" s="11" t="s">
        <v>1040</v>
      </c>
      <c r="H2" s="11" t="s">
        <v>2016</v>
      </c>
      <c r="I2" s="11" t="s">
        <v>1038</v>
      </c>
      <c r="J2" s="11" t="s">
        <v>1039</v>
      </c>
    </row>
    <row r="3" spans="1:11" ht="28.35" customHeight="1" x14ac:dyDescent="0.2">
      <c r="A3" s="421" t="s">
        <v>2138</v>
      </c>
      <c r="B3" s="421" t="s">
        <v>390</v>
      </c>
      <c r="C3" s="421" t="s">
        <v>669</v>
      </c>
      <c r="D3" s="421"/>
      <c r="E3" s="421" t="s">
        <v>515</v>
      </c>
      <c r="F3" s="96" t="s">
        <v>2139</v>
      </c>
      <c r="G3" s="16" t="s">
        <v>2031</v>
      </c>
      <c r="H3" s="154"/>
      <c r="I3" s="152" t="s">
        <v>511</v>
      </c>
      <c r="J3" s="37" t="s">
        <v>4862</v>
      </c>
      <c r="K3" s="224" t="s">
        <v>4891</v>
      </c>
    </row>
    <row r="4" spans="1:11" ht="30" x14ac:dyDescent="0.2">
      <c r="A4" s="421"/>
      <c r="B4" s="421"/>
      <c r="C4" s="421"/>
      <c r="D4" s="421"/>
      <c r="E4" s="421"/>
      <c r="F4" s="96" t="s">
        <v>2140</v>
      </c>
      <c r="G4" s="16" t="s">
        <v>4860</v>
      </c>
      <c r="H4" s="154"/>
      <c r="I4" s="152" t="s">
        <v>511</v>
      </c>
      <c r="J4" s="152"/>
      <c r="K4" s="224" t="s">
        <v>4892</v>
      </c>
    </row>
    <row r="5" spans="1:11" x14ac:dyDescent="0.2">
      <c r="A5" s="421"/>
      <c r="B5" s="421"/>
      <c r="C5" s="421"/>
      <c r="D5" s="421"/>
      <c r="E5" s="421"/>
      <c r="F5" s="96" t="s">
        <v>2141</v>
      </c>
      <c r="G5" s="16" t="s">
        <v>2034</v>
      </c>
      <c r="H5" s="154"/>
      <c r="I5" s="152" t="s">
        <v>511</v>
      </c>
      <c r="J5" s="152"/>
      <c r="K5" s="225" t="s">
        <v>4893</v>
      </c>
    </row>
    <row r="6" spans="1:11" ht="25.5" x14ac:dyDescent="0.2">
      <c r="A6" s="421"/>
      <c r="B6" s="421"/>
      <c r="C6" s="421"/>
      <c r="D6" s="421"/>
      <c r="E6" s="421"/>
      <c r="F6" s="96" t="s">
        <v>2142</v>
      </c>
      <c r="G6" s="16" t="s">
        <v>2036</v>
      </c>
      <c r="H6" s="155"/>
      <c r="I6" s="152" t="s">
        <v>505</v>
      </c>
      <c r="J6" s="202" t="s">
        <v>4865</v>
      </c>
    </row>
    <row r="7" spans="1:11" ht="45" x14ac:dyDescent="0.2">
      <c r="A7" s="421"/>
      <c r="B7" s="421"/>
      <c r="C7" s="421"/>
      <c r="D7" s="421"/>
      <c r="E7" s="421"/>
      <c r="F7" s="96" t="s">
        <v>2144</v>
      </c>
      <c r="G7" s="16" t="s">
        <v>4861</v>
      </c>
      <c r="H7" s="155"/>
      <c r="I7" s="152" t="s">
        <v>515</v>
      </c>
      <c r="J7" s="202" t="s">
        <v>4868</v>
      </c>
    </row>
    <row r="8" spans="1:11" x14ac:dyDescent="0.2">
      <c r="A8" s="421"/>
      <c r="B8" s="421"/>
      <c r="C8" s="421"/>
      <c r="D8" s="421"/>
      <c r="E8" s="421"/>
      <c r="F8" s="96" t="s">
        <v>2146</v>
      </c>
      <c r="G8" s="96" t="s">
        <v>2211</v>
      </c>
      <c r="H8" s="155"/>
      <c r="I8" s="152" t="s">
        <v>507</v>
      </c>
      <c r="J8" s="152"/>
    </row>
    <row r="9" spans="1:11" ht="26.25" customHeight="1" x14ac:dyDescent="0.2">
      <c r="A9" s="421"/>
      <c r="B9" s="421"/>
      <c r="C9" s="421"/>
      <c r="D9" s="421"/>
      <c r="E9" s="421"/>
      <c r="F9" s="96" t="s">
        <v>2148</v>
      </c>
      <c r="G9" s="127" t="s">
        <v>4863</v>
      </c>
      <c r="H9" s="223"/>
      <c r="I9" s="37" t="s">
        <v>515</v>
      </c>
      <c r="J9" s="37" t="s">
        <v>4864</v>
      </c>
    </row>
    <row r="10" spans="1:11" x14ac:dyDescent="0.2">
      <c r="A10" s="421"/>
      <c r="B10" s="421"/>
      <c r="C10" s="421"/>
      <c r="D10" s="421"/>
      <c r="E10" s="421"/>
      <c r="F10" s="96" t="s">
        <v>2150</v>
      </c>
      <c r="G10" s="96"/>
      <c r="H10" s="155"/>
      <c r="I10" s="152"/>
      <c r="J10" s="152"/>
    </row>
    <row r="11" spans="1:11" x14ac:dyDescent="0.2">
      <c r="A11" s="421"/>
      <c r="B11" s="421" t="s">
        <v>391</v>
      </c>
      <c r="C11" s="421" t="s">
        <v>671</v>
      </c>
      <c r="D11" s="421"/>
      <c r="E11" s="421" t="s">
        <v>507</v>
      </c>
      <c r="F11" s="96" t="s">
        <v>2152</v>
      </c>
      <c r="G11" s="96" t="s">
        <v>2212</v>
      </c>
      <c r="H11" s="154" t="s">
        <v>4866</v>
      </c>
      <c r="I11" s="152" t="s">
        <v>507</v>
      </c>
      <c r="J11" s="202" t="s">
        <v>4867</v>
      </c>
    </row>
    <row r="12" spans="1:11" x14ac:dyDescent="0.2">
      <c r="A12" s="421"/>
      <c r="B12" s="421"/>
      <c r="C12" s="421"/>
      <c r="D12" s="421"/>
      <c r="E12" s="421"/>
      <c r="F12" s="96" t="s">
        <v>2153</v>
      </c>
      <c r="G12" s="96" t="s">
        <v>2213</v>
      </c>
      <c r="H12" s="154" t="s">
        <v>4866</v>
      </c>
      <c r="I12" s="152" t="s">
        <v>507</v>
      </c>
      <c r="J12" s="152"/>
    </row>
    <row r="13" spans="1:11" x14ac:dyDescent="0.2">
      <c r="A13" s="421"/>
      <c r="B13" s="421"/>
      <c r="C13" s="421"/>
      <c r="D13" s="421"/>
      <c r="E13" s="421"/>
      <c r="F13" s="96" t="s">
        <v>2154</v>
      </c>
      <c r="G13" s="96" t="s">
        <v>2214</v>
      </c>
      <c r="H13" s="154" t="s">
        <v>4866</v>
      </c>
      <c r="I13" s="152" t="s">
        <v>507</v>
      </c>
      <c r="J13" s="152"/>
    </row>
    <row r="14" spans="1:11" x14ac:dyDescent="0.2">
      <c r="A14" s="421"/>
      <c r="B14" s="421"/>
      <c r="C14" s="421"/>
      <c r="D14" s="421"/>
      <c r="E14" s="421"/>
      <c r="F14" s="96" t="s">
        <v>2155</v>
      </c>
      <c r="G14" s="96" t="s">
        <v>2215</v>
      </c>
      <c r="H14" s="154" t="s">
        <v>4866</v>
      </c>
      <c r="I14" s="152" t="s">
        <v>507</v>
      </c>
      <c r="J14" s="152"/>
    </row>
    <row r="15" spans="1:11" x14ac:dyDescent="0.2">
      <c r="A15" s="421"/>
      <c r="B15" s="421"/>
      <c r="C15" s="421"/>
      <c r="D15" s="421"/>
      <c r="E15" s="421"/>
      <c r="F15" s="96" t="s">
        <v>2156</v>
      </c>
      <c r="G15" s="96" t="s">
        <v>2216</v>
      </c>
      <c r="H15" s="154" t="s">
        <v>4866</v>
      </c>
      <c r="I15" s="152" t="s">
        <v>507</v>
      </c>
      <c r="J15" s="152"/>
    </row>
    <row r="16" spans="1:11" x14ac:dyDescent="0.2">
      <c r="A16" s="421"/>
      <c r="B16" s="421"/>
      <c r="C16" s="421"/>
      <c r="D16" s="421"/>
      <c r="E16" s="421"/>
      <c r="F16" s="96" t="s">
        <v>2157</v>
      </c>
      <c r="G16" s="96" t="s">
        <v>2217</v>
      </c>
      <c r="H16" s="154" t="s">
        <v>4866</v>
      </c>
      <c r="I16" s="152" t="s">
        <v>507</v>
      </c>
      <c r="J16" s="152"/>
    </row>
    <row r="17" spans="1:10" ht="45" x14ac:dyDescent="0.2">
      <c r="A17" s="421"/>
      <c r="B17" s="421"/>
      <c r="C17" s="421"/>
      <c r="D17" s="421"/>
      <c r="E17" s="421"/>
      <c r="F17" s="96" t="s">
        <v>2158</v>
      </c>
      <c r="G17" s="117" t="s">
        <v>4894</v>
      </c>
      <c r="H17" s="226" t="s">
        <v>2467</v>
      </c>
      <c r="I17" s="7" t="s">
        <v>515</v>
      </c>
      <c r="J17" s="7" t="s">
        <v>4895</v>
      </c>
    </row>
    <row r="18" spans="1:10" x14ac:dyDescent="0.2">
      <c r="A18" s="421"/>
      <c r="B18" s="421"/>
      <c r="C18" s="421"/>
      <c r="D18" s="421"/>
      <c r="E18" s="421"/>
      <c r="F18" s="96" t="s">
        <v>2159</v>
      </c>
      <c r="G18" s="96"/>
      <c r="H18" s="155"/>
      <c r="I18" s="152"/>
      <c r="J18" s="152"/>
    </row>
    <row r="19" spans="1:10" ht="23.65" customHeight="1" x14ac:dyDescent="0.2">
      <c r="A19" s="421"/>
      <c r="B19" s="421" t="s">
        <v>392</v>
      </c>
      <c r="C19" s="421" t="s">
        <v>672</v>
      </c>
      <c r="D19" s="421"/>
      <c r="E19" s="421" t="s">
        <v>515</v>
      </c>
      <c r="F19" s="96" t="s">
        <v>2160</v>
      </c>
      <c r="G19" s="96" t="s">
        <v>2218</v>
      </c>
      <c r="H19" s="154" t="s">
        <v>2467</v>
      </c>
      <c r="I19" s="152" t="s">
        <v>515</v>
      </c>
      <c r="J19" s="202" t="s">
        <v>4869</v>
      </c>
    </row>
    <row r="20" spans="1:10" x14ac:dyDescent="0.2">
      <c r="A20" s="421"/>
      <c r="B20" s="421"/>
      <c r="C20" s="421"/>
      <c r="D20" s="421"/>
      <c r="E20" s="421"/>
      <c r="F20" s="96" t="s">
        <v>2161</v>
      </c>
      <c r="G20" s="96" t="s">
        <v>2219</v>
      </c>
      <c r="H20" s="154" t="s">
        <v>1966</v>
      </c>
      <c r="I20" s="152" t="s">
        <v>515</v>
      </c>
      <c r="J20" s="202" t="s">
        <v>4870</v>
      </c>
    </row>
    <row r="21" spans="1:10" ht="30" x14ac:dyDescent="0.2">
      <c r="A21" s="421"/>
      <c r="B21" s="421"/>
      <c r="C21" s="421"/>
      <c r="D21" s="421"/>
      <c r="E21" s="421"/>
      <c r="F21" s="96" t="s">
        <v>2162</v>
      </c>
      <c r="G21" s="96" t="s">
        <v>2220</v>
      </c>
      <c r="H21" s="154" t="s">
        <v>1966</v>
      </c>
      <c r="I21" s="152" t="s">
        <v>515</v>
      </c>
      <c r="J21" s="202" t="s">
        <v>4896</v>
      </c>
    </row>
    <row r="22" spans="1:10" x14ac:dyDescent="0.2">
      <c r="A22" s="421"/>
      <c r="B22" s="421"/>
      <c r="C22" s="421"/>
      <c r="D22" s="421"/>
      <c r="E22" s="421"/>
      <c r="F22" s="96" t="s">
        <v>2163</v>
      </c>
      <c r="G22" s="96" t="s">
        <v>2221</v>
      </c>
      <c r="H22" s="154" t="s">
        <v>1966</v>
      </c>
      <c r="I22" s="152" t="s">
        <v>515</v>
      </c>
      <c r="J22" s="152"/>
    </row>
    <row r="23" spans="1:10" x14ac:dyDescent="0.2">
      <c r="A23" s="421"/>
      <c r="B23" s="421"/>
      <c r="C23" s="421"/>
      <c r="D23" s="421"/>
      <c r="E23" s="421"/>
      <c r="F23" s="96" t="s">
        <v>2164</v>
      </c>
      <c r="G23" s="96" t="s">
        <v>2222</v>
      </c>
      <c r="H23" s="154" t="s">
        <v>1966</v>
      </c>
      <c r="I23" s="152" t="s">
        <v>515</v>
      </c>
      <c r="J23" s="152"/>
    </row>
    <row r="24" spans="1:10" x14ac:dyDescent="0.2">
      <c r="A24" s="421"/>
      <c r="B24" s="421"/>
      <c r="C24" s="421"/>
      <c r="D24" s="421"/>
      <c r="E24" s="421"/>
      <c r="F24" s="96" t="s">
        <v>2165</v>
      </c>
      <c r="G24" s="96" t="s">
        <v>2223</v>
      </c>
      <c r="H24" s="155" t="s">
        <v>4866</v>
      </c>
      <c r="I24" s="152" t="s">
        <v>507</v>
      </c>
      <c r="J24" s="152"/>
    </row>
    <row r="25" spans="1:10" x14ac:dyDescent="0.2">
      <c r="A25" s="421"/>
      <c r="B25" s="421"/>
      <c r="C25" s="421"/>
      <c r="D25" s="421"/>
      <c r="E25" s="421"/>
      <c r="F25" s="96" t="s">
        <v>2166</v>
      </c>
      <c r="G25" s="96" t="s">
        <v>2151</v>
      </c>
      <c r="H25" s="155" t="s">
        <v>4866</v>
      </c>
      <c r="I25" s="152" t="s">
        <v>507</v>
      </c>
      <c r="J25" s="152"/>
    </row>
    <row r="26" spans="1:10" x14ac:dyDescent="0.2">
      <c r="A26" s="421"/>
      <c r="B26" s="421"/>
      <c r="C26" s="421"/>
      <c r="D26" s="421"/>
      <c r="E26" s="421"/>
      <c r="F26" s="96" t="s">
        <v>2167</v>
      </c>
      <c r="G26" s="96"/>
      <c r="H26" s="155"/>
      <c r="I26" s="152"/>
      <c r="J26" s="152"/>
    </row>
    <row r="27" spans="1:10" x14ac:dyDescent="0.2">
      <c r="A27" s="421"/>
      <c r="B27" s="421"/>
      <c r="C27" s="421"/>
      <c r="D27" s="421"/>
      <c r="E27" s="421"/>
      <c r="F27" s="96" t="s">
        <v>2168</v>
      </c>
      <c r="H27" s="155"/>
      <c r="I27" s="152"/>
      <c r="J27" s="152"/>
    </row>
    <row r="28" spans="1:10" ht="30" x14ac:dyDescent="0.2">
      <c r="A28" s="421"/>
      <c r="B28" s="421" t="s">
        <v>673</v>
      </c>
      <c r="C28" s="421" t="s">
        <v>674</v>
      </c>
      <c r="D28" s="421"/>
      <c r="E28" s="421" t="s">
        <v>515</v>
      </c>
      <c r="F28" s="96" t="s">
        <v>2169</v>
      </c>
      <c r="G28" s="96" t="s">
        <v>2143</v>
      </c>
      <c r="H28" s="154" t="s">
        <v>2467</v>
      </c>
      <c r="I28" s="152" t="s">
        <v>515</v>
      </c>
      <c r="J28" s="202" t="s">
        <v>4873</v>
      </c>
    </row>
    <row r="29" spans="1:10" x14ac:dyDescent="0.2">
      <c r="A29" s="421"/>
      <c r="B29" s="421"/>
      <c r="C29" s="421"/>
      <c r="D29" s="421"/>
      <c r="E29" s="421"/>
      <c r="F29" s="96" t="s">
        <v>2170</v>
      </c>
      <c r="G29" s="96" t="s">
        <v>2145</v>
      </c>
      <c r="H29" s="154" t="s">
        <v>2467</v>
      </c>
      <c r="I29" s="152" t="s">
        <v>515</v>
      </c>
      <c r="J29" s="152"/>
    </row>
    <row r="30" spans="1:10" x14ac:dyDescent="0.2">
      <c r="A30" s="421"/>
      <c r="B30" s="421"/>
      <c r="C30" s="421"/>
      <c r="D30" s="421"/>
      <c r="E30" s="421"/>
      <c r="F30" s="96" t="s">
        <v>2171</v>
      </c>
      <c r="G30" s="96" t="s">
        <v>2147</v>
      </c>
      <c r="H30" s="154" t="s">
        <v>2467</v>
      </c>
      <c r="I30" s="152" t="s">
        <v>515</v>
      </c>
      <c r="J30" s="202" t="s">
        <v>4874</v>
      </c>
    </row>
    <row r="31" spans="1:10" ht="30" x14ac:dyDescent="0.2">
      <c r="A31" s="421"/>
      <c r="B31" s="421"/>
      <c r="C31" s="421"/>
      <c r="D31" s="421"/>
      <c r="E31" s="421"/>
      <c r="F31" s="96" t="s">
        <v>2172</v>
      </c>
      <c r="G31" s="96" t="s">
        <v>2149</v>
      </c>
      <c r="H31" s="154" t="s">
        <v>4866</v>
      </c>
      <c r="I31" s="152" t="s">
        <v>507</v>
      </c>
      <c r="J31" s="202" t="s">
        <v>4872</v>
      </c>
    </row>
    <row r="32" spans="1:10" ht="16.350000000000001" customHeight="1" x14ac:dyDescent="0.2">
      <c r="A32" s="421"/>
      <c r="B32" s="421"/>
      <c r="C32" s="421"/>
      <c r="D32" s="421"/>
      <c r="E32" s="421"/>
      <c r="F32" s="96" t="s">
        <v>2173</v>
      </c>
      <c r="G32" s="96" t="s">
        <v>2151</v>
      </c>
      <c r="H32" s="155" t="s">
        <v>4866</v>
      </c>
      <c r="I32" s="152" t="s">
        <v>507</v>
      </c>
      <c r="J32" s="202" t="s">
        <v>4871</v>
      </c>
    </row>
    <row r="33" spans="1:10" ht="30" x14ac:dyDescent="0.2">
      <c r="A33" s="421"/>
      <c r="B33" s="421"/>
      <c r="C33" s="421"/>
      <c r="D33" s="421"/>
      <c r="E33" s="421"/>
      <c r="F33" s="96" t="s">
        <v>2174</v>
      </c>
      <c r="G33" s="96"/>
      <c r="H33" s="155"/>
      <c r="I33" s="152"/>
      <c r="J33" s="37" t="s">
        <v>4875</v>
      </c>
    </row>
    <row r="34" spans="1:10" ht="30" x14ac:dyDescent="0.2">
      <c r="A34" s="421"/>
      <c r="B34" s="421"/>
      <c r="C34" s="421"/>
      <c r="D34" s="421"/>
      <c r="E34" s="421"/>
      <c r="F34" s="96" t="s">
        <v>2175</v>
      </c>
      <c r="G34" s="96"/>
      <c r="H34" s="155"/>
      <c r="I34" s="152"/>
      <c r="J34" s="37" t="s">
        <v>4876</v>
      </c>
    </row>
    <row r="35" spans="1:10" x14ac:dyDescent="0.2">
      <c r="A35" s="421"/>
      <c r="B35" s="421"/>
      <c r="C35" s="421"/>
      <c r="D35" s="421"/>
      <c r="E35" s="421"/>
      <c r="F35" s="96" t="s">
        <v>2176</v>
      </c>
      <c r="G35" s="96"/>
      <c r="H35" s="155"/>
      <c r="I35" s="152"/>
      <c r="J35" s="152"/>
    </row>
    <row r="36" spans="1:10" x14ac:dyDescent="0.2">
      <c r="A36" s="421"/>
      <c r="B36" s="421"/>
      <c r="C36" s="421"/>
      <c r="D36" s="421"/>
      <c r="E36" s="421"/>
      <c r="F36" s="96" t="s">
        <v>2177</v>
      </c>
      <c r="G36" s="96"/>
      <c r="H36" s="155"/>
      <c r="I36" s="152"/>
      <c r="J36" s="152"/>
    </row>
    <row r="37" spans="1:10" x14ac:dyDescent="0.2">
      <c r="A37" s="421"/>
      <c r="B37" s="421" t="s">
        <v>676</v>
      </c>
      <c r="C37" s="396" t="s">
        <v>2226</v>
      </c>
      <c r="D37" s="421"/>
      <c r="E37" s="421" t="s">
        <v>511</v>
      </c>
      <c r="F37" s="96" t="s">
        <v>2178</v>
      </c>
      <c r="G37" s="117" t="s">
        <v>2227</v>
      </c>
      <c r="H37" s="154"/>
      <c r="I37" s="152" t="s">
        <v>505</v>
      </c>
      <c r="J37" s="202" t="s">
        <v>4877</v>
      </c>
    </row>
    <row r="38" spans="1:10" x14ac:dyDescent="0.2">
      <c r="A38" s="421"/>
      <c r="B38" s="421"/>
      <c r="C38" s="421"/>
      <c r="D38" s="421"/>
      <c r="E38" s="421"/>
      <c r="F38" s="96" t="s">
        <v>2179</v>
      </c>
      <c r="G38" s="96" t="s">
        <v>2224</v>
      </c>
      <c r="H38" s="154"/>
      <c r="I38" s="152" t="s">
        <v>507</v>
      </c>
      <c r="J38" s="202" t="s">
        <v>4878</v>
      </c>
    </row>
    <row r="39" spans="1:10" x14ac:dyDescent="0.2">
      <c r="A39" s="421"/>
      <c r="B39" s="421"/>
      <c r="C39" s="421"/>
      <c r="D39" s="421"/>
      <c r="E39" s="421"/>
      <c r="F39" s="96" t="s">
        <v>2180</v>
      </c>
      <c r="G39" s="96" t="s">
        <v>2225</v>
      </c>
      <c r="H39" s="154"/>
      <c r="I39" s="152" t="s">
        <v>511</v>
      </c>
      <c r="J39" s="152"/>
    </row>
    <row r="40" spans="1:10" ht="25.5" x14ac:dyDescent="0.2">
      <c r="A40" s="421"/>
      <c r="B40" s="421"/>
      <c r="C40" s="421"/>
      <c r="D40" s="421"/>
      <c r="E40" s="421"/>
      <c r="F40" s="96" t="s">
        <v>2181</v>
      </c>
      <c r="G40" s="117" t="s">
        <v>2228</v>
      </c>
      <c r="H40" s="154" t="s">
        <v>4128</v>
      </c>
      <c r="I40" s="152" t="s">
        <v>507</v>
      </c>
      <c r="J40" s="37" t="s">
        <v>4879</v>
      </c>
    </row>
    <row r="41" spans="1:10" x14ac:dyDescent="0.2">
      <c r="A41" s="421"/>
      <c r="B41" s="421"/>
      <c r="C41" s="421"/>
      <c r="D41" s="421"/>
      <c r="E41" s="421"/>
      <c r="F41" s="96" t="s">
        <v>2182</v>
      </c>
      <c r="G41" s="117" t="s">
        <v>2229</v>
      </c>
      <c r="H41" s="155"/>
      <c r="I41" s="152" t="s">
        <v>515</v>
      </c>
      <c r="J41" s="152"/>
    </row>
    <row r="42" spans="1:10" x14ac:dyDescent="0.2">
      <c r="A42" s="421"/>
      <c r="B42" s="421"/>
      <c r="C42" s="421"/>
      <c r="D42" s="421"/>
      <c r="E42" s="421"/>
      <c r="F42" s="96" t="s">
        <v>2183</v>
      </c>
      <c r="G42" s="117" t="s">
        <v>2230</v>
      </c>
      <c r="H42" s="155" t="s">
        <v>4866</v>
      </c>
      <c r="I42" s="152" t="s">
        <v>507</v>
      </c>
      <c r="J42" s="202" t="s">
        <v>4880</v>
      </c>
    </row>
    <row r="43" spans="1:10" x14ac:dyDescent="0.2">
      <c r="A43" s="421"/>
      <c r="B43" s="421"/>
      <c r="C43" s="421"/>
      <c r="D43" s="421"/>
      <c r="E43" s="421"/>
      <c r="F43" s="96" t="s">
        <v>2184</v>
      </c>
      <c r="G43" s="96"/>
      <c r="H43" s="155"/>
      <c r="I43" s="152"/>
      <c r="J43" s="152"/>
    </row>
    <row r="44" spans="1:10" x14ac:dyDescent="0.2">
      <c r="A44" s="421"/>
      <c r="B44" s="421"/>
      <c r="C44" s="421"/>
      <c r="D44" s="421"/>
      <c r="E44" s="421"/>
      <c r="F44" s="96" t="s">
        <v>2185</v>
      </c>
      <c r="G44" s="96"/>
      <c r="H44" s="155"/>
      <c r="I44" s="152"/>
      <c r="J44" s="152"/>
    </row>
    <row r="45" spans="1:10" ht="16.350000000000001" customHeight="1" x14ac:dyDescent="0.2">
      <c r="A45" s="421"/>
      <c r="B45" s="421"/>
      <c r="C45" s="421"/>
      <c r="D45" s="421"/>
      <c r="E45" s="421"/>
      <c r="F45" s="96" t="s">
        <v>2186</v>
      </c>
      <c r="G45" s="96"/>
      <c r="H45" s="155"/>
      <c r="I45" s="152"/>
      <c r="J45" s="152"/>
    </row>
    <row r="46" spans="1:10" ht="25.5" x14ac:dyDescent="0.2">
      <c r="A46" s="421"/>
      <c r="B46" s="421" t="s">
        <v>678</v>
      </c>
      <c r="C46" s="421" t="s">
        <v>679</v>
      </c>
      <c r="D46" s="421"/>
      <c r="E46" s="421" t="s">
        <v>511</v>
      </c>
      <c r="F46" s="96" t="s">
        <v>2187</v>
      </c>
      <c r="G46" s="117" t="s">
        <v>2231</v>
      </c>
      <c r="H46" s="154" t="s">
        <v>2467</v>
      </c>
      <c r="I46" s="152" t="s">
        <v>511</v>
      </c>
      <c r="J46" s="202" t="s">
        <v>4881</v>
      </c>
    </row>
    <row r="47" spans="1:10" ht="25.5" x14ac:dyDescent="0.2">
      <c r="A47" s="421"/>
      <c r="B47" s="421"/>
      <c r="C47" s="421"/>
      <c r="D47" s="421"/>
      <c r="E47" s="421"/>
      <c r="F47" s="96" t="s">
        <v>2188</v>
      </c>
      <c r="G47" s="117" t="s">
        <v>2233</v>
      </c>
      <c r="H47" s="154" t="s">
        <v>2467</v>
      </c>
      <c r="I47" s="152" t="s">
        <v>505</v>
      </c>
      <c r="J47" s="152"/>
    </row>
    <row r="48" spans="1:10" ht="25.5" x14ac:dyDescent="0.2">
      <c r="A48" s="421"/>
      <c r="B48" s="421"/>
      <c r="C48" s="421"/>
      <c r="D48" s="421"/>
      <c r="E48" s="421"/>
      <c r="F48" s="96" t="s">
        <v>2189</v>
      </c>
      <c r="G48" s="117" t="s">
        <v>2232</v>
      </c>
      <c r="H48" s="154" t="s">
        <v>2467</v>
      </c>
      <c r="I48" s="152" t="s">
        <v>515</v>
      </c>
      <c r="J48" s="202" t="s">
        <v>4882</v>
      </c>
    </row>
    <row r="49" spans="1:10" ht="25.5" x14ac:dyDescent="0.2">
      <c r="A49" s="421"/>
      <c r="B49" s="421"/>
      <c r="C49" s="421"/>
      <c r="D49" s="421"/>
      <c r="E49" s="421"/>
      <c r="F49" s="96" t="s">
        <v>2190</v>
      </c>
      <c r="G49" s="96" t="s">
        <v>2194</v>
      </c>
      <c r="H49" s="155" t="s">
        <v>2467</v>
      </c>
      <c r="I49" s="152" t="s">
        <v>511</v>
      </c>
      <c r="J49" s="152"/>
    </row>
    <row r="50" spans="1:10" x14ac:dyDescent="0.2">
      <c r="A50" s="421"/>
      <c r="B50" s="421"/>
      <c r="C50" s="421"/>
      <c r="D50" s="421"/>
      <c r="E50" s="421"/>
      <c r="F50" s="96" t="s">
        <v>2191</v>
      </c>
      <c r="G50" s="127" t="s">
        <v>4883</v>
      </c>
      <c r="H50" s="223" t="s">
        <v>2467</v>
      </c>
      <c r="I50" s="37" t="s">
        <v>511</v>
      </c>
      <c r="J50" s="37" t="s">
        <v>4884</v>
      </c>
    </row>
    <row r="51" spans="1:10" x14ac:dyDescent="0.2">
      <c r="A51" s="421"/>
      <c r="B51" s="421"/>
      <c r="C51" s="421"/>
      <c r="D51" s="421"/>
      <c r="E51" s="421"/>
      <c r="F51" s="96" t="s">
        <v>2192</v>
      </c>
      <c r="G51" s="96"/>
      <c r="H51" s="155"/>
      <c r="I51" s="152"/>
      <c r="J51" s="152"/>
    </row>
    <row r="52" spans="1:10" x14ac:dyDescent="0.2">
      <c r="A52" s="421"/>
      <c r="B52" s="421"/>
      <c r="C52" s="421"/>
      <c r="D52" s="421"/>
      <c r="E52" s="421"/>
      <c r="F52" s="96" t="s">
        <v>2193</v>
      </c>
      <c r="G52" s="96"/>
      <c r="H52" s="155"/>
      <c r="I52" s="152"/>
      <c r="J52" s="152"/>
    </row>
    <row r="53" spans="1:10" ht="25.5" x14ac:dyDescent="0.2">
      <c r="A53" s="421"/>
      <c r="B53" s="421" t="s">
        <v>681</v>
      </c>
      <c r="C53" s="396" t="s">
        <v>4885</v>
      </c>
      <c r="D53" s="421"/>
      <c r="E53" s="421" t="s">
        <v>511</v>
      </c>
      <c r="F53" s="96" t="s">
        <v>2195</v>
      </c>
      <c r="G53" s="96" t="s">
        <v>2234</v>
      </c>
      <c r="H53" s="154" t="s">
        <v>2467</v>
      </c>
      <c r="I53" s="152" t="s">
        <v>511</v>
      </c>
      <c r="J53" s="202" t="s">
        <v>4886</v>
      </c>
    </row>
    <row r="54" spans="1:10" x14ac:dyDescent="0.2">
      <c r="A54" s="421"/>
      <c r="B54" s="421"/>
      <c r="C54" s="421"/>
      <c r="D54" s="421"/>
      <c r="E54" s="421"/>
      <c r="F54" s="96" t="s">
        <v>2196</v>
      </c>
      <c r="G54" s="96" t="s">
        <v>2204</v>
      </c>
      <c r="H54" s="154" t="s">
        <v>2467</v>
      </c>
      <c r="I54" s="152" t="s">
        <v>511</v>
      </c>
      <c r="J54" s="152"/>
    </row>
    <row r="55" spans="1:10" ht="16.350000000000001" customHeight="1" x14ac:dyDescent="0.2">
      <c r="A55" s="421"/>
      <c r="B55" s="421"/>
      <c r="C55" s="421"/>
      <c r="D55" s="421"/>
      <c r="E55" s="421"/>
      <c r="F55" s="96" t="s">
        <v>2197</v>
      </c>
      <c r="G55" s="96" t="s">
        <v>2206</v>
      </c>
      <c r="H55" s="154" t="s">
        <v>2467</v>
      </c>
      <c r="I55" s="152" t="s">
        <v>511</v>
      </c>
      <c r="J55" s="202" t="s">
        <v>4887</v>
      </c>
    </row>
    <row r="56" spans="1:10" x14ac:dyDescent="0.2">
      <c r="A56" s="421"/>
      <c r="B56" s="421"/>
      <c r="C56" s="421"/>
      <c r="D56" s="421"/>
      <c r="E56" s="421"/>
      <c r="F56" s="96" t="s">
        <v>2198</v>
      </c>
      <c r="G56" s="96" t="s">
        <v>2235</v>
      </c>
      <c r="H56" s="154" t="s">
        <v>2467</v>
      </c>
      <c r="I56" s="152" t="s">
        <v>511</v>
      </c>
      <c r="J56" s="152"/>
    </row>
    <row r="57" spans="1:10" ht="30" x14ac:dyDescent="0.2">
      <c r="A57" s="421"/>
      <c r="B57" s="421"/>
      <c r="C57" s="421"/>
      <c r="D57" s="421"/>
      <c r="E57" s="421"/>
      <c r="F57" s="96" t="s">
        <v>2199</v>
      </c>
      <c r="G57" s="96" t="s">
        <v>2236</v>
      </c>
      <c r="H57" s="154" t="s">
        <v>2467</v>
      </c>
      <c r="I57" s="152" t="s">
        <v>515</v>
      </c>
      <c r="J57" s="202" t="s">
        <v>4888</v>
      </c>
    </row>
    <row r="58" spans="1:10" ht="45" x14ac:dyDescent="0.2">
      <c r="A58" s="421"/>
      <c r="B58" s="421"/>
      <c r="C58" s="421"/>
      <c r="D58" s="421"/>
      <c r="E58" s="421"/>
      <c r="F58" s="96" t="s">
        <v>2200</v>
      </c>
      <c r="G58" s="96" t="s">
        <v>2237</v>
      </c>
      <c r="H58" s="154" t="s">
        <v>2467</v>
      </c>
      <c r="I58" s="152" t="s">
        <v>511</v>
      </c>
      <c r="J58" s="202" t="s">
        <v>4889</v>
      </c>
    </row>
    <row r="59" spans="1:10" ht="45" x14ac:dyDescent="0.2">
      <c r="A59" s="421"/>
      <c r="B59" s="421"/>
      <c r="C59" s="421"/>
      <c r="D59" s="421"/>
      <c r="E59" s="421"/>
      <c r="F59" s="96" t="s">
        <v>2201</v>
      </c>
      <c r="G59" s="96" t="s">
        <v>2238</v>
      </c>
      <c r="H59" s="154" t="s">
        <v>2467</v>
      </c>
      <c r="I59" s="152" t="s">
        <v>515</v>
      </c>
      <c r="J59" s="202" t="s">
        <v>4889</v>
      </c>
    </row>
    <row r="60" spans="1:10" ht="45" x14ac:dyDescent="0.2">
      <c r="A60" s="421"/>
      <c r="B60" s="421"/>
      <c r="C60" s="421"/>
      <c r="D60" s="421"/>
      <c r="E60" s="421"/>
      <c r="F60" s="96" t="s">
        <v>2203</v>
      </c>
      <c r="G60" s="96" t="s">
        <v>2239</v>
      </c>
      <c r="H60" s="154" t="s">
        <v>2467</v>
      </c>
      <c r="I60" s="152" t="s">
        <v>515</v>
      </c>
      <c r="J60" s="202" t="s">
        <v>4889</v>
      </c>
    </row>
    <row r="61" spans="1:10" ht="27.4" customHeight="1" x14ac:dyDescent="0.2">
      <c r="A61" s="421"/>
      <c r="B61" s="421"/>
      <c r="C61" s="421"/>
      <c r="D61" s="421"/>
      <c r="E61" s="421"/>
      <c r="F61" s="96" t="s">
        <v>2205</v>
      </c>
      <c r="G61" s="96" t="s">
        <v>2202</v>
      </c>
      <c r="H61" s="154" t="s">
        <v>2467</v>
      </c>
      <c r="I61" s="152" t="s">
        <v>511</v>
      </c>
      <c r="J61" s="202" t="s">
        <v>4890</v>
      </c>
    </row>
    <row r="62" spans="1:10" x14ac:dyDescent="0.2">
      <c r="A62" s="421"/>
      <c r="B62" s="421" t="s">
        <v>684</v>
      </c>
      <c r="C62" s="421"/>
      <c r="D62" s="421"/>
      <c r="E62" s="421"/>
      <c r="F62" s="96" t="s">
        <v>2207</v>
      </c>
      <c r="G62" s="96"/>
      <c r="H62" s="155"/>
      <c r="I62" s="152"/>
      <c r="J62" s="152"/>
    </row>
    <row r="63" spans="1:10" x14ac:dyDescent="0.2">
      <c r="A63" s="421"/>
      <c r="B63" s="421"/>
      <c r="C63" s="421"/>
      <c r="D63" s="421"/>
      <c r="E63" s="421"/>
      <c r="F63" s="96" t="s">
        <v>2208</v>
      </c>
      <c r="G63" s="96"/>
      <c r="H63" s="155"/>
      <c r="I63" s="152"/>
      <c r="J63" s="152"/>
    </row>
    <row r="64" spans="1:10" x14ac:dyDescent="0.2">
      <c r="A64" s="421"/>
      <c r="B64" s="421"/>
      <c r="C64" s="421"/>
      <c r="D64" s="421"/>
      <c r="E64" s="421"/>
      <c r="F64" s="96" t="s">
        <v>2209</v>
      </c>
      <c r="G64" s="96"/>
      <c r="H64" s="155"/>
      <c r="I64" s="152"/>
      <c r="J64" s="152"/>
    </row>
    <row r="65" spans="1:10" x14ac:dyDescent="0.2">
      <c r="A65" s="421"/>
      <c r="B65" s="421"/>
      <c r="C65" s="421"/>
      <c r="D65" s="421"/>
      <c r="E65" s="421"/>
      <c r="F65" s="96" t="s">
        <v>2210</v>
      </c>
      <c r="G65" s="96"/>
      <c r="H65" s="155"/>
      <c r="I65" s="152"/>
      <c r="J65" s="152"/>
    </row>
    <row r="76" spans="1:10" ht="25.5" x14ac:dyDescent="0.2">
      <c r="E76" s="10" t="s">
        <v>528</v>
      </c>
    </row>
    <row r="77" spans="1:10" x14ac:dyDescent="0.2">
      <c r="E77" s="10" t="s">
        <v>511</v>
      </c>
    </row>
    <row r="78" spans="1:10" x14ac:dyDescent="0.2">
      <c r="E78" s="10" t="s">
        <v>515</v>
      </c>
    </row>
    <row r="79" spans="1:10" x14ac:dyDescent="0.2">
      <c r="E79" s="10" t="s">
        <v>505</v>
      </c>
    </row>
    <row r="80" spans="1:10" x14ac:dyDescent="0.2">
      <c r="E80" s="10" t="s">
        <v>507</v>
      </c>
    </row>
  </sheetData>
  <mergeCells count="33">
    <mergeCell ref="B37:B45"/>
    <mergeCell ref="C37:C45"/>
    <mergeCell ref="D37:D45"/>
    <mergeCell ref="E37:E45"/>
    <mergeCell ref="D62:D65"/>
    <mergeCell ref="E62:E65"/>
    <mergeCell ref="D46:D52"/>
    <mergeCell ref="E46:E52"/>
    <mergeCell ref="B53:B61"/>
    <mergeCell ref="C53:C61"/>
    <mergeCell ref="D53:D61"/>
    <mergeCell ref="E53:E61"/>
    <mergeCell ref="B28:B36"/>
    <mergeCell ref="C28:C36"/>
    <mergeCell ref="D28:D36"/>
    <mergeCell ref="E28:E36"/>
    <mergeCell ref="E19:E27"/>
    <mergeCell ref="A3:A65"/>
    <mergeCell ref="B3:B10"/>
    <mergeCell ref="C3:C10"/>
    <mergeCell ref="D3:D10"/>
    <mergeCell ref="E3:E10"/>
    <mergeCell ref="B11:B18"/>
    <mergeCell ref="C11:C18"/>
    <mergeCell ref="D11:D18"/>
    <mergeCell ref="E11:E18"/>
    <mergeCell ref="B19:B27"/>
    <mergeCell ref="B62:B65"/>
    <mergeCell ref="C62:C65"/>
    <mergeCell ref="B46:B52"/>
    <mergeCell ref="C46:C52"/>
    <mergeCell ref="C19:C27"/>
    <mergeCell ref="D19:D27"/>
  </mergeCells>
  <dataValidations count="1">
    <dataValidation type="list" allowBlank="1" showInputMessage="1" showErrorMessage="1" sqref="E3:E65 I3:I65" xr:uid="{29909C9C-A659-0D4F-9D27-4B58B2DF81A9}">
      <formula1>$E$76:$E$80</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F194C-E369-504E-AA37-704CFE5F5731}">
  <sheetPr>
    <tabColor theme="5"/>
  </sheetPr>
  <dimension ref="A1:J94"/>
  <sheetViews>
    <sheetView showGridLines="0" topLeftCell="A62" zoomScale="145" workbookViewId="0">
      <selection activeCell="A3" sqref="A3:A79"/>
    </sheetView>
  </sheetViews>
  <sheetFormatPr defaultColWidth="13.28515625" defaultRowHeight="15" x14ac:dyDescent="0.2"/>
  <cols>
    <col min="1" max="1" width="16.85546875" style="14" customWidth="1"/>
    <col min="2" max="2" width="7" style="14" customWidth="1"/>
    <col min="3" max="4" width="20.7109375" style="15" customWidth="1"/>
    <col min="5" max="5" width="15" style="15" customWidth="1"/>
    <col min="6" max="6" width="7.7109375" style="15" customWidth="1"/>
    <col min="7" max="7" width="35.85546875" style="15" customWidth="1"/>
    <col min="8" max="8" width="8.85546875" style="15" customWidth="1"/>
    <col min="9" max="9" width="18.85546875" style="15" customWidth="1"/>
    <col min="10" max="10" width="32.28515625" style="15" customWidth="1"/>
    <col min="11" max="11" width="12" style="14" customWidth="1"/>
    <col min="12" max="12" width="36.140625" style="14" customWidth="1"/>
    <col min="13"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0" ht="30" customHeight="1" x14ac:dyDescent="0.2">
      <c r="A1" s="18"/>
      <c r="B1" s="18"/>
      <c r="C1" s="19"/>
      <c r="D1" s="19"/>
      <c r="E1" s="19"/>
      <c r="F1" s="19"/>
      <c r="G1" s="19"/>
      <c r="H1" s="19"/>
      <c r="I1" s="19"/>
      <c r="J1" s="19"/>
    </row>
    <row r="2" spans="1:10" s="13" customFormat="1" ht="45" x14ac:dyDescent="0.2">
      <c r="A2" s="11" t="s">
        <v>1042</v>
      </c>
      <c r="B2" s="11" t="s">
        <v>1050</v>
      </c>
      <c r="C2" s="11" t="s">
        <v>1041</v>
      </c>
      <c r="D2" s="11" t="s">
        <v>185</v>
      </c>
      <c r="E2" s="11" t="s">
        <v>1038</v>
      </c>
      <c r="F2" s="11" t="s">
        <v>1049</v>
      </c>
      <c r="G2" s="11" t="s">
        <v>1040</v>
      </c>
      <c r="H2" s="11" t="s">
        <v>2016</v>
      </c>
      <c r="I2" s="11" t="s">
        <v>1038</v>
      </c>
      <c r="J2" s="11" t="s">
        <v>1039</v>
      </c>
    </row>
    <row r="3" spans="1:10" ht="28.35" customHeight="1" x14ac:dyDescent="0.2">
      <c r="A3" s="436" t="s">
        <v>2137</v>
      </c>
      <c r="B3" s="439" t="s">
        <v>384</v>
      </c>
      <c r="C3" s="439" t="s">
        <v>644</v>
      </c>
      <c r="D3" s="439"/>
      <c r="E3" s="439" t="s">
        <v>507</v>
      </c>
      <c r="F3" s="106" t="s">
        <v>2018</v>
      </c>
      <c r="G3" s="106" t="s">
        <v>2019</v>
      </c>
      <c r="H3" s="154"/>
      <c r="I3" s="152"/>
      <c r="J3" s="152"/>
    </row>
    <row r="4" spans="1:10" ht="25.5" x14ac:dyDescent="0.2">
      <c r="A4" s="437"/>
      <c r="B4" s="350"/>
      <c r="C4" s="350"/>
      <c r="D4" s="350"/>
      <c r="E4" s="350"/>
      <c r="F4" s="106" t="s">
        <v>2020</v>
      </c>
      <c r="G4" s="106" t="s">
        <v>2021</v>
      </c>
      <c r="H4" s="154"/>
      <c r="I4" s="152"/>
      <c r="J4" s="152"/>
    </row>
    <row r="5" spans="1:10" x14ac:dyDescent="0.2">
      <c r="A5" s="437"/>
      <c r="B5" s="350"/>
      <c r="C5" s="350"/>
      <c r="D5" s="350"/>
      <c r="E5" s="350"/>
      <c r="F5" s="106" t="s">
        <v>2022</v>
      </c>
      <c r="G5" s="106" t="s">
        <v>2023</v>
      </c>
      <c r="H5" s="155"/>
      <c r="I5" s="152"/>
      <c r="J5" s="152"/>
    </row>
    <row r="6" spans="1:10" x14ac:dyDescent="0.2">
      <c r="A6" s="437"/>
      <c r="B6" s="350"/>
      <c r="C6" s="350"/>
      <c r="D6" s="350"/>
      <c r="E6" s="350"/>
      <c r="F6" s="106" t="s">
        <v>2024</v>
      </c>
      <c r="G6" s="106" t="s">
        <v>2025</v>
      </c>
      <c r="H6" s="155"/>
      <c r="I6" s="152"/>
      <c r="J6" s="152"/>
    </row>
    <row r="7" spans="1:10" ht="25.5" x14ac:dyDescent="0.2">
      <c r="A7" s="437"/>
      <c r="B7" s="350"/>
      <c r="C7" s="350"/>
      <c r="D7" s="350"/>
      <c r="E7" s="350"/>
      <c r="F7" s="106" t="s">
        <v>2026</v>
      </c>
      <c r="G7" s="106" t="s">
        <v>2027</v>
      </c>
      <c r="H7" s="155"/>
      <c r="I7" s="152"/>
      <c r="J7" s="152"/>
    </row>
    <row r="8" spans="1:10" x14ac:dyDescent="0.2">
      <c r="A8" s="437"/>
      <c r="B8" s="351"/>
      <c r="C8" s="351"/>
      <c r="D8" s="351"/>
      <c r="E8" s="351"/>
      <c r="F8" s="106" t="s">
        <v>2028</v>
      </c>
      <c r="G8" s="106" t="s">
        <v>2029</v>
      </c>
      <c r="H8" s="155"/>
      <c r="I8" s="152"/>
      <c r="J8" s="152"/>
    </row>
    <row r="9" spans="1:10" ht="16.350000000000001" customHeight="1" x14ac:dyDescent="0.2">
      <c r="A9" s="437"/>
      <c r="B9" s="439" t="s">
        <v>385</v>
      </c>
      <c r="C9" s="439" t="s">
        <v>646</v>
      </c>
      <c r="D9" s="439"/>
      <c r="E9" s="439" t="s">
        <v>515</v>
      </c>
      <c r="F9" s="106" t="s">
        <v>2030</v>
      </c>
      <c r="G9" s="106" t="s">
        <v>2039</v>
      </c>
      <c r="H9" s="154"/>
      <c r="I9" s="152"/>
      <c r="J9" s="152"/>
    </row>
    <row r="10" spans="1:10" x14ac:dyDescent="0.2">
      <c r="A10" s="437"/>
      <c r="B10" s="350"/>
      <c r="C10" s="350"/>
      <c r="D10" s="350"/>
      <c r="E10" s="350"/>
      <c r="F10" s="106" t="s">
        <v>2032</v>
      </c>
      <c r="G10" s="22" t="s">
        <v>2041</v>
      </c>
      <c r="H10" s="154"/>
      <c r="I10" s="152"/>
      <c r="J10" s="152"/>
    </row>
    <row r="11" spans="1:10" ht="25.5" x14ac:dyDescent="0.2">
      <c r="A11" s="437"/>
      <c r="B11" s="350"/>
      <c r="C11" s="350"/>
      <c r="D11" s="350"/>
      <c r="E11" s="350"/>
      <c r="F11" s="106" t="s">
        <v>2033</v>
      </c>
      <c r="G11" s="106" t="s">
        <v>2043</v>
      </c>
      <c r="H11" s="154"/>
      <c r="I11" s="152"/>
      <c r="J11" s="152"/>
    </row>
    <row r="12" spans="1:10" x14ac:dyDescent="0.2">
      <c r="A12" s="437"/>
      <c r="B12" s="350"/>
      <c r="C12" s="350"/>
      <c r="D12" s="350"/>
      <c r="E12" s="350"/>
      <c r="F12" s="106" t="s">
        <v>2035</v>
      </c>
      <c r="G12" s="106" t="s">
        <v>2045</v>
      </c>
      <c r="H12" s="154"/>
      <c r="I12" s="152"/>
      <c r="J12" s="152"/>
    </row>
    <row r="13" spans="1:10" x14ac:dyDescent="0.2">
      <c r="A13" s="437"/>
      <c r="B13" s="350"/>
      <c r="C13" s="350"/>
      <c r="D13" s="350"/>
      <c r="E13" s="350"/>
      <c r="F13" s="106" t="s">
        <v>2037</v>
      </c>
      <c r="G13" s="106" t="s">
        <v>2047</v>
      </c>
      <c r="H13" s="154"/>
      <c r="I13" s="152"/>
      <c r="J13" s="152"/>
    </row>
    <row r="14" spans="1:10" x14ac:dyDescent="0.2">
      <c r="A14" s="437"/>
      <c r="B14" s="350"/>
      <c r="C14" s="350"/>
      <c r="D14" s="350"/>
      <c r="E14" s="350"/>
      <c r="F14" s="106" t="s">
        <v>2038</v>
      </c>
      <c r="G14" s="106"/>
      <c r="H14" s="155"/>
      <c r="I14" s="152"/>
      <c r="J14" s="152"/>
    </row>
    <row r="15" spans="1:10" x14ac:dyDescent="0.2">
      <c r="A15" s="437"/>
      <c r="B15" s="350"/>
      <c r="C15" s="350"/>
      <c r="D15" s="350"/>
      <c r="E15" s="350"/>
      <c r="F15" s="106" t="s">
        <v>2040</v>
      </c>
      <c r="G15" s="22"/>
      <c r="H15" s="155"/>
      <c r="I15" s="152"/>
      <c r="J15" s="152"/>
    </row>
    <row r="16" spans="1:10" x14ac:dyDescent="0.2">
      <c r="A16" s="437"/>
      <c r="B16" s="350"/>
      <c r="C16" s="350"/>
      <c r="D16" s="350"/>
      <c r="E16" s="350"/>
      <c r="F16" s="106" t="s">
        <v>2042</v>
      </c>
      <c r="G16" s="106"/>
      <c r="H16" s="155"/>
      <c r="I16" s="152"/>
      <c r="J16" s="152"/>
    </row>
    <row r="17" spans="1:10" x14ac:dyDescent="0.2">
      <c r="A17" s="437"/>
      <c r="B17" s="350"/>
      <c r="C17" s="350"/>
      <c r="D17" s="350"/>
      <c r="E17" s="350"/>
      <c r="F17" s="106" t="s">
        <v>2044</v>
      </c>
      <c r="G17" s="106"/>
      <c r="H17" s="155"/>
      <c r="I17" s="152"/>
      <c r="J17" s="152"/>
    </row>
    <row r="18" spans="1:10" x14ac:dyDescent="0.2">
      <c r="A18" s="437"/>
      <c r="B18" s="351"/>
      <c r="C18" s="351"/>
      <c r="D18" s="351"/>
      <c r="E18" s="351"/>
      <c r="F18" s="106" t="s">
        <v>2046</v>
      </c>
      <c r="G18" s="106"/>
      <c r="H18" s="155"/>
      <c r="I18" s="152"/>
      <c r="J18" s="152"/>
    </row>
    <row r="19" spans="1:10" ht="16.350000000000001" customHeight="1" x14ac:dyDescent="0.2">
      <c r="A19" s="437"/>
      <c r="B19" s="439" t="s">
        <v>386</v>
      </c>
      <c r="C19" s="439" t="s">
        <v>648</v>
      </c>
      <c r="D19" s="439"/>
      <c r="E19" s="439" t="s">
        <v>515</v>
      </c>
      <c r="F19" s="106" t="s">
        <v>2048</v>
      </c>
      <c r="G19" s="106" t="s">
        <v>2039</v>
      </c>
      <c r="H19" s="154"/>
      <c r="I19" s="152"/>
      <c r="J19" s="152"/>
    </row>
    <row r="20" spans="1:10" x14ac:dyDescent="0.2">
      <c r="A20" s="437"/>
      <c r="B20" s="350"/>
      <c r="C20" s="350"/>
      <c r="D20" s="350"/>
      <c r="E20" s="350"/>
      <c r="F20" s="106" t="s">
        <v>2049</v>
      </c>
      <c r="G20" s="106" t="s">
        <v>2041</v>
      </c>
      <c r="H20" s="154"/>
      <c r="I20" s="152"/>
      <c r="J20" s="152"/>
    </row>
    <row r="21" spans="1:10" ht="25.5" x14ac:dyDescent="0.2">
      <c r="A21" s="437"/>
      <c r="B21" s="350"/>
      <c r="C21" s="350"/>
      <c r="D21" s="350"/>
      <c r="E21" s="350"/>
      <c r="F21" s="106" t="s">
        <v>2050</v>
      </c>
      <c r="G21" s="106" t="s">
        <v>2043</v>
      </c>
      <c r="H21" s="154"/>
      <c r="I21" s="152"/>
      <c r="J21" s="152"/>
    </row>
    <row r="22" spans="1:10" x14ac:dyDescent="0.2">
      <c r="A22" s="437"/>
      <c r="B22" s="350"/>
      <c r="C22" s="350"/>
      <c r="D22" s="350"/>
      <c r="E22" s="350"/>
      <c r="F22" s="106" t="s">
        <v>2051</v>
      </c>
      <c r="G22" s="106" t="s">
        <v>2045</v>
      </c>
      <c r="H22" s="154"/>
      <c r="I22" s="152"/>
      <c r="J22" s="152"/>
    </row>
    <row r="23" spans="1:10" x14ac:dyDescent="0.2">
      <c r="A23" s="437"/>
      <c r="B23" s="350"/>
      <c r="C23" s="350"/>
      <c r="D23" s="350"/>
      <c r="E23" s="350"/>
      <c r="F23" s="106" t="s">
        <v>2052</v>
      </c>
      <c r="G23" s="106" t="s">
        <v>2047</v>
      </c>
      <c r="H23" s="154"/>
      <c r="I23" s="152"/>
      <c r="J23" s="152"/>
    </row>
    <row r="24" spans="1:10" x14ac:dyDescent="0.2">
      <c r="A24" s="437"/>
      <c r="B24" s="350"/>
      <c r="C24" s="350"/>
      <c r="D24" s="350"/>
      <c r="E24" s="350"/>
      <c r="F24" s="106" t="s">
        <v>2053</v>
      </c>
      <c r="G24" s="106"/>
      <c r="H24" s="154"/>
      <c r="I24" s="152"/>
      <c r="J24" s="152"/>
    </row>
    <row r="25" spans="1:10" x14ac:dyDescent="0.2">
      <c r="A25" s="437"/>
      <c r="B25" s="350"/>
      <c r="C25" s="350"/>
      <c r="D25" s="350"/>
      <c r="E25" s="350"/>
      <c r="F25" s="106" t="s">
        <v>2054</v>
      </c>
      <c r="G25" s="106"/>
      <c r="H25" s="154"/>
      <c r="I25" s="152"/>
      <c r="J25" s="152"/>
    </row>
    <row r="26" spans="1:10" x14ac:dyDescent="0.2">
      <c r="A26" s="437"/>
      <c r="B26" s="350"/>
      <c r="C26" s="350"/>
      <c r="D26" s="350"/>
      <c r="E26" s="350"/>
      <c r="F26" s="106" t="s">
        <v>2055</v>
      </c>
      <c r="G26" s="106"/>
      <c r="H26" s="154"/>
      <c r="I26" s="152"/>
      <c r="J26" s="152"/>
    </row>
    <row r="27" spans="1:10" ht="16.350000000000001" customHeight="1" x14ac:dyDescent="0.2">
      <c r="A27" s="437"/>
      <c r="B27" s="439" t="s">
        <v>387</v>
      </c>
      <c r="C27" s="439" t="s">
        <v>649</v>
      </c>
      <c r="D27" s="439"/>
      <c r="E27" s="439" t="s">
        <v>515</v>
      </c>
      <c r="F27" s="106" t="s">
        <v>2056</v>
      </c>
      <c r="G27" s="106" t="s">
        <v>2064</v>
      </c>
      <c r="H27" s="154"/>
      <c r="I27" s="152"/>
      <c r="J27" s="152"/>
    </row>
    <row r="28" spans="1:10" ht="25.5" x14ac:dyDescent="0.2">
      <c r="A28" s="437"/>
      <c r="B28" s="350"/>
      <c r="C28" s="350"/>
      <c r="D28" s="350"/>
      <c r="E28" s="350"/>
      <c r="F28" s="106" t="s">
        <v>2057</v>
      </c>
      <c r="G28" s="106" t="s">
        <v>2065</v>
      </c>
      <c r="H28" s="154"/>
      <c r="I28" s="152"/>
      <c r="J28" s="152"/>
    </row>
    <row r="29" spans="1:10" x14ac:dyDescent="0.2">
      <c r="A29" s="437"/>
      <c r="B29" s="350"/>
      <c r="C29" s="350"/>
      <c r="D29" s="350"/>
      <c r="E29" s="350"/>
      <c r="F29" s="106" t="s">
        <v>2058</v>
      </c>
      <c r="G29" s="106" t="s">
        <v>2066</v>
      </c>
      <c r="H29" s="154"/>
      <c r="I29" s="152"/>
      <c r="J29" s="152"/>
    </row>
    <row r="30" spans="1:10" x14ac:dyDescent="0.2">
      <c r="A30" s="437"/>
      <c r="B30" s="350"/>
      <c r="C30" s="350"/>
      <c r="D30" s="350"/>
      <c r="E30" s="350"/>
      <c r="F30" s="106" t="s">
        <v>2059</v>
      </c>
      <c r="G30" s="106" t="s">
        <v>2067</v>
      </c>
      <c r="H30" s="154"/>
      <c r="I30" s="152"/>
      <c r="J30" s="152"/>
    </row>
    <row r="31" spans="1:10" ht="25.5" x14ac:dyDescent="0.2">
      <c r="A31" s="437"/>
      <c r="B31" s="350"/>
      <c r="C31" s="350"/>
      <c r="D31" s="350"/>
      <c r="E31" s="350"/>
      <c r="F31" s="106" t="s">
        <v>2060</v>
      </c>
      <c r="G31" s="106" t="s">
        <v>2068</v>
      </c>
      <c r="H31" s="154"/>
      <c r="I31" s="152"/>
      <c r="J31" s="152"/>
    </row>
    <row r="32" spans="1:10" x14ac:dyDescent="0.2">
      <c r="A32" s="437"/>
      <c r="B32" s="350"/>
      <c r="C32" s="350"/>
      <c r="D32" s="350"/>
      <c r="E32" s="350"/>
      <c r="F32" s="106" t="s">
        <v>2061</v>
      </c>
      <c r="G32" s="106"/>
      <c r="H32" s="154"/>
      <c r="I32" s="152"/>
      <c r="J32" s="152"/>
    </row>
    <row r="33" spans="1:10" x14ac:dyDescent="0.2">
      <c r="A33" s="437"/>
      <c r="B33" s="350"/>
      <c r="C33" s="350"/>
      <c r="D33" s="350"/>
      <c r="E33" s="350"/>
      <c r="F33" s="106" t="s">
        <v>2062</v>
      </c>
      <c r="G33" s="106"/>
      <c r="H33" s="154"/>
      <c r="I33" s="152"/>
      <c r="J33" s="152"/>
    </row>
    <row r="34" spans="1:10" x14ac:dyDescent="0.2">
      <c r="A34" s="437"/>
      <c r="B34" s="350"/>
      <c r="C34" s="350"/>
      <c r="D34" s="350"/>
      <c r="E34" s="350"/>
      <c r="F34" s="106" t="s">
        <v>2063</v>
      </c>
      <c r="G34" s="106"/>
      <c r="H34" s="154"/>
      <c r="I34" s="152"/>
      <c r="J34" s="152"/>
    </row>
    <row r="35" spans="1:10" ht="16.350000000000001" customHeight="1" x14ac:dyDescent="0.2">
      <c r="A35" s="437"/>
      <c r="B35" s="439" t="s">
        <v>388</v>
      </c>
      <c r="C35" s="439" t="s">
        <v>651</v>
      </c>
      <c r="D35" s="439"/>
      <c r="E35" s="439" t="s">
        <v>515</v>
      </c>
      <c r="F35" s="106" t="s">
        <v>2069</v>
      </c>
      <c r="G35" s="153" t="s">
        <v>1947</v>
      </c>
      <c r="H35" s="154"/>
      <c r="I35" s="152"/>
      <c r="J35" s="152"/>
    </row>
    <row r="36" spans="1:10" x14ac:dyDescent="0.2">
      <c r="A36" s="437"/>
      <c r="B36" s="350"/>
      <c r="C36" s="350"/>
      <c r="D36" s="350"/>
      <c r="E36" s="350"/>
      <c r="F36" s="106" t="s">
        <v>2070</v>
      </c>
      <c r="G36" s="153" t="s">
        <v>1948</v>
      </c>
      <c r="H36" s="154"/>
      <c r="I36" s="152"/>
      <c r="J36" s="152"/>
    </row>
    <row r="37" spans="1:10" x14ac:dyDescent="0.2">
      <c r="A37" s="437"/>
      <c r="B37" s="350"/>
      <c r="C37" s="350"/>
      <c r="D37" s="350"/>
      <c r="E37" s="350"/>
      <c r="F37" s="106" t="s">
        <v>2071</v>
      </c>
      <c r="G37" s="153" t="s">
        <v>1949</v>
      </c>
      <c r="H37" s="154"/>
      <c r="I37" s="152"/>
      <c r="J37" s="152"/>
    </row>
    <row r="38" spans="1:10" x14ac:dyDescent="0.2">
      <c r="A38" s="437"/>
      <c r="B38" s="350"/>
      <c r="C38" s="350"/>
      <c r="D38" s="350"/>
      <c r="E38" s="350"/>
      <c r="F38" s="106" t="s">
        <v>2072</v>
      </c>
      <c r="G38" s="153" t="s">
        <v>1950</v>
      </c>
      <c r="H38" s="154"/>
      <c r="I38" s="152"/>
      <c r="J38" s="152"/>
    </row>
    <row r="39" spans="1:10" x14ac:dyDescent="0.2">
      <c r="A39" s="437"/>
      <c r="B39" s="350"/>
      <c r="C39" s="350"/>
      <c r="D39" s="350"/>
      <c r="E39" s="350"/>
      <c r="F39" s="106" t="s">
        <v>2073</v>
      </c>
      <c r="G39" s="153" t="s">
        <v>1951</v>
      </c>
      <c r="H39" s="154"/>
      <c r="I39" s="152"/>
      <c r="J39" s="152"/>
    </row>
    <row r="40" spans="1:10" x14ac:dyDescent="0.2">
      <c r="A40" s="437"/>
      <c r="B40" s="350"/>
      <c r="C40" s="350"/>
      <c r="D40" s="350"/>
      <c r="E40" s="350"/>
      <c r="F40" s="106" t="s">
        <v>2074</v>
      </c>
      <c r="G40" s="153" t="s">
        <v>1952</v>
      </c>
      <c r="H40" s="155"/>
      <c r="I40" s="152"/>
      <c r="J40" s="152"/>
    </row>
    <row r="41" spans="1:10" x14ac:dyDescent="0.2">
      <c r="A41" s="437"/>
      <c r="B41" s="350"/>
      <c r="C41" s="350"/>
      <c r="D41" s="350"/>
      <c r="E41" s="350"/>
      <c r="F41" s="106" t="s">
        <v>2075</v>
      </c>
      <c r="G41" s="106"/>
      <c r="H41" s="155"/>
      <c r="I41" s="152"/>
      <c r="J41" s="152"/>
    </row>
    <row r="42" spans="1:10" x14ac:dyDescent="0.2">
      <c r="A42" s="437"/>
      <c r="B42" s="350"/>
      <c r="C42" s="350"/>
      <c r="D42" s="350"/>
      <c r="E42" s="350"/>
      <c r="F42" s="106" t="s">
        <v>2076</v>
      </c>
      <c r="G42" s="106"/>
      <c r="H42" s="155"/>
      <c r="I42" s="152"/>
      <c r="J42" s="152"/>
    </row>
    <row r="43" spans="1:10" x14ac:dyDescent="0.2">
      <c r="A43" s="437"/>
      <c r="B43" s="350"/>
      <c r="C43" s="350"/>
      <c r="D43" s="350"/>
      <c r="E43" s="350"/>
      <c r="F43" s="106" t="s">
        <v>2077</v>
      </c>
      <c r="G43" s="106"/>
      <c r="H43" s="155"/>
      <c r="I43" s="152"/>
      <c r="J43" s="152"/>
    </row>
    <row r="44" spans="1:10" x14ac:dyDescent="0.2">
      <c r="A44" s="437"/>
      <c r="B44" s="351"/>
      <c r="C44" s="351"/>
      <c r="D44" s="351"/>
      <c r="E44" s="351"/>
      <c r="F44" s="106" t="s">
        <v>2078</v>
      </c>
      <c r="G44" s="106"/>
      <c r="H44" s="155"/>
      <c r="I44" s="152"/>
      <c r="J44" s="152"/>
    </row>
    <row r="45" spans="1:10" ht="16.350000000000001" customHeight="1" x14ac:dyDescent="0.2">
      <c r="A45" s="437"/>
      <c r="B45" s="439" t="s">
        <v>653</v>
      </c>
      <c r="C45" s="439" t="s">
        <v>654</v>
      </c>
      <c r="D45" s="439"/>
      <c r="E45" s="439" t="s">
        <v>507</v>
      </c>
      <c r="F45" s="106" t="s">
        <v>2079</v>
      </c>
      <c r="G45" s="106" t="s">
        <v>1953</v>
      </c>
      <c r="H45" s="155"/>
      <c r="I45" s="152"/>
      <c r="J45" s="152"/>
    </row>
    <row r="46" spans="1:10" x14ac:dyDescent="0.2">
      <c r="A46" s="437"/>
      <c r="B46" s="350"/>
      <c r="C46" s="350"/>
      <c r="D46" s="350"/>
      <c r="E46" s="350"/>
      <c r="F46" s="106" t="s">
        <v>2080</v>
      </c>
      <c r="G46" s="106" t="s">
        <v>1954</v>
      </c>
      <c r="H46" s="155"/>
      <c r="I46" s="152"/>
      <c r="J46" s="152"/>
    </row>
    <row r="47" spans="1:10" x14ac:dyDescent="0.2">
      <c r="A47" s="437"/>
      <c r="B47" s="350"/>
      <c r="C47" s="350"/>
      <c r="D47" s="350"/>
      <c r="E47" s="350"/>
      <c r="F47" s="106" t="s">
        <v>2081</v>
      </c>
      <c r="G47" s="106" t="s">
        <v>1955</v>
      </c>
      <c r="H47" s="155"/>
      <c r="I47" s="152"/>
      <c r="J47" s="152"/>
    </row>
    <row r="48" spans="1:10" x14ac:dyDescent="0.2">
      <c r="A48" s="437"/>
      <c r="B48" s="350"/>
      <c r="C48" s="350"/>
      <c r="D48" s="350"/>
      <c r="E48" s="350"/>
      <c r="F48" s="106" t="s">
        <v>2082</v>
      </c>
      <c r="G48" s="106" t="s">
        <v>1956</v>
      </c>
      <c r="H48" s="155"/>
      <c r="I48" s="152"/>
      <c r="J48" s="152"/>
    </row>
    <row r="49" spans="1:10" ht="25.5" x14ac:dyDescent="0.2">
      <c r="A49" s="437"/>
      <c r="B49" s="350"/>
      <c r="C49" s="350"/>
      <c r="D49" s="350"/>
      <c r="E49" s="350"/>
      <c r="F49" s="106" t="s">
        <v>2135</v>
      </c>
      <c r="G49" s="106" t="s">
        <v>1957</v>
      </c>
      <c r="H49" s="155"/>
      <c r="I49" s="152"/>
      <c r="J49" s="152"/>
    </row>
    <row r="50" spans="1:10" ht="25.5" x14ac:dyDescent="0.2">
      <c r="A50" s="437"/>
      <c r="B50" s="351"/>
      <c r="C50" s="351"/>
      <c r="D50" s="351"/>
      <c r="E50" s="351"/>
      <c r="F50" s="106" t="s">
        <v>2136</v>
      </c>
      <c r="G50" s="106" t="s">
        <v>1958</v>
      </c>
      <c r="H50" s="155"/>
      <c r="I50" s="152"/>
      <c r="J50" s="152"/>
    </row>
    <row r="51" spans="1:10" ht="16.350000000000001" customHeight="1" x14ac:dyDescent="0.2">
      <c r="A51" s="437"/>
      <c r="B51" s="439" t="s">
        <v>656</v>
      </c>
      <c r="C51" s="439" t="s">
        <v>657</v>
      </c>
      <c r="D51" s="439"/>
      <c r="E51" s="439" t="s">
        <v>511</v>
      </c>
      <c r="F51" s="106" t="s">
        <v>2083</v>
      </c>
      <c r="G51" s="153" t="s">
        <v>1959</v>
      </c>
      <c r="H51" s="155"/>
      <c r="I51" s="152"/>
      <c r="J51" s="152"/>
    </row>
    <row r="52" spans="1:10" x14ac:dyDescent="0.2">
      <c r="A52" s="437"/>
      <c r="B52" s="350"/>
      <c r="C52" s="350"/>
      <c r="D52" s="350"/>
      <c r="E52" s="350"/>
      <c r="F52" s="106" t="s">
        <v>2084</v>
      </c>
      <c r="G52" s="153" t="s">
        <v>1960</v>
      </c>
      <c r="H52" s="155"/>
      <c r="I52" s="152"/>
      <c r="J52" s="152"/>
    </row>
    <row r="53" spans="1:10" ht="25.5" x14ac:dyDescent="0.2">
      <c r="A53" s="437"/>
      <c r="B53" s="350"/>
      <c r="C53" s="350"/>
      <c r="D53" s="350"/>
      <c r="E53" s="350"/>
      <c r="F53" s="106" t="s">
        <v>2085</v>
      </c>
      <c r="G53" s="153" t="s">
        <v>1961</v>
      </c>
      <c r="H53" s="155"/>
      <c r="I53" s="152"/>
      <c r="J53" s="152"/>
    </row>
    <row r="54" spans="1:10" x14ac:dyDescent="0.2">
      <c r="A54" s="437"/>
      <c r="B54" s="350"/>
      <c r="C54" s="350"/>
      <c r="D54" s="350"/>
      <c r="E54" s="350"/>
      <c r="F54" s="106" t="s">
        <v>2086</v>
      </c>
      <c r="G54" s="153" t="s">
        <v>1962</v>
      </c>
      <c r="H54" s="155"/>
      <c r="I54" s="152"/>
      <c r="J54" s="152"/>
    </row>
    <row r="55" spans="1:10" x14ac:dyDescent="0.2">
      <c r="A55" s="437"/>
      <c r="B55" s="350"/>
      <c r="C55" s="350"/>
      <c r="D55" s="350"/>
      <c r="E55" s="350"/>
      <c r="F55" s="106" t="s">
        <v>2087</v>
      </c>
      <c r="G55" s="153" t="s">
        <v>1963</v>
      </c>
      <c r="H55" s="155"/>
      <c r="I55" s="152"/>
      <c r="J55" s="152"/>
    </row>
    <row r="56" spans="1:10" x14ac:dyDescent="0.2">
      <c r="A56" s="437"/>
      <c r="B56" s="350"/>
      <c r="C56" s="350"/>
      <c r="D56" s="350"/>
      <c r="E56" s="350"/>
      <c r="F56" s="106" t="s">
        <v>2088</v>
      </c>
      <c r="G56" s="106"/>
      <c r="H56" s="155"/>
      <c r="I56" s="152"/>
      <c r="J56" s="152"/>
    </row>
    <row r="57" spans="1:10" x14ac:dyDescent="0.2">
      <c r="A57" s="437"/>
      <c r="B57" s="351"/>
      <c r="C57" s="351"/>
      <c r="D57" s="351"/>
      <c r="E57" s="351"/>
      <c r="F57" s="106" t="s">
        <v>2089</v>
      </c>
      <c r="G57" s="106"/>
      <c r="H57" s="155"/>
      <c r="I57" s="152"/>
      <c r="J57" s="152"/>
    </row>
    <row r="58" spans="1:10" ht="16.350000000000001" customHeight="1" x14ac:dyDescent="0.2">
      <c r="A58" s="437"/>
      <c r="B58" s="439" t="s">
        <v>658</v>
      </c>
      <c r="C58" s="439" t="s">
        <v>1550</v>
      </c>
      <c r="D58" s="439"/>
      <c r="E58" s="439" t="s">
        <v>515</v>
      </c>
      <c r="F58" s="106" t="s">
        <v>2090</v>
      </c>
      <c r="G58" s="106" t="s">
        <v>2091</v>
      </c>
      <c r="H58" s="155"/>
      <c r="I58" s="152"/>
      <c r="J58" s="152"/>
    </row>
    <row r="59" spans="1:10" ht="25.5" x14ac:dyDescent="0.2">
      <c r="A59" s="437"/>
      <c r="B59" s="350"/>
      <c r="C59" s="350"/>
      <c r="D59" s="350"/>
      <c r="E59" s="350"/>
      <c r="F59" s="106" t="s">
        <v>2092</v>
      </c>
      <c r="G59" s="106" t="s">
        <v>2093</v>
      </c>
      <c r="H59" s="155"/>
      <c r="I59" s="152"/>
      <c r="J59" s="152"/>
    </row>
    <row r="60" spans="1:10" x14ac:dyDescent="0.2">
      <c r="A60" s="437"/>
      <c r="B60" s="350"/>
      <c r="C60" s="350"/>
      <c r="D60" s="350"/>
      <c r="E60" s="350"/>
      <c r="F60" s="106" t="s">
        <v>2094</v>
      </c>
      <c r="G60" s="106" t="s">
        <v>2095</v>
      </c>
      <c r="H60" s="155"/>
      <c r="I60" s="152"/>
      <c r="J60" s="152"/>
    </row>
    <row r="61" spans="1:10" ht="25.5" x14ac:dyDescent="0.2">
      <c r="A61" s="437"/>
      <c r="B61" s="351"/>
      <c r="C61" s="351"/>
      <c r="D61" s="351"/>
      <c r="E61" s="351"/>
      <c r="F61" s="106" t="s">
        <v>2096</v>
      </c>
      <c r="G61" s="106" t="s">
        <v>2097</v>
      </c>
      <c r="H61" s="155"/>
      <c r="I61" s="152"/>
      <c r="J61" s="152"/>
    </row>
    <row r="62" spans="1:10" ht="16.350000000000001" customHeight="1" x14ac:dyDescent="0.2">
      <c r="A62" s="437"/>
      <c r="B62" s="439" t="s">
        <v>659</v>
      </c>
      <c r="C62" s="439" t="s">
        <v>660</v>
      </c>
      <c r="D62" s="439"/>
      <c r="E62" s="439" t="s">
        <v>511</v>
      </c>
      <c r="F62" s="106" t="s">
        <v>2098</v>
      </c>
      <c r="G62" s="106" t="s">
        <v>2099</v>
      </c>
      <c r="H62" s="155"/>
      <c r="I62" s="152"/>
      <c r="J62" s="152"/>
    </row>
    <row r="63" spans="1:10" x14ac:dyDescent="0.2">
      <c r="A63" s="437"/>
      <c r="B63" s="350"/>
      <c r="C63" s="350"/>
      <c r="D63" s="350"/>
      <c r="E63" s="350"/>
      <c r="F63" s="106" t="s">
        <v>2100</v>
      </c>
      <c r="G63" s="106" t="s">
        <v>2101</v>
      </c>
      <c r="H63" s="155"/>
      <c r="I63" s="152"/>
      <c r="J63" s="152"/>
    </row>
    <row r="64" spans="1:10" ht="25.5" x14ac:dyDescent="0.2">
      <c r="A64" s="437"/>
      <c r="B64" s="350"/>
      <c r="C64" s="350"/>
      <c r="D64" s="350"/>
      <c r="E64" s="350"/>
      <c r="F64" s="106" t="s">
        <v>2102</v>
      </c>
      <c r="G64" s="106" t="s">
        <v>2103</v>
      </c>
      <c r="H64" s="155"/>
      <c r="I64" s="152"/>
      <c r="J64" s="152"/>
    </row>
    <row r="65" spans="1:10" x14ac:dyDescent="0.2">
      <c r="A65" s="437"/>
      <c r="B65" s="350"/>
      <c r="C65" s="350"/>
      <c r="D65" s="350"/>
      <c r="E65" s="350"/>
      <c r="F65" s="106" t="s">
        <v>2104</v>
      </c>
      <c r="G65" s="106" t="s">
        <v>2105</v>
      </c>
      <c r="H65" s="155"/>
      <c r="I65" s="152"/>
      <c r="J65" s="152"/>
    </row>
    <row r="66" spans="1:10" x14ac:dyDescent="0.2">
      <c r="A66" s="437"/>
      <c r="B66" s="351"/>
      <c r="C66" s="351"/>
      <c r="D66" s="351"/>
      <c r="E66" s="351"/>
      <c r="F66" s="106" t="s">
        <v>2106</v>
      </c>
      <c r="G66" s="106" t="s">
        <v>2107</v>
      </c>
      <c r="H66" s="155"/>
      <c r="I66" s="152"/>
      <c r="J66" s="152"/>
    </row>
    <row r="67" spans="1:10" ht="16.350000000000001" customHeight="1" x14ac:dyDescent="0.2">
      <c r="A67" s="437"/>
      <c r="B67" s="439" t="s">
        <v>661</v>
      </c>
      <c r="C67" s="439" t="s">
        <v>662</v>
      </c>
      <c r="D67" s="439"/>
      <c r="E67" s="439" t="s">
        <v>511</v>
      </c>
      <c r="F67" s="106" t="s">
        <v>2108</v>
      </c>
      <c r="G67" s="106" t="s">
        <v>2127</v>
      </c>
      <c r="H67" s="155"/>
      <c r="I67" s="152"/>
      <c r="J67" s="152"/>
    </row>
    <row r="68" spans="1:10" x14ac:dyDescent="0.2">
      <c r="A68" s="437"/>
      <c r="B68" s="350"/>
      <c r="C68" s="350"/>
      <c r="D68" s="350"/>
      <c r="E68" s="350"/>
      <c r="F68" s="106" t="s">
        <v>2110</v>
      </c>
      <c r="G68" s="106" t="s">
        <v>2128</v>
      </c>
      <c r="H68" s="155"/>
      <c r="I68" s="152"/>
      <c r="J68" s="152"/>
    </row>
    <row r="69" spans="1:10" x14ac:dyDescent="0.2">
      <c r="A69" s="437"/>
      <c r="B69" s="350"/>
      <c r="C69" s="350"/>
      <c r="D69" s="350"/>
      <c r="E69" s="350"/>
      <c r="F69" s="106" t="s">
        <v>2112</v>
      </c>
      <c r="G69" s="106" t="s">
        <v>2129</v>
      </c>
      <c r="H69" s="155"/>
      <c r="I69" s="152"/>
      <c r="J69" s="152"/>
    </row>
    <row r="70" spans="1:10" x14ac:dyDescent="0.2">
      <c r="A70" s="437"/>
      <c r="B70" s="350"/>
      <c r="C70" s="350"/>
      <c r="D70" s="350"/>
      <c r="E70" s="350"/>
      <c r="F70" s="106" t="s">
        <v>2114</v>
      </c>
      <c r="G70" s="106" t="s">
        <v>2130</v>
      </c>
      <c r="H70" s="155"/>
      <c r="I70" s="152"/>
      <c r="J70" s="152"/>
    </row>
    <row r="71" spans="1:10" x14ac:dyDescent="0.2">
      <c r="A71" s="437"/>
      <c r="B71" s="350"/>
      <c r="C71" s="350"/>
      <c r="D71" s="350"/>
      <c r="E71" s="350"/>
      <c r="F71" s="106" t="s">
        <v>2133</v>
      </c>
      <c r="G71" s="106" t="s">
        <v>2131</v>
      </c>
      <c r="H71" s="155"/>
      <c r="I71" s="152"/>
      <c r="J71" s="152"/>
    </row>
    <row r="72" spans="1:10" ht="25.5" x14ac:dyDescent="0.2">
      <c r="A72" s="437"/>
      <c r="B72" s="351"/>
      <c r="C72" s="351"/>
      <c r="D72" s="351"/>
      <c r="E72" s="351"/>
      <c r="F72" s="106" t="s">
        <v>2134</v>
      </c>
      <c r="G72" s="106" t="s">
        <v>2132</v>
      </c>
      <c r="H72" s="155"/>
      <c r="I72" s="152"/>
      <c r="J72" s="152"/>
    </row>
    <row r="73" spans="1:10" ht="16.350000000000001" customHeight="1" x14ac:dyDescent="0.2">
      <c r="A73" s="437"/>
      <c r="B73" s="439" t="s">
        <v>663</v>
      </c>
      <c r="C73" s="439" t="s">
        <v>664</v>
      </c>
      <c r="D73" s="439"/>
      <c r="E73" s="439" t="s">
        <v>511</v>
      </c>
      <c r="F73" s="106" t="s">
        <v>2116</v>
      </c>
      <c r="G73" s="106" t="s">
        <v>2109</v>
      </c>
      <c r="H73" s="155"/>
      <c r="I73" s="152"/>
      <c r="J73" s="152"/>
    </row>
    <row r="74" spans="1:10" ht="25.5" x14ac:dyDescent="0.2">
      <c r="A74" s="437"/>
      <c r="B74" s="350"/>
      <c r="C74" s="350"/>
      <c r="D74" s="350"/>
      <c r="E74" s="350"/>
      <c r="F74" s="106" t="s">
        <v>2117</v>
      </c>
      <c r="G74" s="106" t="s">
        <v>2111</v>
      </c>
      <c r="H74" s="155"/>
      <c r="I74" s="152"/>
      <c r="J74" s="152"/>
    </row>
    <row r="75" spans="1:10" x14ac:dyDescent="0.2">
      <c r="A75" s="437"/>
      <c r="B75" s="350"/>
      <c r="C75" s="350"/>
      <c r="D75" s="350"/>
      <c r="E75" s="350"/>
      <c r="F75" s="106" t="s">
        <v>2118</v>
      </c>
      <c r="G75" s="106" t="s">
        <v>2113</v>
      </c>
      <c r="H75" s="155"/>
      <c r="I75" s="152"/>
      <c r="J75" s="152"/>
    </row>
    <row r="76" spans="1:10" x14ac:dyDescent="0.2">
      <c r="A76" s="437"/>
      <c r="B76" s="351"/>
      <c r="C76" s="351"/>
      <c r="D76" s="351"/>
      <c r="E76" s="351"/>
      <c r="F76" s="106" t="s">
        <v>2119</v>
      </c>
      <c r="G76" s="106" t="s">
        <v>2115</v>
      </c>
      <c r="H76" s="155"/>
      <c r="I76" s="152"/>
      <c r="J76" s="152"/>
    </row>
    <row r="77" spans="1:10" ht="16.350000000000001" customHeight="1" x14ac:dyDescent="0.2">
      <c r="A77" s="437"/>
      <c r="B77" s="439" t="s">
        <v>665</v>
      </c>
      <c r="C77" s="439" t="s">
        <v>2120</v>
      </c>
      <c r="D77" s="439"/>
      <c r="E77" s="439" t="s">
        <v>515</v>
      </c>
      <c r="F77" s="106" t="s">
        <v>2121</v>
      </c>
      <c r="G77" s="106" t="s">
        <v>2122</v>
      </c>
      <c r="H77" s="155"/>
      <c r="I77" s="152"/>
      <c r="J77" s="152"/>
    </row>
    <row r="78" spans="1:10" ht="25.5" x14ac:dyDescent="0.2">
      <c r="A78" s="437"/>
      <c r="B78" s="350"/>
      <c r="C78" s="350"/>
      <c r="D78" s="350"/>
      <c r="E78" s="350"/>
      <c r="F78" s="106" t="s">
        <v>2123</v>
      </c>
      <c r="G78" s="106" t="s">
        <v>2124</v>
      </c>
      <c r="H78" s="155"/>
      <c r="I78" s="152"/>
      <c r="J78" s="152"/>
    </row>
    <row r="79" spans="1:10" ht="25.5" x14ac:dyDescent="0.2">
      <c r="A79" s="438"/>
      <c r="B79" s="351"/>
      <c r="C79" s="351"/>
      <c r="D79" s="351"/>
      <c r="E79" s="351"/>
      <c r="F79" s="106" t="s">
        <v>2125</v>
      </c>
      <c r="G79" s="22" t="s">
        <v>2126</v>
      </c>
      <c r="H79" s="155"/>
      <c r="I79" s="152"/>
      <c r="J79" s="152"/>
    </row>
    <row r="90" spans="5:5" ht="25.5" x14ac:dyDescent="0.2">
      <c r="E90" s="10" t="s">
        <v>528</v>
      </c>
    </row>
    <row r="91" spans="5:5" x14ac:dyDescent="0.2">
      <c r="E91" s="10" t="s">
        <v>511</v>
      </c>
    </row>
    <row r="92" spans="5:5" x14ac:dyDescent="0.2">
      <c r="E92" s="10" t="s">
        <v>515</v>
      </c>
    </row>
    <row r="93" spans="5:5" x14ac:dyDescent="0.2">
      <c r="E93" s="10" t="s">
        <v>505</v>
      </c>
    </row>
    <row r="94" spans="5:5" x14ac:dyDescent="0.2">
      <c r="E94" s="10" t="s">
        <v>507</v>
      </c>
    </row>
  </sheetData>
  <mergeCells count="49">
    <mergeCell ref="B77:B79"/>
    <mergeCell ref="C77:C79"/>
    <mergeCell ref="D77:D79"/>
    <mergeCell ref="E77:E79"/>
    <mergeCell ref="B67:B72"/>
    <mergeCell ref="C67:C72"/>
    <mergeCell ref="D67:D72"/>
    <mergeCell ref="E67:E72"/>
    <mergeCell ref="B73:B76"/>
    <mergeCell ref="C73:C76"/>
    <mergeCell ref="D73:D76"/>
    <mergeCell ref="E73:E76"/>
    <mergeCell ref="B58:B61"/>
    <mergeCell ref="C58:C61"/>
    <mergeCell ref="D58:D61"/>
    <mergeCell ref="E58:E61"/>
    <mergeCell ref="B62:B66"/>
    <mergeCell ref="C62:C66"/>
    <mergeCell ref="D62:D66"/>
    <mergeCell ref="E62:E66"/>
    <mergeCell ref="B45:B50"/>
    <mergeCell ref="C45:C50"/>
    <mergeCell ref="D45:D50"/>
    <mergeCell ref="E45:E50"/>
    <mergeCell ref="B51:B57"/>
    <mergeCell ref="C51:C57"/>
    <mergeCell ref="D51:D57"/>
    <mergeCell ref="E51:E57"/>
    <mergeCell ref="E27:E34"/>
    <mergeCell ref="B35:B44"/>
    <mergeCell ref="C35:C44"/>
    <mergeCell ref="D35:D44"/>
    <mergeCell ref="E35:E44"/>
    <mergeCell ref="A3:A79"/>
    <mergeCell ref="B3:B8"/>
    <mergeCell ref="C3:C8"/>
    <mergeCell ref="D3:D8"/>
    <mergeCell ref="E3:E8"/>
    <mergeCell ref="B9:B18"/>
    <mergeCell ref="C9:C18"/>
    <mergeCell ref="D9:D18"/>
    <mergeCell ref="E9:E18"/>
    <mergeCell ref="B19:B26"/>
    <mergeCell ref="C19:C26"/>
    <mergeCell ref="D19:D26"/>
    <mergeCell ref="E19:E26"/>
    <mergeCell ref="B27:B34"/>
    <mergeCell ref="C27:C34"/>
    <mergeCell ref="D27:D34"/>
  </mergeCells>
  <phoneticPr fontId="14" type="noConversion"/>
  <dataValidations count="1">
    <dataValidation type="list" allowBlank="1" showInputMessage="1" showErrorMessage="1" sqref="I3:I79 E3:E79" xr:uid="{CA38ED1A-9FB4-3042-95A8-08B34F2B4EEB}">
      <formula1>$E$90:$E$94</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8E30-EDF9-C643-BCB4-1C2F053DF131}">
  <sheetPr>
    <tabColor theme="5"/>
  </sheetPr>
  <dimension ref="A1:K66"/>
  <sheetViews>
    <sheetView showGridLines="0" topLeftCell="A16" zoomScale="82" workbookViewId="0">
      <selection activeCell="I49" sqref="I49"/>
    </sheetView>
  </sheetViews>
  <sheetFormatPr defaultColWidth="13.28515625" defaultRowHeight="15" x14ac:dyDescent="0.2"/>
  <cols>
    <col min="1" max="1" width="16.85546875" style="15" customWidth="1"/>
    <col min="2" max="2" width="7" style="15" customWidth="1"/>
    <col min="3" max="4" width="20.7109375" style="15" customWidth="1"/>
    <col min="5" max="5" width="13.28515625" style="15" customWidth="1"/>
    <col min="6" max="6" width="7" style="15" customWidth="1"/>
    <col min="7" max="7" width="39.140625" style="15" customWidth="1"/>
    <col min="8" max="8" width="11" style="15" customWidth="1"/>
    <col min="9" max="9" width="23.42578125" style="15" customWidth="1"/>
    <col min="10" max="10" width="2.85546875" style="15" customWidth="1"/>
    <col min="11" max="11" width="38.140625" style="15" customWidth="1"/>
    <col min="12" max="45" width="12" style="15" customWidth="1"/>
    <col min="46" max="253" width="13.28515625" style="15"/>
    <col min="254" max="254" width="40.28515625" style="15" customWidth="1"/>
    <col min="255" max="255" width="48.85546875" style="15" customWidth="1"/>
    <col min="256" max="256" width="53.28515625" style="15" customWidth="1"/>
    <col min="257" max="257" width="56.28515625" style="15" customWidth="1"/>
    <col min="258" max="301" width="12" style="15" customWidth="1"/>
    <col min="302" max="509" width="13.28515625" style="15"/>
    <col min="510" max="510" width="40.28515625" style="15" customWidth="1"/>
    <col min="511" max="511" width="48.85546875" style="15" customWidth="1"/>
    <col min="512" max="512" width="53.28515625" style="15" customWidth="1"/>
    <col min="513" max="513" width="56.28515625" style="15" customWidth="1"/>
    <col min="514" max="557" width="12" style="15" customWidth="1"/>
    <col min="558" max="765" width="13.28515625" style="15"/>
    <col min="766" max="766" width="40.28515625" style="15" customWidth="1"/>
    <col min="767" max="767" width="48.85546875" style="15" customWidth="1"/>
    <col min="768" max="768" width="53.28515625" style="15" customWidth="1"/>
    <col min="769" max="769" width="56.28515625" style="15" customWidth="1"/>
    <col min="770" max="813" width="12" style="15" customWidth="1"/>
    <col min="814" max="1021" width="13.28515625" style="15"/>
    <col min="1022" max="1022" width="40.28515625" style="15" customWidth="1"/>
    <col min="1023" max="1023" width="48.85546875" style="15" customWidth="1"/>
    <col min="1024" max="1024" width="53.28515625" style="15" customWidth="1"/>
    <col min="1025" max="1025" width="56.28515625" style="15" customWidth="1"/>
    <col min="1026" max="1069" width="12" style="15" customWidth="1"/>
    <col min="1070" max="1277" width="13.28515625" style="15"/>
    <col min="1278" max="1278" width="40.28515625" style="15" customWidth="1"/>
    <col min="1279" max="1279" width="48.85546875" style="15" customWidth="1"/>
    <col min="1280" max="1280" width="53.28515625" style="15" customWidth="1"/>
    <col min="1281" max="1281" width="56.28515625" style="15" customWidth="1"/>
    <col min="1282" max="1325" width="12" style="15" customWidth="1"/>
    <col min="1326" max="1533" width="13.28515625" style="15"/>
    <col min="1534" max="1534" width="40.28515625" style="15" customWidth="1"/>
    <col min="1535" max="1535" width="48.85546875" style="15" customWidth="1"/>
    <col min="1536" max="1536" width="53.28515625" style="15" customWidth="1"/>
    <col min="1537" max="1537" width="56.28515625" style="15" customWidth="1"/>
    <col min="1538" max="1581" width="12" style="15" customWidth="1"/>
    <col min="1582" max="1789" width="13.28515625" style="15"/>
    <col min="1790" max="1790" width="40.28515625" style="15" customWidth="1"/>
    <col min="1791" max="1791" width="48.85546875" style="15" customWidth="1"/>
    <col min="1792" max="1792" width="53.28515625" style="15" customWidth="1"/>
    <col min="1793" max="1793" width="56.28515625" style="15" customWidth="1"/>
    <col min="1794" max="1837" width="12" style="15" customWidth="1"/>
    <col min="1838" max="2045" width="13.28515625" style="15"/>
    <col min="2046" max="2046" width="40.28515625" style="15" customWidth="1"/>
    <col min="2047" max="2047" width="48.85546875" style="15" customWidth="1"/>
    <col min="2048" max="2048" width="53.28515625" style="15" customWidth="1"/>
    <col min="2049" max="2049" width="56.28515625" style="15" customWidth="1"/>
    <col min="2050" max="2093" width="12" style="15" customWidth="1"/>
    <col min="2094" max="2301" width="13.28515625" style="15"/>
    <col min="2302" max="2302" width="40.28515625" style="15" customWidth="1"/>
    <col min="2303" max="2303" width="48.85546875" style="15" customWidth="1"/>
    <col min="2304" max="2304" width="53.28515625" style="15" customWidth="1"/>
    <col min="2305" max="2305" width="56.28515625" style="15" customWidth="1"/>
    <col min="2306" max="2349" width="12" style="15" customWidth="1"/>
    <col min="2350" max="2557" width="13.28515625" style="15"/>
    <col min="2558" max="2558" width="40.28515625" style="15" customWidth="1"/>
    <col min="2559" max="2559" width="48.85546875" style="15" customWidth="1"/>
    <col min="2560" max="2560" width="53.28515625" style="15" customWidth="1"/>
    <col min="2561" max="2561" width="56.28515625" style="15" customWidth="1"/>
    <col min="2562" max="2605" width="12" style="15" customWidth="1"/>
    <col min="2606" max="2813" width="13.28515625" style="15"/>
    <col min="2814" max="2814" width="40.28515625" style="15" customWidth="1"/>
    <col min="2815" max="2815" width="48.85546875" style="15" customWidth="1"/>
    <col min="2816" max="2816" width="53.28515625" style="15" customWidth="1"/>
    <col min="2817" max="2817" width="56.28515625" style="15" customWidth="1"/>
    <col min="2818" max="2861" width="12" style="15" customWidth="1"/>
    <col min="2862" max="3069" width="13.28515625" style="15"/>
    <col min="3070" max="3070" width="40.28515625" style="15" customWidth="1"/>
    <col min="3071" max="3071" width="48.85546875" style="15" customWidth="1"/>
    <col min="3072" max="3072" width="53.28515625" style="15" customWidth="1"/>
    <col min="3073" max="3073" width="56.28515625" style="15" customWidth="1"/>
    <col min="3074" max="3117" width="12" style="15" customWidth="1"/>
    <col min="3118" max="3325" width="13.28515625" style="15"/>
    <col min="3326" max="3326" width="40.28515625" style="15" customWidth="1"/>
    <col min="3327" max="3327" width="48.85546875" style="15" customWidth="1"/>
    <col min="3328" max="3328" width="53.28515625" style="15" customWidth="1"/>
    <col min="3329" max="3329" width="56.28515625" style="15" customWidth="1"/>
    <col min="3330" max="3373" width="12" style="15" customWidth="1"/>
    <col min="3374" max="3581" width="13.28515625" style="15"/>
    <col min="3582" max="3582" width="40.28515625" style="15" customWidth="1"/>
    <col min="3583" max="3583" width="48.85546875" style="15" customWidth="1"/>
    <col min="3584" max="3584" width="53.28515625" style="15" customWidth="1"/>
    <col min="3585" max="3585" width="56.28515625" style="15" customWidth="1"/>
    <col min="3586" max="3629" width="12" style="15" customWidth="1"/>
    <col min="3630" max="3837" width="13.28515625" style="15"/>
    <col min="3838" max="3838" width="40.28515625" style="15" customWidth="1"/>
    <col min="3839" max="3839" width="48.85546875" style="15" customWidth="1"/>
    <col min="3840" max="3840" width="53.28515625" style="15" customWidth="1"/>
    <col min="3841" max="3841" width="56.28515625" style="15" customWidth="1"/>
    <col min="3842" max="3885" width="12" style="15" customWidth="1"/>
    <col min="3886" max="4093" width="13.28515625" style="15"/>
    <col min="4094" max="4094" width="40.28515625" style="15" customWidth="1"/>
    <col min="4095" max="4095" width="48.85546875" style="15" customWidth="1"/>
    <col min="4096" max="4096" width="53.28515625" style="15" customWidth="1"/>
    <col min="4097" max="4097" width="56.28515625" style="15" customWidth="1"/>
    <col min="4098" max="4141" width="12" style="15" customWidth="1"/>
    <col min="4142" max="4349" width="13.28515625" style="15"/>
    <col min="4350" max="4350" width="40.28515625" style="15" customWidth="1"/>
    <col min="4351" max="4351" width="48.85546875" style="15" customWidth="1"/>
    <col min="4352" max="4352" width="53.28515625" style="15" customWidth="1"/>
    <col min="4353" max="4353" width="56.28515625" style="15" customWidth="1"/>
    <col min="4354" max="4397" width="12" style="15" customWidth="1"/>
    <col min="4398" max="4605" width="13.28515625" style="15"/>
    <col min="4606" max="4606" width="40.28515625" style="15" customWidth="1"/>
    <col min="4607" max="4607" width="48.85546875" style="15" customWidth="1"/>
    <col min="4608" max="4608" width="53.28515625" style="15" customWidth="1"/>
    <col min="4609" max="4609" width="56.28515625" style="15" customWidth="1"/>
    <col min="4610" max="4653" width="12" style="15" customWidth="1"/>
    <col min="4654" max="4861" width="13.28515625" style="15"/>
    <col min="4862" max="4862" width="40.28515625" style="15" customWidth="1"/>
    <col min="4863" max="4863" width="48.85546875" style="15" customWidth="1"/>
    <col min="4864" max="4864" width="53.28515625" style="15" customWidth="1"/>
    <col min="4865" max="4865" width="56.28515625" style="15" customWidth="1"/>
    <col min="4866" max="4909" width="12" style="15" customWidth="1"/>
    <col min="4910" max="5117" width="13.28515625" style="15"/>
    <col min="5118" max="5118" width="40.28515625" style="15" customWidth="1"/>
    <col min="5119" max="5119" width="48.85546875" style="15" customWidth="1"/>
    <col min="5120" max="5120" width="53.28515625" style="15" customWidth="1"/>
    <col min="5121" max="5121" width="56.28515625" style="15" customWidth="1"/>
    <col min="5122" max="5165" width="12" style="15" customWidth="1"/>
    <col min="5166" max="5373" width="13.28515625" style="15"/>
    <col min="5374" max="5374" width="40.28515625" style="15" customWidth="1"/>
    <col min="5375" max="5375" width="48.85546875" style="15" customWidth="1"/>
    <col min="5376" max="5376" width="53.28515625" style="15" customWidth="1"/>
    <col min="5377" max="5377" width="56.28515625" style="15" customWidth="1"/>
    <col min="5378" max="5421" width="12" style="15" customWidth="1"/>
    <col min="5422" max="5629" width="13.28515625" style="15"/>
    <col min="5630" max="5630" width="40.28515625" style="15" customWidth="1"/>
    <col min="5631" max="5631" width="48.85546875" style="15" customWidth="1"/>
    <col min="5632" max="5632" width="53.28515625" style="15" customWidth="1"/>
    <col min="5633" max="5633" width="56.28515625" style="15" customWidth="1"/>
    <col min="5634" max="5677" width="12" style="15" customWidth="1"/>
    <col min="5678" max="5885" width="13.28515625" style="15"/>
    <col min="5886" max="5886" width="40.28515625" style="15" customWidth="1"/>
    <col min="5887" max="5887" width="48.85546875" style="15" customWidth="1"/>
    <col min="5888" max="5888" width="53.28515625" style="15" customWidth="1"/>
    <col min="5889" max="5889" width="56.28515625" style="15" customWidth="1"/>
    <col min="5890" max="5933" width="12" style="15" customWidth="1"/>
    <col min="5934" max="6141" width="13.28515625" style="15"/>
    <col min="6142" max="6142" width="40.28515625" style="15" customWidth="1"/>
    <col min="6143" max="6143" width="48.85546875" style="15" customWidth="1"/>
    <col min="6144" max="6144" width="53.28515625" style="15" customWidth="1"/>
    <col min="6145" max="6145" width="56.28515625" style="15" customWidth="1"/>
    <col min="6146" max="6189" width="12" style="15" customWidth="1"/>
    <col min="6190" max="6397" width="13.28515625" style="15"/>
    <col min="6398" max="6398" width="40.28515625" style="15" customWidth="1"/>
    <col min="6399" max="6399" width="48.85546875" style="15" customWidth="1"/>
    <col min="6400" max="6400" width="53.28515625" style="15" customWidth="1"/>
    <col min="6401" max="6401" width="56.28515625" style="15" customWidth="1"/>
    <col min="6402" max="6445" width="12" style="15" customWidth="1"/>
    <col min="6446" max="6653" width="13.28515625" style="15"/>
    <col min="6654" max="6654" width="40.28515625" style="15" customWidth="1"/>
    <col min="6655" max="6655" width="48.85546875" style="15" customWidth="1"/>
    <col min="6656" max="6656" width="53.28515625" style="15" customWidth="1"/>
    <col min="6657" max="6657" width="56.28515625" style="15" customWidth="1"/>
    <col min="6658" max="6701" width="12" style="15" customWidth="1"/>
    <col min="6702" max="6909" width="13.28515625" style="15"/>
    <col min="6910" max="6910" width="40.28515625" style="15" customWidth="1"/>
    <col min="6911" max="6911" width="48.85546875" style="15" customWidth="1"/>
    <col min="6912" max="6912" width="53.28515625" style="15" customWidth="1"/>
    <col min="6913" max="6913" width="56.28515625" style="15" customWidth="1"/>
    <col min="6914" max="6957" width="12" style="15" customWidth="1"/>
    <col min="6958" max="7165" width="13.28515625" style="15"/>
    <col min="7166" max="7166" width="40.28515625" style="15" customWidth="1"/>
    <col min="7167" max="7167" width="48.85546875" style="15" customWidth="1"/>
    <col min="7168" max="7168" width="53.28515625" style="15" customWidth="1"/>
    <col min="7169" max="7169" width="56.28515625" style="15" customWidth="1"/>
    <col min="7170" max="7213" width="12" style="15" customWidth="1"/>
    <col min="7214" max="7421" width="13.28515625" style="15"/>
    <col min="7422" max="7422" width="40.28515625" style="15" customWidth="1"/>
    <col min="7423" max="7423" width="48.85546875" style="15" customWidth="1"/>
    <col min="7424" max="7424" width="53.28515625" style="15" customWidth="1"/>
    <col min="7425" max="7425" width="56.28515625" style="15" customWidth="1"/>
    <col min="7426" max="7469" width="12" style="15" customWidth="1"/>
    <col min="7470" max="7677" width="13.28515625" style="15"/>
    <col min="7678" max="7678" width="40.28515625" style="15" customWidth="1"/>
    <col min="7679" max="7679" width="48.85546875" style="15" customWidth="1"/>
    <col min="7680" max="7680" width="53.28515625" style="15" customWidth="1"/>
    <col min="7681" max="7681" width="56.28515625" style="15" customWidth="1"/>
    <col min="7682" max="7725" width="12" style="15" customWidth="1"/>
    <col min="7726" max="7933" width="13.28515625" style="15"/>
    <col min="7934" max="7934" width="40.28515625" style="15" customWidth="1"/>
    <col min="7935" max="7935" width="48.85546875" style="15" customWidth="1"/>
    <col min="7936" max="7936" width="53.28515625" style="15" customWidth="1"/>
    <col min="7937" max="7937" width="56.28515625" style="15" customWidth="1"/>
    <col min="7938" max="7981" width="12" style="15" customWidth="1"/>
    <col min="7982" max="8189" width="13.28515625" style="15"/>
    <col min="8190" max="8190" width="40.28515625" style="15" customWidth="1"/>
    <col min="8191" max="8191" width="48.85546875" style="15" customWidth="1"/>
    <col min="8192" max="8192" width="53.28515625" style="15" customWidth="1"/>
    <col min="8193" max="8193" width="56.28515625" style="15" customWidth="1"/>
    <col min="8194" max="8237" width="12" style="15" customWidth="1"/>
    <col min="8238" max="8445" width="13.28515625" style="15"/>
    <col min="8446" max="8446" width="40.28515625" style="15" customWidth="1"/>
    <col min="8447" max="8447" width="48.85546875" style="15" customWidth="1"/>
    <col min="8448" max="8448" width="53.28515625" style="15" customWidth="1"/>
    <col min="8449" max="8449" width="56.28515625" style="15" customWidth="1"/>
    <col min="8450" max="8493" width="12" style="15" customWidth="1"/>
    <col min="8494" max="8701" width="13.28515625" style="15"/>
    <col min="8702" max="8702" width="40.28515625" style="15" customWidth="1"/>
    <col min="8703" max="8703" width="48.85546875" style="15" customWidth="1"/>
    <col min="8704" max="8704" width="53.28515625" style="15" customWidth="1"/>
    <col min="8705" max="8705" width="56.28515625" style="15" customWidth="1"/>
    <col min="8706" max="8749" width="12" style="15" customWidth="1"/>
    <col min="8750" max="8957" width="13.28515625" style="15"/>
    <col min="8958" max="8958" width="40.28515625" style="15" customWidth="1"/>
    <col min="8959" max="8959" width="48.85546875" style="15" customWidth="1"/>
    <col min="8960" max="8960" width="53.28515625" style="15" customWidth="1"/>
    <col min="8961" max="8961" width="56.28515625" style="15" customWidth="1"/>
    <col min="8962" max="9005" width="12" style="15" customWidth="1"/>
    <col min="9006" max="9213" width="13.28515625" style="15"/>
    <col min="9214" max="9214" width="40.28515625" style="15" customWidth="1"/>
    <col min="9215" max="9215" width="48.85546875" style="15" customWidth="1"/>
    <col min="9216" max="9216" width="53.28515625" style="15" customWidth="1"/>
    <col min="9217" max="9217" width="56.28515625" style="15" customWidth="1"/>
    <col min="9218" max="9261" width="12" style="15" customWidth="1"/>
    <col min="9262" max="9469" width="13.28515625" style="15"/>
    <col min="9470" max="9470" width="40.28515625" style="15" customWidth="1"/>
    <col min="9471" max="9471" width="48.85546875" style="15" customWidth="1"/>
    <col min="9472" max="9472" width="53.28515625" style="15" customWidth="1"/>
    <col min="9473" max="9473" width="56.28515625" style="15" customWidth="1"/>
    <col min="9474" max="9517" width="12" style="15" customWidth="1"/>
    <col min="9518" max="9725" width="13.28515625" style="15"/>
    <col min="9726" max="9726" width="40.28515625" style="15" customWidth="1"/>
    <col min="9727" max="9727" width="48.85546875" style="15" customWidth="1"/>
    <col min="9728" max="9728" width="53.28515625" style="15" customWidth="1"/>
    <col min="9729" max="9729" width="56.28515625" style="15" customWidth="1"/>
    <col min="9730" max="9773" width="12" style="15" customWidth="1"/>
    <col min="9774" max="9981" width="13.28515625" style="15"/>
    <col min="9982" max="9982" width="40.28515625" style="15" customWidth="1"/>
    <col min="9983" max="9983" width="48.85546875" style="15" customWidth="1"/>
    <col min="9984" max="9984" width="53.28515625" style="15" customWidth="1"/>
    <col min="9985" max="9985" width="56.28515625" style="15" customWidth="1"/>
    <col min="9986" max="10029" width="12" style="15" customWidth="1"/>
    <col min="10030" max="10237" width="13.28515625" style="15"/>
    <col min="10238" max="10238" width="40.28515625" style="15" customWidth="1"/>
    <col min="10239" max="10239" width="48.85546875" style="15" customWidth="1"/>
    <col min="10240" max="10240" width="53.28515625" style="15" customWidth="1"/>
    <col min="10241" max="10241" width="56.28515625" style="15" customWidth="1"/>
    <col min="10242" max="10285" width="12" style="15" customWidth="1"/>
    <col min="10286" max="10493" width="13.28515625" style="15"/>
    <col min="10494" max="10494" width="40.28515625" style="15" customWidth="1"/>
    <col min="10495" max="10495" width="48.85546875" style="15" customWidth="1"/>
    <col min="10496" max="10496" width="53.28515625" style="15" customWidth="1"/>
    <col min="10497" max="10497" width="56.28515625" style="15" customWidth="1"/>
    <col min="10498" max="10541" width="12" style="15" customWidth="1"/>
    <col min="10542" max="10749" width="13.28515625" style="15"/>
    <col min="10750" max="10750" width="40.28515625" style="15" customWidth="1"/>
    <col min="10751" max="10751" width="48.85546875" style="15" customWidth="1"/>
    <col min="10752" max="10752" width="53.28515625" style="15" customWidth="1"/>
    <col min="10753" max="10753" width="56.28515625" style="15" customWidth="1"/>
    <col min="10754" max="10797" width="12" style="15" customWidth="1"/>
    <col min="10798" max="11005" width="13.28515625" style="15"/>
    <col min="11006" max="11006" width="40.28515625" style="15" customWidth="1"/>
    <col min="11007" max="11007" width="48.85546875" style="15" customWidth="1"/>
    <col min="11008" max="11008" width="53.28515625" style="15" customWidth="1"/>
    <col min="11009" max="11009" width="56.28515625" style="15" customWidth="1"/>
    <col min="11010" max="11053" width="12" style="15" customWidth="1"/>
    <col min="11054" max="11261" width="13.28515625" style="15"/>
    <col min="11262" max="11262" width="40.28515625" style="15" customWidth="1"/>
    <col min="11263" max="11263" width="48.85546875" style="15" customWidth="1"/>
    <col min="11264" max="11264" width="53.28515625" style="15" customWidth="1"/>
    <col min="11265" max="11265" width="56.28515625" style="15" customWidth="1"/>
    <col min="11266" max="11309" width="12" style="15" customWidth="1"/>
    <col min="11310" max="11517" width="13.28515625" style="15"/>
    <col min="11518" max="11518" width="40.28515625" style="15" customWidth="1"/>
    <col min="11519" max="11519" width="48.85546875" style="15" customWidth="1"/>
    <col min="11520" max="11520" width="53.28515625" style="15" customWidth="1"/>
    <col min="11521" max="11521" width="56.28515625" style="15" customWidth="1"/>
    <col min="11522" max="11565" width="12" style="15" customWidth="1"/>
    <col min="11566" max="11773" width="13.28515625" style="15"/>
    <col min="11774" max="11774" width="40.28515625" style="15" customWidth="1"/>
    <col min="11775" max="11775" width="48.85546875" style="15" customWidth="1"/>
    <col min="11776" max="11776" width="53.28515625" style="15" customWidth="1"/>
    <col min="11777" max="11777" width="56.28515625" style="15" customWidth="1"/>
    <col min="11778" max="11821" width="12" style="15" customWidth="1"/>
    <col min="11822" max="12029" width="13.28515625" style="15"/>
    <col min="12030" max="12030" width="40.28515625" style="15" customWidth="1"/>
    <col min="12031" max="12031" width="48.85546875" style="15" customWidth="1"/>
    <col min="12032" max="12032" width="53.28515625" style="15" customWidth="1"/>
    <col min="12033" max="12033" width="56.28515625" style="15" customWidth="1"/>
    <col min="12034" max="12077" width="12" style="15" customWidth="1"/>
    <col min="12078" max="12285" width="13.28515625" style="15"/>
    <col min="12286" max="12286" width="40.28515625" style="15" customWidth="1"/>
    <col min="12287" max="12287" width="48.85546875" style="15" customWidth="1"/>
    <col min="12288" max="12288" width="53.28515625" style="15" customWidth="1"/>
    <col min="12289" max="12289" width="56.28515625" style="15" customWidth="1"/>
    <col min="12290" max="12333" width="12" style="15" customWidth="1"/>
    <col min="12334" max="12541" width="13.28515625" style="15"/>
    <col min="12542" max="12542" width="40.28515625" style="15" customWidth="1"/>
    <col min="12543" max="12543" width="48.85546875" style="15" customWidth="1"/>
    <col min="12544" max="12544" width="53.28515625" style="15" customWidth="1"/>
    <col min="12545" max="12545" width="56.28515625" style="15" customWidth="1"/>
    <col min="12546" max="12589" width="12" style="15" customWidth="1"/>
    <col min="12590" max="12797" width="13.28515625" style="15"/>
    <col min="12798" max="12798" width="40.28515625" style="15" customWidth="1"/>
    <col min="12799" max="12799" width="48.85546875" style="15" customWidth="1"/>
    <col min="12800" max="12800" width="53.28515625" style="15" customWidth="1"/>
    <col min="12801" max="12801" width="56.28515625" style="15" customWidth="1"/>
    <col min="12802" max="12845" width="12" style="15" customWidth="1"/>
    <col min="12846" max="13053" width="13.28515625" style="15"/>
    <col min="13054" max="13054" width="40.28515625" style="15" customWidth="1"/>
    <col min="13055" max="13055" width="48.85546875" style="15" customWidth="1"/>
    <col min="13056" max="13056" width="53.28515625" style="15" customWidth="1"/>
    <col min="13057" max="13057" width="56.28515625" style="15" customWidth="1"/>
    <col min="13058" max="13101" width="12" style="15" customWidth="1"/>
    <col min="13102" max="13309" width="13.28515625" style="15"/>
    <col min="13310" max="13310" width="40.28515625" style="15" customWidth="1"/>
    <col min="13311" max="13311" width="48.85546875" style="15" customWidth="1"/>
    <col min="13312" max="13312" width="53.28515625" style="15" customWidth="1"/>
    <col min="13313" max="13313" width="56.28515625" style="15" customWidth="1"/>
    <col min="13314" max="13357" width="12" style="15" customWidth="1"/>
    <col min="13358" max="13565" width="13.28515625" style="15"/>
    <col min="13566" max="13566" width="40.28515625" style="15" customWidth="1"/>
    <col min="13567" max="13567" width="48.85546875" style="15" customWidth="1"/>
    <col min="13568" max="13568" width="53.28515625" style="15" customWidth="1"/>
    <col min="13569" max="13569" width="56.28515625" style="15" customWidth="1"/>
    <col min="13570" max="13613" width="12" style="15" customWidth="1"/>
    <col min="13614" max="13821" width="13.28515625" style="15"/>
    <col min="13822" max="13822" width="40.28515625" style="15" customWidth="1"/>
    <col min="13823" max="13823" width="48.85546875" style="15" customWidth="1"/>
    <col min="13824" max="13824" width="53.28515625" style="15" customWidth="1"/>
    <col min="13825" max="13825" width="56.28515625" style="15" customWidth="1"/>
    <col min="13826" max="13869" width="12" style="15" customWidth="1"/>
    <col min="13870" max="14077" width="13.28515625" style="15"/>
    <col min="14078" max="14078" width="40.28515625" style="15" customWidth="1"/>
    <col min="14079" max="14079" width="48.85546875" style="15" customWidth="1"/>
    <col min="14080" max="14080" width="53.28515625" style="15" customWidth="1"/>
    <col min="14081" max="14081" width="56.28515625" style="15" customWidth="1"/>
    <col min="14082" max="14125" width="12" style="15" customWidth="1"/>
    <col min="14126" max="14333" width="13.28515625" style="15"/>
    <col min="14334" max="14334" width="40.28515625" style="15" customWidth="1"/>
    <col min="14335" max="14335" width="48.85546875" style="15" customWidth="1"/>
    <col min="14336" max="14336" width="53.28515625" style="15" customWidth="1"/>
    <col min="14337" max="14337" width="56.28515625" style="15" customWidth="1"/>
    <col min="14338" max="14381" width="12" style="15" customWidth="1"/>
    <col min="14382" max="14589" width="13.28515625" style="15"/>
    <col min="14590" max="14590" width="40.28515625" style="15" customWidth="1"/>
    <col min="14591" max="14591" width="48.85546875" style="15" customWidth="1"/>
    <col min="14592" max="14592" width="53.28515625" style="15" customWidth="1"/>
    <col min="14593" max="14593" width="56.28515625" style="15" customWidth="1"/>
    <col min="14594" max="14637" width="12" style="15" customWidth="1"/>
    <col min="14638" max="14845" width="13.28515625" style="15"/>
    <col min="14846" max="14846" width="40.28515625" style="15" customWidth="1"/>
    <col min="14847" max="14847" width="48.85546875" style="15" customWidth="1"/>
    <col min="14848" max="14848" width="53.28515625" style="15" customWidth="1"/>
    <col min="14849" max="14849" width="56.28515625" style="15" customWidth="1"/>
    <col min="14850" max="14893" width="12" style="15" customWidth="1"/>
    <col min="14894" max="15101" width="13.28515625" style="15"/>
    <col min="15102" max="15102" width="40.28515625" style="15" customWidth="1"/>
    <col min="15103" max="15103" width="48.85546875" style="15" customWidth="1"/>
    <col min="15104" max="15104" width="53.28515625" style="15" customWidth="1"/>
    <col min="15105" max="15105" width="56.28515625" style="15" customWidth="1"/>
    <col min="15106" max="15149" width="12" style="15" customWidth="1"/>
    <col min="15150" max="15357" width="13.28515625" style="15"/>
    <col min="15358" max="15358" width="40.28515625" style="15" customWidth="1"/>
    <col min="15359" max="15359" width="48.85546875" style="15" customWidth="1"/>
    <col min="15360" max="15360" width="53.28515625" style="15" customWidth="1"/>
    <col min="15361" max="15361" width="56.28515625" style="15" customWidth="1"/>
    <col min="15362" max="15405" width="12" style="15" customWidth="1"/>
    <col min="15406" max="15613" width="13.28515625" style="15"/>
    <col min="15614" max="15614" width="40.28515625" style="15" customWidth="1"/>
    <col min="15615" max="15615" width="48.85546875" style="15" customWidth="1"/>
    <col min="15616" max="15616" width="53.28515625" style="15" customWidth="1"/>
    <col min="15617" max="15617" width="56.28515625" style="15" customWidth="1"/>
    <col min="15618" max="15661" width="12" style="15" customWidth="1"/>
    <col min="15662" max="15869" width="13.28515625" style="15"/>
    <col min="15870" max="15870" width="40.28515625" style="15" customWidth="1"/>
    <col min="15871" max="15871" width="48.85546875" style="15" customWidth="1"/>
    <col min="15872" max="15872" width="53.28515625" style="15" customWidth="1"/>
    <col min="15873" max="15873" width="56.28515625" style="15" customWidth="1"/>
    <col min="15874" max="15917" width="12" style="15" customWidth="1"/>
    <col min="15918" max="16125" width="13.28515625" style="15"/>
    <col min="16126" max="16126" width="40.28515625" style="15" customWidth="1"/>
    <col min="16127" max="16127" width="48.85546875" style="15" customWidth="1"/>
    <col min="16128" max="16128" width="53.28515625" style="15" customWidth="1"/>
    <col min="16129" max="16129" width="56.28515625" style="15" customWidth="1"/>
    <col min="16130" max="16173" width="12" style="15" customWidth="1"/>
    <col min="16174" max="16384" width="13.28515625" style="15"/>
  </cols>
  <sheetData>
    <row r="1" spans="1:11" ht="31.35" customHeight="1" x14ac:dyDescent="0.2">
      <c r="A1" s="19"/>
      <c r="B1" s="19"/>
      <c r="C1" s="19"/>
      <c r="D1" s="19"/>
      <c r="E1" s="19"/>
      <c r="F1" s="19"/>
      <c r="G1" s="19"/>
      <c r="H1" s="19"/>
      <c r="I1" s="19"/>
      <c r="J1" s="19"/>
    </row>
    <row r="2" spans="1:11" s="13" customFormat="1" ht="30" x14ac:dyDescent="0.2">
      <c r="A2" s="93" t="s">
        <v>1042</v>
      </c>
      <c r="B2" s="93" t="s">
        <v>1050</v>
      </c>
      <c r="C2" s="93" t="s">
        <v>1041</v>
      </c>
      <c r="D2" s="93" t="s">
        <v>185</v>
      </c>
      <c r="E2" s="11" t="s">
        <v>1038</v>
      </c>
      <c r="F2" s="11" t="s">
        <v>1049</v>
      </c>
      <c r="G2" s="11" t="s">
        <v>1040</v>
      </c>
      <c r="H2" s="123" t="s">
        <v>2016</v>
      </c>
      <c r="I2" s="11" t="s">
        <v>1038</v>
      </c>
      <c r="K2" s="11" t="s">
        <v>1039</v>
      </c>
    </row>
    <row r="3" spans="1:11" ht="30" x14ac:dyDescent="0.2">
      <c r="A3" s="422" t="s">
        <v>2015</v>
      </c>
      <c r="B3" s="423" t="s">
        <v>378</v>
      </c>
      <c r="C3" s="423" t="s">
        <v>1964</v>
      </c>
      <c r="D3" s="423"/>
      <c r="E3" s="423" t="s">
        <v>515</v>
      </c>
      <c r="F3" s="106" t="s">
        <v>1965</v>
      </c>
      <c r="G3" s="151" t="s">
        <v>1911</v>
      </c>
      <c r="H3" s="204" t="s">
        <v>4595</v>
      </c>
      <c r="I3" s="153" t="s">
        <v>4597</v>
      </c>
      <c r="J3" s="152"/>
      <c r="K3" s="202" t="s">
        <v>4598</v>
      </c>
    </row>
    <row r="4" spans="1:11" x14ac:dyDescent="0.2">
      <c r="A4" s="423"/>
      <c r="B4" s="423"/>
      <c r="C4" s="423"/>
      <c r="D4" s="423"/>
      <c r="E4" s="423"/>
      <c r="F4" s="106" t="s">
        <v>1968</v>
      </c>
      <c r="G4" s="151" t="s">
        <v>1912</v>
      </c>
      <c r="H4" s="204" t="s">
        <v>4595</v>
      </c>
      <c r="I4" s="153" t="s">
        <v>515</v>
      </c>
      <c r="J4" s="152"/>
      <c r="K4" s="152"/>
    </row>
    <row r="5" spans="1:11" x14ac:dyDescent="0.2">
      <c r="A5" s="423"/>
      <c r="B5" s="423"/>
      <c r="C5" s="423"/>
      <c r="D5" s="423"/>
      <c r="E5" s="423"/>
      <c r="F5" s="106" t="s">
        <v>1969</v>
      </c>
      <c r="G5" s="151" t="s">
        <v>1913</v>
      </c>
      <c r="H5" s="204" t="s">
        <v>4595</v>
      </c>
      <c r="I5" s="153" t="s">
        <v>511</v>
      </c>
      <c r="J5" s="152"/>
      <c r="K5" s="152"/>
    </row>
    <row r="6" spans="1:11" x14ac:dyDescent="0.2">
      <c r="A6" s="423"/>
      <c r="B6" s="423"/>
      <c r="C6" s="423"/>
      <c r="D6" s="423"/>
      <c r="E6" s="423"/>
      <c r="F6" s="106" t="s">
        <v>1970</v>
      </c>
      <c r="G6" s="151" t="s">
        <v>1914</v>
      </c>
      <c r="H6" s="204" t="s">
        <v>4595</v>
      </c>
      <c r="I6" s="153" t="s">
        <v>4596</v>
      </c>
      <c r="J6" s="152"/>
      <c r="K6" s="152"/>
    </row>
    <row r="7" spans="1:11" ht="30" x14ac:dyDescent="0.2">
      <c r="A7" s="423"/>
      <c r="B7" s="423"/>
      <c r="C7" s="423"/>
      <c r="D7" s="423"/>
      <c r="E7" s="423"/>
      <c r="F7" s="106" t="s">
        <v>1971</v>
      </c>
      <c r="G7" s="151" t="s">
        <v>1915</v>
      </c>
      <c r="H7" s="204" t="s">
        <v>4595</v>
      </c>
      <c r="I7" s="153" t="s">
        <v>515</v>
      </c>
      <c r="J7" s="152"/>
      <c r="K7" s="202" t="s">
        <v>4600</v>
      </c>
    </row>
    <row r="8" spans="1:11" ht="30" x14ac:dyDescent="0.2">
      <c r="A8" s="423"/>
      <c r="B8" s="423"/>
      <c r="C8" s="423"/>
      <c r="D8" s="423"/>
      <c r="E8" s="423"/>
      <c r="F8" s="106" t="s">
        <v>1972</v>
      </c>
      <c r="G8" s="151" t="s">
        <v>1916</v>
      </c>
      <c r="H8" s="204" t="s">
        <v>4595</v>
      </c>
      <c r="I8" s="153" t="s">
        <v>515</v>
      </c>
      <c r="J8" s="152"/>
      <c r="K8" s="202" t="s">
        <v>4599</v>
      </c>
    </row>
    <row r="9" spans="1:11" x14ac:dyDescent="0.2">
      <c r="A9" s="423"/>
      <c r="B9" s="423"/>
      <c r="C9" s="423"/>
      <c r="D9" s="423"/>
      <c r="E9" s="423"/>
      <c r="F9" s="106" t="s">
        <v>1973</v>
      </c>
      <c r="G9" s="106"/>
      <c r="H9" s="188"/>
      <c r="I9" s="106"/>
      <c r="J9" s="152"/>
      <c r="K9" s="152"/>
    </row>
    <row r="10" spans="1:11" x14ac:dyDescent="0.2">
      <c r="A10" s="423"/>
      <c r="B10" s="423"/>
      <c r="C10" s="423"/>
      <c r="D10" s="423"/>
      <c r="E10" s="423"/>
      <c r="F10" s="106" t="s">
        <v>1974</v>
      </c>
      <c r="G10" s="106"/>
      <c r="H10" s="188"/>
      <c r="I10" s="106"/>
      <c r="J10" s="152"/>
      <c r="K10" s="152"/>
    </row>
    <row r="11" spans="1:11" ht="45" x14ac:dyDescent="0.2">
      <c r="A11" s="423"/>
      <c r="B11" s="423" t="s">
        <v>379</v>
      </c>
      <c r="C11" s="423" t="s">
        <v>1975</v>
      </c>
      <c r="D11" s="423"/>
      <c r="E11" s="423" t="s">
        <v>515</v>
      </c>
      <c r="F11" s="106" t="s">
        <v>1976</v>
      </c>
      <c r="G11" s="151" t="s">
        <v>1917</v>
      </c>
      <c r="H11" s="204" t="s">
        <v>4595</v>
      </c>
      <c r="I11" s="153" t="s">
        <v>515</v>
      </c>
      <c r="J11" s="152"/>
      <c r="K11" s="202" t="s">
        <v>4601</v>
      </c>
    </row>
    <row r="12" spans="1:11" x14ac:dyDescent="0.2">
      <c r="A12" s="423"/>
      <c r="B12" s="423"/>
      <c r="C12" s="423"/>
      <c r="D12" s="423"/>
      <c r="E12" s="423"/>
      <c r="F12" s="106" t="s">
        <v>1977</v>
      </c>
      <c r="G12" s="151" t="s">
        <v>1918</v>
      </c>
      <c r="H12" s="204" t="s">
        <v>4595</v>
      </c>
      <c r="I12" s="153" t="s">
        <v>515</v>
      </c>
      <c r="J12" s="152"/>
      <c r="K12" s="202" t="s">
        <v>4602</v>
      </c>
    </row>
    <row r="13" spans="1:11" ht="25.5" x14ac:dyDescent="0.2">
      <c r="A13" s="423"/>
      <c r="B13" s="423"/>
      <c r="C13" s="423"/>
      <c r="D13" s="423"/>
      <c r="E13" s="423"/>
      <c r="F13" s="106" t="s">
        <v>1978</v>
      </c>
      <c r="G13" s="151" t="s">
        <v>1919</v>
      </c>
      <c r="H13" s="204" t="s">
        <v>4595</v>
      </c>
      <c r="I13" s="153" t="s">
        <v>515</v>
      </c>
      <c r="J13" s="152"/>
      <c r="K13" s="152"/>
    </row>
    <row r="14" spans="1:11" ht="30" x14ac:dyDescent="0.2">
      <c r="A14" s="423"/>
      <c r="B14" s="423"/>
      <c r="C14" s="423"/>
      <c r="D14" s="423"/>
      <c r="E14" s="423"/>
      <c r="F14" s="106" t="s">
        <v>1979</v>
      </c>
      <c r="G14" s="151" t="s">
        <v>1920</v>
      </c>
      <c r="H14" s="204" t="s">
        <v>4595</v>
      </c>
      <c r="I14" s="153" t="s">
        <v>511</v>
      </c>
      <c r="J14" s="152"/>
      <c r="K14" s="202" t="s">
        <v>4604</v>
      </c>
    </row>
    <row r="15" spans="1:11" x14ac:dyDescent="0.2">
      <c r="A15" s="423"/>
      <c r="B15" s="423"/>
      <c r="C15" s="423"/>
      <c r="D15" s="423"/>
      <c r="E15" s="423"/>
      <c r="F15" s="106" t="s">
        <v>1980</v>
      </c>
      <c r="G15" s="151" t="s">
        <v>1921</v>
      </c>
      <c r="H15" s="204" t="s">
        <v>4595</v>
      </c>
      <c r="I15" s="153" t="s">
        <v>4596</v>
      </c>
      <c r="J15" s="152"/>
      <c r="K15" s="152"/>
    </row>
    <row r="16" spans="1:11" ht="30" x14ac:dyDescent="0.2">
      <c r="A16" s="423"/>
      <c r="B16" s="423"/>
      <c r="C16" s="423"/>
      <c r="D16" s="423"/>
      <c r="E16" s="423"/>
      <c r="F16" s="106" t="s">
        <v>1981</v>
      </c>
      <c r="G16" s="151" t="s">
        <v>1922</v>
      </c>
      <c r="H16" s="204" t="s">
        <v>4595</v>
      </c>
      <c r="I16" s="153" t="s">
        <v>4606</v>
      </c>
      <c r="J16" s="152"/>
      <c r="K16" s="202" t="s">
        <v>4605</v>
      </c>
    </row>
    <row r="17" spans="1:11" x14ac:dyDescent="0.2">
      <c r="A17" s="423"/>
      <c r="B17" s="423"/>
      <c r="C17" s="423"/>
      <c r="D17" s="423"/>
      <c r="E17" s="423"/>
      <c r="F17" s="106" t="s">
        <v>1982</v>
      </c>
      <c r="G17" s="106"/>
      <c r="H17" s="188"/>
      <c r="I17" s="106"/>
      <c r="J17" s="152"/>
      <c r="K17" s="152"/>
    </row>
    <row r="18" spans="1:11" x14ac:dyDescent="0.2">
      <c r="A18" s="423"/>
      <c r="B18" s="423"/>
      <c r="C18" s="423"/>
      <c r="D18" s="423"/>
      <c r="E18" s="423"/>
      <c r="F18" s="106" t="s">
        <v>1983</v>
      </c>
      <c r="G18" s="106"/>
      <c r="H18" s="188"/>
      <c r="I18" s="106"/>
      <c r="J18" s="152"/>
      <c r="K18" s="152"/>
    </row>
    <row r="19" spans="1:11" x14ac:dyDescent="0.2">
      <c r="A19" s="423"/>
      <c r="B19" s="423" t="s">
        <v>380</v>
      </c>
      <c r="C19" s="423" t="s">
        <v>1984</v>
      </c>
      <c r="D19" s="423"/>
      <c r="E19" s="423" t="s">
        <v>515</v>
      </c>
      <c r="F19" s="106" t="s">
        <v>1985</v>
      </c>
      <c r="G19" s="208" t="s">
        <v>1923</v>
      </c>
      <c r="H19" s="153" t="s">
        <v>4595</v>
      </c>
      <c r="I19" s="156" t="s">
        <v>511</v>
      </c>
      <c r="J19" s="152"/>
      <c r="K19" s="202" t="s">
        <v>4607</v>
      </c>
    </row>
    <row r="20" spans="1:11" x14ac:dyDescent="0.2">
      <c r="A20" s="423"/>
      <c r="B20" s="423"/>
      <c r="C20" s="423"/>
      <c r="D20" s="423"/>
      <c r="E20" s="423"/>
      <c r="F20" s="106" t="s">
        <v>1986</v>
      </c>
      <c r="G20" s="208" t="s">
        <v>1924</v>
      </c>
      <c r="H20" s="153" t="s">
        <v>4595</v>
      </c>
      <c r="I20" s="156" t="s">
        <v>511</v>
      </c>
      <c r="J20" s="152"/>
      <c r="K20" s="152" t="s">
        <v>4608</v>
      </c>
    </row>
    <row r="21" spans="1:11" x14ac:dyDescent="0.2">
      <c r="A21" s="423"/>
      <c r="B21" s="423"/>
      <c r="C21" s="423"/>
      <c r="D21" s="423"/>
      <c r="E21" s="423"/>
      <c r="F21" s="106" t="s">
        <v>1987</v>
      </c>
      <c r="G21" s="208" t="s">
        <v>1925</v>
      </c>
      <c r="H21" s="153" t="s">
        <v>4595</v>
      </c>
      <c r="I21" s="156" t="s">
        <v>511</v>
      </c>
      <c r="J21" s="152"/>
      <c r="K21" s="202" t="s">
        <v>4608</v>
      </c>
    </row>
    <row r="22" spans="1:11" x14ac:dyDescent="0.2">
      <c r="A22" s="423"/>
      <c r="B22" s="423"/>
      <c r="C22" s="423"/>
      <c r="D22" s="423"/>
      <c r="E22" s="423"/>
      <c r="F22" s="106" t="s">
        <v>1988</v>
      </c>
      <c r="G22" s="208" t="s">
        <v>1926</v>
      </c>
      <c r="H22" s="153" t="s">
        <v>4595</v>
      </c>
      <c r="I22" s="156" t="s">
        <v>511</v>
      </c>
      <c r="J22" s="152"/>
      <c r="K22" s="202" t="s">
        <v>4608</v>
      </c>
    </row>
    <row r="23" spans="1:11" x14ac:dyDescent="0.2">
      <c r="A23" s="423"/>
      <c r="B23" s="423"/>
      <c r="C23" s="423"/>
      <c r="D23" s="423"/>
      <c r="E23" s="423"/>
      <c r="F23" s="106" t="s">
        <v>1989</v>
      </c>
      <c r="G23" s="208" t="s">
        <v>1927</v>
      </c>
      <c r="H23" s="153" t="s">
        <v>4595</v>
      </c>
      <c r="I23" s="156" t="s">
        <v>515</v>
      </c>
      <c r="J23" s="152"/>
      <c r="K23" s="202" t="s">
        <v>4608</v>
      </c>
    </row>
    <row r="24" spans="1:11" x14ac:dyDescent="0.2">
      <c r="A24" s="423"/>
      <c r="B24" s="423"/>
      <c r="C24" s="423"/>
      <c r="D24" s="423"/>
      <c r="E24" s="423"/>
      <c r="F24" s="106" t="s">
        <v>1990</v>
      </c>
      <c r="G24" s="208" t="s">
        <v>1928</v>
      </c>
      <c r="H24" s="153" t="s">
        <v>4595</v>
      </c>
      <c r="I24" s="204" t="s">
        <v>515</v>
      </c>
      <c r="J24" s="152"/>
      <c r="K24" s="202" t="s">
        <v>4608</v>
      </c>
    </row>
    <row r="25" spans="1:11" x14ac:dyDescent="0.2">
      <c r="A25" s="423"/>
      <c r="B25" s="423"/>
      <c r="C25" s="423"/>
      <c r="D25" s="423"/>
      <c r="E25" s="423"/>
      <c r="F25" s="106" t="s">
        <v>1991</v>
      </c>
      <c r="G25" s="106"/>
      <c r="H25" s="106"/>
      <c r="I25" s="106"/>
      <c r="J25" s="152"/>
      <c r="K25" s="152"/>
    </row>
    <row r="26" spans="1:11" x14ac:dyDescent="0.2">
      <c r="A26" s="423"/>
      <c r="B26" s="423"/>
      <c r="C26" s="423"/>
      <c r="D26" s="423"/>
      <c r="E26" s="423"/>
      <c r="F26" s="106" t="s">
        <v>1992</v>
      </c>
      <c r="G26" s="106"/>
      <c r="H26" s="106"/>
      <c r="I26" s="106"/>
      <c r="J26" s="152"/>
      <c r="K26" s="152"/>
    </row>
    <row r="27" spans="1:11" ht="30" x14ac:dyDescent="0.2">
      <c r="A27" s="423"/>
      <c r="B27" s="423" t="s">
        <v>381</v>
      </c>
      <c r="C27" s="423" t="s">
        <v>1993</v>
      </c>
      <c r="D27" s="423"/>
      <c r="E27" s="423" t="s">
        <v>515</v>
      </c>
      <c r="F27" s="106" t="s">
        <v>1994</v>
      </c>
      <c r="G27" s="151" t="s">
        <v>1929</v>
      </c>
      <c r="H27" s="204" t="s">
        <v>4603</v>
      </c>
      <c r="I27" s="204" t="s">
        <v>4610</v>
      </c>
      <c r="J27" s="152"/>
      <c r="K27" s="202" t="s">
        <v>4609</v>
      </c>
    </row>
    <row r="28" spans="1:11" x14ac:dyDescent="0.2">
      <c r="A28" s="423"/>
      <c r="B28" s="423"/>
      <c r="C28" s="423"/>
      <c r="D28" s="423"/>
      <c r="E28" s="423"/>
      <c r="F28" s="106" t="s">
        <v>1995</v>
      </c>
      <c r="G28" s="151" t="s">
        <v>1930</v>
      </c>
      <c r="H28" s="204" t="s">
        <v>4603</v>
      </c>
      <c r="I28" s="204" t="s">
        <v>4596</v>
      </c>
      <c r="J28" s="152"/>
      <c r="K28" s="202" t="s">
        <v>4611</v>
      </c>
    </row>
    <row r="29" spans="1:11" ht="30" x14ac:dyDescent="0.2">
      <c r="A29" s="423"/>
      <c r="B29" s="423"/>
      <c r="C29" s="423"/>
      <c r="D29" s="423"/>
      <c r="E29" s="423"/>
      <c r="F29" s="106" t="s">
        <v>1996</v>
      </c>
      <c r="G29" s="151" t="s">
        <v>1931</v>
      </c>
      <c r="H29" s="204" t="s">
        <v>4603</v>
      </c>
      <c r="I29" s="204" t="s">
        <v>4596</v>
      </c>
      <c r="J29" s="152"/>
      <c r="K29" s="202" t="s">
        <v>4609</v>
      </c>
    </row>
    <row r="30" spans="1:11" x14ac:dyDescent="0.2">
      <c r="A30" s="423"/>
      <c r="B30" s="423"/>
      <c r="C30" s="423"/>
      <c r="D30" s="423"/>
      <c r="E30" s="423"/>
      <c r="F30" s="106" t="s">
        <v>1997</v>
      </c>
      <c r="G30" s="151" t="s">
        <v>1932</v>
      </c>
      <c r="H30" s="204" t="s">
        <v>4603</v>
      </c>
      <c r="I30" s="204" t="s">
        <v>4596</v>
      </c>
      <c r="J30" s="152"/>
      <c r="K30" s="202" t="s">
        <v>4611</v>
      </c>
    </row>
    <row r="31" spans="1:11" ht="30" x14ac:dyDescent="0.2">
      <c r="A31" s="423"/>
      <c r="B31" s="423"/>
      <c r="C31" s="423"/>
      <c r="D31" s="423"/>
      <c r="E31" s="423"/>
      <c r="F31" s="106" t="s">
        <v>1998</v>
      </c>
      <c r="G31" s="151" t="s">
        <v>1933</v>
      </c>
      <c r="H31" s="204" t="s">
        <v>4603</v>
      </c>
      <c r="I31" s="204" t="s">
        <v>4596</v>
      </c>
      <c r="J31" s="152"/>
      <c r="K31" s="202" t="s">
        <v>4609</v>
      </c>
    </row>
    <row r="32" spans="1:11" x14ac:dyDescent="0.2">
      <c r="A32" s="423"/>
      <c r="B32" s="423"/>
      <c r="C32" s="423"/>
      <c r="D32" s="423"/>
      <c r="E32" s="423"/>
      <c r="F32" s="106" t="s">
        <v>1999</v>
      </c>
      <c r="G32" s="151" t="s">
        <v>1934</v>
      </c>
      <c r="H32" s="204" t="s">
        <v>4603</v>
      </c>
      <c r="I32" s="204" t="s">
        <v>4596</v>
      </c>
      <c r="J32" s="152"/>
      <c r="K32" s="202" t="s">
        <v>4611</v>
      </c>
    </row>
    <row r="33" spans="1:11" x14ac:dyDescent="0.2">
      <c r="A33" s="423"/>
      <c r="B33" s="423"/>
      <c r="C33" s="423"/>
      <c r="D33" s="423"/>
      <c r="E33" s="423"/>
      <c r="F33" s="106" t="s">
        <v>2000</v>
      </c>
      <c r="G33" s="106"/>
      <c r="H33" s="106"/>
      <c r="I33" s="106"/>
      <c r="J33" s="152"/>
      <c r="K33" s="152"/>
    </row>
    <row r="34" spans="1:11" x14ac:dyDescent="0.2">
      <c r="A34" s="423"/>
      <c r="B34" s="423"/>
      <c r="C34" s="423"/>
      <c r="D34" s="423"/>
      <c r="E34" s="423"/>
      <c r="F34" s="106" t="s">
        <v>2001</v>
      </c>
      <c r="G34" s="106"/>
      <c r="H34" s="106"/>
      <c r="I34" s="106"/>
      <c r="J34" s="152"/>
      <c r="K34" s="152"/>
    </row>
    <row r="35" spans="1:11" ht="30" x14ac:dyDescent="0.2">
      <c r="A35" s="423"/>
      <c r="B35" s="423" t="s">
        <v>382</v>
      </c>
      <c r="C35" s="423" t="s">
        <v>2002</v>
      </c>
      <c r="D35" s="423"/>
      <c r="E35" s="423" t="s">
        <v>515</v>
      </c>
      <c r="F35" s="106" t="s">
        <v>2003</v>
      </c>
      <c r="G35" s="153" t="s">
        <v>1935</v>
      </c>
      <c r="H35" s="153" t="s">
        <v>4603</v>
      </c>
      <c r="I35" s="153" t="s">
        <v>4128</v>
      </c>
      <c r="J35" s="152"/>
      <c r="K35" s="202" t="s">
        <v>4612</v>
      </c>
    </row>
    <row r="36" spans="1:11" x14ac:dyDescent="0.2">
      <c r="A36" s="423"/>
      <c r="B36" s="423"/>
      <c r="C36" s="423"/>
      <c r="D36" s="423"/>
      <c r="E36" s="423"/>
      <c r="F36" s="106" t="s">
        <v>2004</v>
      </c>
      <c r="G36" s="153" t="s">
        <v>1936</v>
      </c>
      <c r="H36" s="153" t="s">
        <v>4603</v>
      </c>
      <c r="I36" s="153" t="s">
        <v>4128</v>
      </c>
      <c r="J36" s="152"/>
      <c r="K36" s="152"/>
    </row>
    <row r="37" spans="1:11" x14ac:dyDescent="0.2">
      <c r="A37" s="423"/>
      <c r="B37" s="423"/>
      <c r="C37" s="423"/>
      <c r="D37" s="423"/>
      <c r="E37" s="423"/>
      <c r="F37" s="106" t="s">
        <v>2005</v>
      </c>
      <c r="G37" s="153" t="s">
        <v>1937</v>
      </c>
      <c r="H37" s="153" t="s">
        <v>4603</v>
      </c>
      <c r="I37" s="153" t="s">
        <v>4128</v>
      </c>
      <c r="J37" s="152"/>
      <c r="K37" s="152"/>
    </row>
    <row r="38" spans="1:11" x14ac:dyDescent="0.2">
      <c r="A38" s="423"/>
      <c r="B38" s="423"/>
      <c r="C38" s="423"/>
      <c r="D38" s="423"/>
      <c r="E38" s="423"/>
      <c r="F38" s="106" t="s">
        <v>2006</v>
      </c>
      <c r="G38" s="153" t="s">
        <v>1938</v>
      </c>
      <c r="H38" s="153" t="s">
        <v>4603</v>
      </c>
      <c r="I38" s="153" t="s">
        <v>4128</v>
      </c>
      <c r="J38" s="152"/>
      <c r="K38" s="152"/>
    </row>
    <row r="39" spans="1:11" x14ac:dyDescent="0.2">
      <c r="A39" s="423"/>
      <c r="B39" s="423"/>
      <c r="C39" s="423"/>
      <c r="D39" s="423"/>
      <c r="E39" s="423"/>
      <c r="F39" s="106" t="s">
        <v>2007</v>
      </c>
      <c r="G39" s="153" t="s">
        <v>1939</v>
      </c>
      <c r="H39" s="153" t="s">
        <v>4603</v>
      </c>
      <c r="I39" s="153" t="s">
        <v>4128</v>
      </c>
      <c r="J39" s="152"/>
      <c r="K39" s="152"/>
    </row>
    <row r="40" spans="1:11" x14ac:dyDescent="0.2">
      <c r="A40" s="423"/>
      <c r="B40" s="423"/>
      <c r="C40" s="423"/>
      <c r="D40" s="423"/>
      <c r="E40" s="423"/>
      <c r="F40" s="106" t="s">
        <v>2017</v>
      </c>
      <c r="G40" s="153" t="s">
        <v>1940</v>
      </c>
      <c r="H40" s="153" t="s">
        <v>4603</v>
      </c>
      <c r="I40" s="153" t="s">
        <v>4128</v>
      </c>
      <c r="J40" s="152"/>
      <c r="K40" s="152"/>
    </row>
    <row r="41" spans="1:11" x14ac:dyDescent="0.2">
      <c r="A41" s="423"/>
      <c r="B41" s="106"/>
      <c r="C41" s="106"/>
      <c r="D41" s="106"/>
      <c r="E41" s="106"/>
      <c r="F41" s="106"/>
      <c r="G41" s="153"/>
      <c r="H41" s="153"/>
      <c r="I41" s="153"/>
      <c r="J41" s="152"/>
      <c r="K41" s="152"/>
    </row>
    <row r="42" spans="1:11" x14ac:dyDescent="0.2">
      <c r="A42" s="423"/>
      <c r="B42" s="423" t="s">
        <v>637</v>
      </c>
      <c r="C42" s="423" t="s">
        <v>2008</v>
      </c>
      <c r="D42" s="423"/>
      <c r="E42" s="423" t="s">
        <v>507</v>
      </c>
      <c r="F42" s="106" t="s">
        <v>2009</v>
      </c>
      <c r="G42" s="153" t="s">
        <v>1941</v>
      </c>
      <c r="H42" s="153" t="s">
        <v>2467</v>
      </c>
      <c r="I42" s="153" t="s">
        <v>4596</v>
      </c>
      <c r="J42" s="152"/>
      <c r="K42" s="202" t="s">
        <v>4613</v>
      </c>
    </row>
    <row r="43" spans="1:11" x14ac:dyDescent="0.2">
      <c r="A43" s="423"/>
      <c r="B43" s="423"/>
      <c r="C43" s="423"/>
      <c r="D43" s="423"/>
      <c r="E43" s="423"/>
      <c r="F43" s="106" t="s">
        <v>2010</v>
      </c>
      <c r="G43" s="153" t="s">
        <v>1942</v>
      </c>
      <c r="H43" s="153" t="s">
        <v>2467</v>
      </c>
      <c r="I43" s="153" t="s">
        <v>4614</v>
      </c>
      <c r="J43" s="152"/>
      <c r="K43" s="202" t="s">
        <v>4615</v>
      </c>
    </row>
    <row r="44" spans="1:11" ht="30" x14ac:dyDescent="0.2">
      <c r="A44" s="423"/>
      <c r="B44" s="423"/>
      <c r="C44" s="423"/>
      <c r="D44" s="423"/>
      <c r="E44" s="423"/>
      <c r="F44" s="106" t="s">
        <v>2011</v>
      </c>
      <c r="G44" s="153" t="s">
        <v>1943</v>
      </c>
      <c r="H44" s="153" t="s">
        <v>2467</v>
      </c>
      <c r="I44" s="153" t="s">
        <v>4596</v>
      </c>
      <c r="J44" s="152"/>
      <c r="K44" s="37" t="s">
        <v>4618</v>
      </c>
    </row>
    <row r="45" spans="1:11" x14ac:dyDescent="0.2">
      <c r="A45" s="423"/>
      <c r="B45" s="423"/>
      <c r="C45" s="423"/>
      <c r="D45" s="423"/>
      <c r="E45" s="423"/>
      <c r="F45" s="106" t="s">
        <v>2012</v>
      </c>
      <c r="G45" s="153" t="s">
        <v>1944</v>
      </c>
      <c r="H45" s="153" t="s">
        <v>2467</v>
      </c>
      <c r="I45" s="153" t="s">
        <v>4614</v>
      </c>
      <c r="J45" s="152"/>
      <c r="K45" s="202" t="s">
        <v>4616</v>
      </c>
    </row>
    <row r="46" spans="1:11" x14ac:dyDescent="0.2">
      <c r="A46" s="423"/>
      <c r="B46" s="423"/>
      <c r="C46" s="423"/>
      <c r="D46" s="423"/>
      <c r="E46" s="423"/>
      <c r="F46" s="106" t="s">
        <v>2013</v>
      </c>
      <c r="G46" s="153" t="s">
        <v>1945</v>
      </c>
      <c r="H46" s="153" t="s">
        <v>2467</v>
      </c>
      <c r="I46" s="153" t="s">
        <v>4614</v>
      </c>
      <c r="J46" s="152"/>
      <c r="K46" s="202" t="s">
        <v>4616</v>
      </c>
    </row>
    <row r="47" spans="1:11" ht="30" x14ac:dyDescent="0.2">
      <c r="A47" s="423"/>
      <c r="B47" s="423"/>
      <c r="C47" s="423"/>
      <c r="D47" s="423"/>
      <c r="E47" s="423"/>
      <c r="F47" s="106" t="s">
        <v>2014</v>
      </c>
      <c r="G47" s="153" t="s">
        <v>1946</v>
      </c>
      <c r="H47" s="153" t="s">
        <v>2467</v>
      </c>
      <c r="I47" s="153" t="s">
        <v>4597</v>
      </c>
      <c r="J47" s="152"/>
      <c r="K47" s="202" t="s">
        <v>4617</v>
      </c>
    </row>
    <row r="48" spans="1:11" x14ac:dyDescent="0.2">
      <c r="J48" s="152"/>
    </row>
    <row r="49" spans="5:10" x14ac:dyDescent="0.2">
      <c r="J49" s="152"/>
    </row>
    <row r="50" spans="5:10" x14ac:dyDescent="0.2">
      <c r="J50" s="152"/>
    </row>
    <row r="51" spans="5:10" x14ac:dyDescent="0.2">
      <c r="J51" s="152"/>
    </row>
    <row r="52" spans="5:10" x14ac:dyDescent="0.2">
      <c r="J52" s="152"/>
    </row>
    <row r="53" spans="5:10" x14ac:dyDescent="0.2">
      <c r="J53" s="152"/>
    </row>
    <row r="54" spans="5:10" x14ac:dyDescent="0.2">
      <c r="J54" s="152"/>
    </row>
    <row r="55" spans="5:10" ht="25.5" x14ac:dyDescent="0.2">
      <c r="E55" s="10" t="s">
        <v>528</v>
      </c>
      <c r="J55" s="152"/>
    </row>
    <row r="56" spans="5:10" x14ac:dyDescent="0.2">
      <c r="E56" s="10" t="s">
        <v>511</v>
      </c>
      <c r="J56" s="152"/>
    </row>
    <row r="57" spans="5:10" x14ac:dyDescent="0.2">
      <c r="E57" s="10" t="s">
        <v>515</v>
      </c>
      <c r="J57" s="152"/>
    </row>
    <row r="58" spans="5:10" x14ac:dyDescent="0.2">
      <c r="E58" s="10" t="s">
        <v>505</v>
      </c>
      <c r="J58" s="152"/>
    </row>
    <row r="59" spans="5:10" x14ac:dyDescent="0.2">
      <c r="E59" s="10" t="s">
        <v>507</v>
      </c>
      <c r="J59" s="152"/>
    </row>
    <row r="60" spans="5:10" x14ac:dyDescent="0.2">
      <c r="J60" s="152"/>
    </row>
    <row r="61" spans="5:10" x14ac:dyDescent="0.2">
      <c r="J61" s="152"/>
    </row>
    <row r="62" spans="5:10" x14ac:dyDescent="0.2">
      <c r="J62" s="152"/>
    </row>
    <row r="63" spans="5:10" x14ac:dyDescent="0.2">
      <c r="J63" s="152"/>
    </row>
    <row r="64" spans="5:10" x14ac:dyDescent="0.2">
      <c r="J64" s="152"/>
    </row>
    <row r="65" spans="10:10" x14ac:dyDescent="0.2">
      <c r="J65" s="152"/>
    </row>
    <row r="66" spans="10:10" ht="75" x14ac:dyDescent="0.2">
      <c r="J66" s="152" t="s">
        <v>511</v>
      </c>
    </row>
  </sheetData>
  <mergeCells count="25">
    <mergeCell ref="B42:B47"/>
    <mergeCell ref="C42:C47"/>
    <mergeCell ref="D42:D47"/>
    <mergeCell ref="E42:E47"/>
    <mergeCell ref="E27:E34"/>
    <mergeCell ref="B35:B40"/>
    <mergeCell ref="C35:C40"/>
    <mergeCell ref="D35:D40"/>
    <mergeCell ref="E35:E40"/>
    <mergeCell ref="A3:A47"/>
    <mergeCell ref="B3:B10"/>
    <mergeCell ref="C3:C10"/>
    <mergeCell ref="D3:D10"/>
    <mergeCell ref="E3:E10"/>
    <mergeCell ref="B11:B18"/>
    <mergeCell ref="C11:C18"/>
    <mergeCell ref="D11:D18"/>
    <mergeCell ref="E11:E18"/>
    <mergeCell ref="B19:B26"/>
    <mergeCell ref="C19:C26"/>
    <mergeCell ref="D19:D26"/>
    <mergeCell ref="E19:E26"/>
    <mergeCell ref="B27:B34"/>
    <mergeCell ref="C27:C34"/>
    <mergeCell ref="D27:D34"/>
  </mergeCells>
  <phoneticPr fontId="14" type="noConversion"/>
  <dataValidations count="2">
    <dataValidation type="list" allowBlank="1" showInputMessage="1" showErrorMessage="1" sqref="E3:E47" xr:uid="{1AEC0F37-1E22-B741-A58B-98AB64E6889D}">
      <formula1>$E$55:$E$59</formula1>
    </dataValidation>
    <dataValidation type="list" allowBlank="1" showInputMessage="1" showErrorMessage="1" sqref="J3:J66" xr:uid="{EE38EE3B-F771-484B-AFB8-7E9325A9591D}">
      <formula1>$E$75:$E$79</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D1A0-1B1F-8A40-ADF5-1D756CE29452}">
  <dimension ref="A1:V165"/>
  <sheetViews>
    <sheetView workbookViewId="0">
      <pane xSplit="8" ySplit="2" topLeftCell="I3" activePane="bottomRight" state="frozen"/>
      <selection activeCell="G3" sqref="G3:H8"/>
      <selection pane="topRight" activeCell="G3" sqref="G3:H8"/>
      <selection pane="bottomLeft" activeCell="G3" sqref="G3:H8"/>
      <selection pane="bottomRight" activeCell="G3" sqref="G3:H8"/>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19" width="9.85546875" style="15" customWidth="1"/>
    <col min="20" max="20" width="32.28515625" style="15" customWidth="1"/>
    <col min="21" max="21" width="9.7109375" style="15" customWidth="1"/>
    <col min="22" max="22" width="45.140625" style="3" customWidth="1"/>
    <col min="23" max="59" width="12" style="14" customWidth="1"/>
    <col min="60" max="267" width="13.28515625" style="14"/>
    <col min="268" max="268" width="40.28515625" style="14" customWidth="1"/>
    <col min="269" max="269" width="48.85546875" style="14" customWidth="1"/>
    <col min="270" max="270" width="53.28515625" style="14" customWidth="1"/>
    <col min="271" max="271" width="56.28515625" style="14" customWidth="1"/>
    <col min="272" max="315" width="12" style="14" customWidth="1"/>
    <col min="316" max="523" width="13.28515625" style="14"/>
    <col min="524" max="524" width="40.28515625" style="14" customWidth="1"/>
    <col min="525" max="525" width="48.85546875" style="14" customWidth="1"/>
    <col min="526" max="526" width="53.28515625" style="14" customWidth="1"/>
    <col min="527" max="527" width="56.28515625" style="14" customWidth="1"/>
    <col min="528" max="571" width="12" style="14" customWidth="1"/>
    <col min="572" max="779" width="13.28515625" style="14"/>
    <col min="780" max="780" width="40.28515625" style="14" customWidth="1"/>
    <col min="781" max="781" width="48.85546875" style="14" customWidth="1"/>
    <col min="782" max="782" width="53.28515625" style="14" customWidth="1"/>
    <col min="783" max="783" width="56.28515625" style="14" customWidth="1"/>
    <col min="784" max="827" width="12" style="14" customWidth="1"/>
    <col min="828" max="1035" width="13.28515625" style="14"/>
    <col min="1036" max="1036" width="40.28515625" style="14" customWidth="1"/>
    <col min="1037" max="1037" width="48.85546875" style="14" customWidth="1"/>
    <col min="1038" max="1038" width="53.28515625" style="14" customWidth="1"/>
    <col min="1039" max="1039" width="56.28515625" style="14" customWidth="1"/>
    <col min="1040" max="1083" width="12" style="14" customWidth="1"/>
    <col min="1084" max="1291" width="13.28515625" style="14"/>
    <col min="1292" max="1292" width="40.28515625" style="14" customWidth="1"/>
    <col min="1293" max="1293" width="48.85546875" style="14" customWidth="1"/>
    <col min="1294" max="1294" width="53.28515625" style="14" customWidth="1"/>
    <col min="1295" max="1295" width="56.28515625" style="14" customWidth="1"/>
    <col min="1296" max="1339" width="12" style="14" customWidth="1"/>
    <col min="1340" max="1547" width="13.28515625" style="14"/>
    <col min="1548" max="1548" width="40.28515625" style="14" customWidth="1"/>
    <col min="1549" max="1549" width="48.85546875" style="14" customWidth="1"/>
    <col min="1550" max="1550" width="53.28515625" style="14" customWidth="1"/>
    <col min="1551" max="1551" width="56.28515625" style="14" customWidth="1"/>
    <col min="1552" max="1595" width="12" style="14" customWidth="1"/>
    <col min="1596" max="1803" width="13.28515625" style="14"/>
    <col min="1804" max="1804" width="40.28515625" style="14" customWidth="1"/>
    <col min="1805" max="1805" width="48.85546875" style="14" customWidth="1"/>
    <col min="1806" max="1806" width="53.28515625" style="14" customWidth="1"/>
    <col min="1807" max="1807" width="56.28515625" style="14" customWidth="1"/>
    <col min="1808" max="1851" width="12" style="14" customWidth="1"/>
    <col min="1852" max="2059" width="13.28515625" style="14"/>
    <col min="2060" max="2060" width="40.28515625" style="14" customWidth="1"/>
    <col min="2061" max="2061" width="48.85546875" style="14" customWidth="1"/>
    <col min="2062" max="2062" width="53.28515625" style="14" customWidth="1"/>
    <col min="2063" max="2063" width="56.28515625" style="14" customWidth="1"/>
    <col min="2064" max="2107" width="12" style="14" customWidth="1"/>
    <col min="2108" max="2315" width="13.28515625" style="14"/>
    <col min="2316" max="2316" width="40.28515625" style="14" customWidth="1"/>
    <col min="2317" max="2317" width="48.85546875" style="14" customWidth="1"/>
    <col min="2318" max="2318" width="53.28515625" style="14" customWidth="1"/>
    <col min="2319" max="2319" width="56.28515625" style="14" customWidth="1"/>
    <col min="2320" max="2363" width="12" style="14" customWidth="1"/>
    <col min="2364" max="2571" width="13.28515625" style="14"/>
    <col min="2572" max="2572" width="40.28515625" style="14" customWidth="1"/>
    <col min="2573" max="2573" width="48.85546875" style="14" customWidth="1"/>
    <col min="2574" max="2574" width="53.28515625" style="14" customWidth="1"/>
    <col min="2575" max="2575" width="56.28515625" style="14" customWidth="1"/>
    <col min="2576" max="2619" width="12" style="14" customWidth="1"/>
    <col min="2620" max="2827" width="13.28515625" style="14"/>
    <col min="2828" max="2828" width="40.28515625" style="14" customWidth="1"/>
    <col min="2829" max="2829" width="48.85546875" style="14" customWidth="1"/>
    <col min="2830" max="2830" width="53.28515625" style="14" customWidth="1"/>
    <col min="2831" max="2831" width="56.28515625" style="14" customWidth="1"/>
    <col min="2832" max="2875" width="12" style="14" customWidth="1"/>
    <col min="2876" max="3083" width="13.28515625" style="14"/>
    <col min="3084" max="3084" width="40.28515625" style="14" customWidth="1"/>
    <col min="3085" max="3085" width="48.85546875" style="14" customWidth="1"/>
    <col min="3086" max="3086" width="53.28515625" style="14" customWidth="1"/>
    <col min="3087" max="3087" width="56.28515625" style="14" customWidth="1"/>
    <col min="3088" max="3131" width="12" style="14" customWidth="1"/>
    <col min="3132" max="3339" width="13.28515625" style="14"/>
    <col min="3340" max="3340" width="40.28515625" style="14" customWidth="1"/>
    <col min="3341" max="3341" width="48.85546875" style="14" customWidth="1"/>
    <col min="3342" max="3342" width="53.28515625" style="14" customWidth="1"/>
    <col min="3343" max="3343" width="56.28515625" style="14" customWidth="1"/>
    <col min="3344" max="3387" width="12" style="14" customWidth="1"/>
    <col min="3388" max="3595" width="13.28515625" style="14"/>
    <col min="3596" max="3596" width="40.28515625" style="14" customWidth="1"/>
    <col min="3597" max="3597" width="48.85546875" style="14" customWidth="1"/>
    <col min="3598" max="3598" width="53.28515625" style="14" customWidth="1"/>
    <col min="3599" max="3599" width="56.28515625" style="14" customWidth="1"/>
    <col min="3600" max="3643" width="12" style="14" customWidth="1"/>
    <col min="3644" max="3851" width="13.28515625" style="14"/>
    <col min="3852" max="3852" width="40.28515625" style="14" customWidth="1"/>
    <col min="3853" max="3853" width="48.85546875" style="14" customWidth="1"/>
    <col min="3854" max="3854" width="53.28515625" style="14" customWidth="1"/>
    <col min="3855" max="3855" width="56.28515625" style="14" customWidth="1"/>
    <col min="3856" max="3899" width="12" style="14" customWidth="1"/>
    <col min="3900" max="4107" width="13.28515625" style="14"/>
    <col min="4108" max="4108" width="40.28515625" style="14" customWidth="1"/>
    <col min="4109" max="4109" width="48.85546875" style="14" customWidth="1"/>
    <col min="4110" max="4110" width="53.28515625" style="14" customWidth="1"/>
    <col min="4111" max="4111" width="56.28515625" style="14" customWidth="1"/>
    <col min="4112" max="4155" width="12" style="14" customWidth="1"/>
    <col min="4156" max="4363" width="13.28515625" style="14"/>
    <col min="4364" max="4364" width="40.28515625" style="14" customWidth="1"/>
    <col min="4365" max="4365" width="48.85546875" style="14" customWidth="1"/>
    <col min="4366" max="4366" width="53.28515625" style="14" customWidth="1"/>
    <col min="4367" max="4367" width="56.28515625" style="14" customWidth="1"/>
    <col min="4368" max="4411" width="12" style="14" customWidth="1"/>
    <col min="4412" max="4619" width="13.28515625" style="14"/>
    <col min="4620" max="4620" width="40.28515625" style="14" customWidth="1"/>
    <col min="4621" max="4621" width="48.85546875" style="14" customWidth="1"/>
    <col min="4622" max="4622" width="53.28515625" style="14" customWidth="1"/>
    <col min="4623" max="4623" width="56.28515625" style="14" customWidth="1"/>
    <col min="4624" max="4667" width="12" style="14" customWidth="1"/>
    <col min="4668" max="4875" width="13.28515625" style="14"/>
    <col min="4876" max="4876" width="40.28515625" style="14" customWidth="1"/>
    <col min="4877" max="4877" width="48.85546875" style="14" customWidth="1"/>
    <col min="4878" max="4878" width="53.28515625" style="14" customWidth="1"/>
    <col min="4879" max="4879" width="56.28515625" style="14" customWidth="1"/>
    <col min="4880" max="4923" width="12" style="14" customWidth="1"/>
    <col min="4924" max="5131" width="13.28515625" style="14"/>
    <col min="5132" max="5132" width="40.28515625" style="14" customWidth="1"/>
    <col min="5133" max="5133" width="48.85546875" style="14" customWidth="1"/>
    <col min="5134" max="5134" width="53.28515625" style="14" customWidth="1"/>
    <col min="5135" max="5135" width="56.28515625" style="14" customWidth="1"/>
    <col min="5136" max="5179" width="12" style="14" customWidth="1"/>
    <col min="5180" max="5387" width="13.28515625" style="14"/>
    <col min="5388" max="5388" width="40.28515625" style="14" customWidth="1"/>
    <col min="5389" max="5389" width="48.85546875" style="14" customWidth="1"/>
    <col min="5390" max="5390" width="53.28515625" style="14" customWidth="1"/>
    <col min="5391" max="5391" width="56.28515625" style="14" customWidth="1"/>
    <col min="5392" max="5435" width="12" style="14" customWidth="1"/>
    <col min="5436" max="5643" width="13.28515625" style="14"/>
    <col min="5644" max="5644" width="40.28515625" style="14" customWidth="1"/>
    <col min="5645" max="5645" width="48.85546875" style="14" customWidth="1"/>
    <col min="5646" max="5646" width="53.28515625" style="14" customWidth="1"/>
    <col min="5647" max="5647" width="56.28515625" style="14" customWidth="1"/>
    <col min="5648" max="5691" width="12" style="14" customWidth="1"/>
    <col min="5692" max="5899" width="13.28515625" style="14"/>
    <col min="5900" max="5900" width="40.28515625" style="14" customWidth="1"/>
    <col min="5901" max="5901" width="48.85546875" style="14" customWidth="1"/>
    <col min="5902" max="5902" width="53.28515625" style="14" customWidth="1"/>
    <col min="5903" max="5903" width="56.28515625" style="14" customWidth="1"/>
    <col min="5904" max="5947" width="12" style="14" customWidth="1"/>
    <col min="5948" max="6155" width="13.28515625" style="14"/>
    <col min="6156" max="6156" width="40.28515625" style="14" customWidth="1"/>
    <col min="6157" max="6157" width="48.85546875" style="14" customWidth="1"/>
    <col min="6158" max="6158" width="53.28515625" style="14" customWidth="1"/>
    <col min="6159" max="6159" width="56.28515625" style="14" customWidth="1"/>
    <col min="6160" max="6203" width="12" style="14" customWidth="1"/>
    <col min="6204" max="6411" width="13.28515625" style="14"/>
    <col min="6412" max="6412" width="40.28515625" style="14" customWidth="1"/>
    <col min="6413" max="6413" width="48.85546875" style="14" customWidth="1"/>
    <col min="6414" max="6414" width="53.28515625" style="14" customWidth="1"/>
    <col min="6415" max="6415" width="56.28515625" style="14" customWidth="1"/>
    <col min="6416" max="6459" width="12" style="14" customWidth="1"/>
    <col min="6460" max="6667" width="13.28515625" style="14"/>
    <col min="6668" max="6668" width="40.28515625" style="14" customWidth="1"/>
    <col min="6669" max="6669" width="48.85546875" style="14" customWidth="1"/>
    <col min="6670" max="6670" width="53.28515625" style="14" customWidth="1"/>
    <col min="6671" max="6671" width="56.28515625" style="14" customWidth="1"/>
    <col min="6672" max="6715" width="12" style="14" customWidth="1"/>
    <col min="6716" max="6923" width="13.28515625" style="14"/>
    <col min="6924" max="6924" width="40.28515625" style="14" customWidth="1"/>
    <col min="6925" max="6925" width="48.85546875" style="14" customWidth="1"/>
    <col min="6926" max="6926" width="53.28515625" style="14" customWidth="1"/>
    <col min="6927" max="6927" width="56.28515625" style="14" customWidth="1"/>
    <col min="6928" max="6971" width="12" style="14" customWidth="1"/>
    <col min="6972" max="7179" width="13.28515625" style="14"/>
    <col min="7180" max="7180" width="40.28515625" style="14" customWidth="1"/>
    <col min="7181" max="7181" width="48.85546875" style="14" customWidth="1"/>
    <col min="7182" max="7182" width="53.28515625" style="14" customWidth="1"/>
    <col min="7183" max="7183" width="56.28515625" style="14" customWidth="1"/>
    <col min="7184" max="7227" width="12" style="14" customWidth="1"/>
    <col min="7228" max="7435" width="13.28515625" style="14"/>
    <col min="7436" max="7436" width="40.28515625" style="14" customWidth="1"/>
    <col min="7437" max="7437" width="48.85546875" style="14" customWidth="1"/>
    <col min="7438" max="7438" width="53.28515625" style="14" customWidth="1"/>
    <col min="7439" max="7439" width="56.28515625" style="14" customWidth="1"/>
    <col min="7440" max="7483" width="12" style="14" customWidth="1"/>
    <col min="7484" max="7691" width="13.28515625" style="14"/>
    <col min="7692" max="7692" width="40.28515625" style="14" customWidth="1"/>
    <col min="7693" max="7693" width="48.85546875" style="14" customWidth="1"/>
    <col min="7694" max="7694" width="53.28515625" style="14" customWidth="1"/>
    <col min="7695" max="7695" width="56.28515625" style="14" customWidth="1"/>
    <col min="7696" max="7739" width="12" style="14" customWidth="1"/>
    <col min="7740" max="7947" width="13.28515625" style="14"/>
    <col min="7948" max="7948" width="40.28515625" style="14" customWidth="1"/>
    <col min="7949" max="7949" width="48.85546875" style="14" customWidth="1"/>
    <col min="7950" max="7950" width="53.28515625" style="14" customWidth="1"/>
    <col min="7951" max="7951" width="56.28515625" style="14" customWidth="1"/>
    <col min="7952" max="7995" width="12" style="14" customWidth="1"/>
    <col min="7996" max="8203" width="13.28515625" style="14"/>
    <col min="8204" max="8204" width="40.28515625" style="14" customWidth="1"/>
    <col min="8205" max="8205" width="48.85546875" style="14" customWidth="1"/>
    <col min="8206" max="8206" width="53.28515625" style="14" customWidth="1"/>
    <col min="8207" max="8207" width="56.28515625" style="14" customWidth="1"/>
    <col min="8208" max="8251" width="12" style="14" customWidth="1"/>
    <col min="8252" max="8459" width="13.28515625" style="14"/>
    <col min="8460" max="8460" width="40.28515625" style="14" customWidth="1"/>
    <col min="8461" max="8461" width="48.85546875" style="14" customWidth="1"/>
    <col min="8462" max="8462" width="53.28515625" style="14" customWidth="1"/>
    <col min="8463" max="8463" width="56.28515625" style="14" customWidth="1"/>
    <col min="8464" max="8507" width="12" style="14" customWidth="1"/>
    <col min="8508" max="8715" width="13.28515625" style="14"/>
    <col min="8716" max="8716" width="40.28515625" style="14" customWidth="1"/>
    <col min="8717" max="8717" width="48.85546875" style="14" customWidth="1"/>
    <col min="8718" max="8718" width="53.28515625" style="14" customWidth="1"/>
    <col min="8719" max="8719" width="56.28515625" style="14" customWidth="1"/>
    <col min="8720" max="8763" width="12" style="14" customWidth="1"/>
    <col min="8764" max="8971" width="13.28515625" style="14"/>
    <col min="8972" max="8972" width="40.28515625" style="14" customWidth="1"/>
    <col min="8973" max="8973" width="48.85546875" style="14" customWidth="1"/>
    <col min="8974" max="8974" width="53.28515625" style="14" customWidth="1"/>
    <col min="8975" max="8975" width="56.28515625" style="14" customWidth="1"/>
    <col min="8976" max="9019" width="12" style="14" customWidth="1"/>
    <col min="9020" max="9227" width="13.28515625" style="14"/>
    <col min="9228" max="9228" width="40.28515625" style="14" customWidth="1"/>
    <col min="9229" max="9229" width="48.85546875" style="14" customWidth="1"/>
    <col min="9230" max="9230" width="53.28515625" style="14" customWidth="1"/>
    <col min="9231" max="9231" width="56.28515625" style="14" customWidth="1"/>
    <col min="9232" max="9275" width="12" style="14" customWidth="1"/>
    <col min="9276" max="9483" width="13.28515625" style="14"/>
    <col min="9484" max="9484" width="40.28515625" style="14" customWidth="1"/>
    <col min="9485" max="9485" width="48.85546875" style="14" customWidth="1"/>
    <col min="9486" max="9486" width="53.28515625" style="14" customWidth="1"/>
    <col min="9487" max="9487" width="56.28515625" style="14" customWidth="1"/>
    <col min="9488" max="9531" width="12" style="14" customWidth="1"/>
    <col min="9532" max="9739" width="13.28515625" style="14"/>
    <col min="9740" max="9740" width="40.28515625" style="14" customWidth="1"/>
    <col min="9741" max="9741" width="48.85546875" style="14" customWidth="1"/>
    <col min="9742" max="9742" width="53.28515625" style="14" customWidth="1"/>
    <col min="9743" max="9743" width="56.28515625" style="14" customWidth="1"/>
    <col min="9744" max="9787" width="12" style="14" customWidth="1"/>
    <col min="9788" max="9995" width="13.28515625" style="14"/>
    <col min="9996" max="9996" width="40.28515625" style="14" customWidth="1"/>
    <col min="9997" max="9997" width="48.85546875" style="14" customWidth="1"/>
    <col min="9998" max="9998" width="53.28515625" style="14" customWidth="1"/>
    <col min="9999" max="9999" width="56.28515625" style="14" customWidth="1"/>
    <col min="10000" max="10043" width="12" style="14" customWidth="1"/>
    <col min="10044" max="10251" width="13.28515625" style="14"/>
    <col min="10252" max="10252" width="40.28515625" style="14" customWidth="1"/>
    <col min="10253" max="10253" width="48.85546875" style="14" customWidth="1"/>
    <col min="10254" max="10254" width="53.28515625" style="14" customWidth="1"/>
    <col min="10255" max="10255" width="56.28515625" style="14" customWidth="1"/>
    <col min="10256" max="10299" width="12" style="14" customWidth="1"/>
    <col min="10300" max="10507" width="13.28515625" style="14"/>
    <col min="10508" max="10508" width="40.28515625" style="14" customWidth="1"/>
    <col min="10509" max="10509" width="48.85546875" style="14" customWidth="1"/>
    <col min="10510" max="10510" width="53.28515625" style="14" customWidth="1"/>
    <col min="10511" max="10511" width="56.28515625" style="14" customWidth="1"/>
    <col min="10512" max="10555" width="12" style="14" customWidth="1"/>
    <col min="10556" max="10763" width="13.28515625" style="14"/>
    <col min="10764" max="10764" width="40.28515625" style="14" customWidth="1"/>
    <col min="10765" max="10765" width="48.85546875" style="14" customWidth="1"/>
    <col min="10766" max="10766" width="53.28515625" style="14" customWidth="1"/>
    <col min="10767" max="10767" width="56.28515625" style="14" customWidth="1"/>
    <col min="10768" max="10811" width="12" style="14" customWidth="1"/>
    <col min="10812" max="11019" width="13.28515625" style="14"/>
    <col min="11020" max="11020" width="40.28515625" style="14" customWidth="1"/>
    <col min="11021" max="11021" width="48.85546875" style="14" customWidth="1"/>
    <col min="11022" max="11022" width="53.28515625" style="14" customWidth="1"/>
    <col min="11023" max="11023" width="56.28515625" style="14" customWidth="1"/>
    <col min="11024" max="11067" width="12" style="14" customWidth="1"/>
    <col min="11068" max="11275" width="13.28515625" style="14"/>
    <col min="11276" max="11276" width="40.28515625" style="14" customWidth="1"/>
    <col min="11277" max="11277" width="48.85546875" style="14" customWidth="1"/>
    <col min="11278" max="11278" width="53.28515625" style="14" customWidth="1"/>
    <col min="11279" max="11279" width="56.28515625" style="14" customWidth="1"/>
    <col min="11280" max="11323" width="12" style="14" customWidth="1"/>
    <col min="11324" max="11531" width="13.28515625" style="14"/>
    <col min="11532" max="11532" width="40.28515625" style="14" customWidth="1"/>
    <col min="11533" max="11533" width="48.85546875" style="14" customWidth="1"/>
    <col min="11534" max="11534" width="53.28515625" style="14" customWidth="1"/>
    <col min="11535" max="11535" width="56.28515625" style="14" customWidth="1"/>
    <col min="11536" max="11579" width="12" style="14" customWidth="1"/>
    <col min="11580" max="11787" width="13.28515625" style="14"/>
    <col min="11788" max="11788" width="40.28515625" style="14" customWidth="1"/>
    <col min="11789" max="11789" width="48.85546875" style="14" customWidth="1"/>
    <col min="11790" max="11790" width="53.28515625" style="14" customWidth="1"/>
    <col min="11791" max="11791" width="56.28515625" style="14" customWidth="1"/>
    <col min="11792" max="11835" width="12" style="14" customWidth="1"/>
    <col min="11836" max="12043" width="13.28515625" style="14"/>
    <col min="12044" max="12044" width="40.28515625" style="14" customWidth="1"/>
    <col min="12045" max="12045" width="48.85546875" style="14" customWidth="1"/>
    <col min="12046" max="12046" width="53.28515625" style="14" customWidth="1"/>
    <col min="12047" max="12047" width="56.28515625" style="14" customWidth="1"/>
    <col min="12048" max="12091" width="12" style="14" customWidth="1"/>
    <col min="12092" max="12299" width="13.28515625" style="14"/>
    <col min="12300" max="12300" width="40.28515625" style="14" customWidth="1"/>
    <col min="12301" max="12301" width="48.85546875" style="14" customWidth="1"/>
    <col min="12302" max="12302" width="53.28515625" style="14" customWidth="1"/>
    <col min="12303" max="12303" width="56.28515625" style="14" customWidth="1"/>
    <col min="12304" max="12347" width="12" style="14" customWidth="1"/>
    <col min="12348" max="12555" width="13.28515625" style="14"/>
    <col min="12556" max="12556" width="40.28515625" style="14" customWidth="1"/>
    <col min="12557" max="12557" width="48.85546875" style="14" customWidth="1"/>
    <col min="12558" max="12558" width="53.28515625" style="14" customWidth="1"/>
    <col min="12559" max="12559" width="56.28515625" style="14" customWidth="1"/>
    <col min="12560" max="12603" width="12" style="14" customWidth="1"/>
    <col min="12604" max="12811" width="13.28515625" style="14"/>
    <col min="12812" max="12812" width="40.28515625" style="14" customWidth="1"/>
    <col min="12813" max="12813" width="48.85546875" style="14" customWidth="1"/>
    <col min="12814" max="12814" width="53.28515625" style="14" customWidth="1"/>
    <col min="12815" max="12815" width="56.28515625" style="14" customWidth="1"/>
    <col min="12816" max="12859" width="12" style="14" customWidth="1"/>
    <col min="12860" max="13067" width="13.28515625" style="14"/>
    <col min="13068" max="13068" width="40.28515625" style="14" customWidth="1"/>
    <col min="13069" max="13069" width="48.85546875" style="14" customWidth="1"/>
    <col min="13070" max="13070" width="53.28515625" style="14" customWidth="1"/>
    <col min="13071" max="13071" width="56.28515625" style="14" customWidth="1"/>
    <col min="13072" max="13115" width="12" style="14" customWidth="1"/>
    <col min="13116" max="13323" width="13.28515625" style="14"/>
    <col min="13324" max="13324" width="40.28515625" style="14" customWidth="1"/>
    <col min="13325" max="13325" width="48.85546875" style="14" customWidth="1"/>
    <col min="13326" max="13326" width="53.28515625" style="14" customWidth="1"/>
    <col min="13327" max="13327" width="56.28515625" style="14" customWidth="1"/>
    <col min="13328" max="13371" width="12" style="14" customWidth="1"/>
    <col min="13372" max="13579" width="13.28515625" style="14"/>
    <col min="13580" max="13580" width="40.28515625" style="14" customWidth="1"/>
    <col min="13581" max="13581" width="48.85546875" style="14" customWidth="1"/>
    <col min="13582" max="13582" width="53.28515625" style="14" customWidth="1"/>
    <col min="13583" max="13583" width="56.28515625" style="14" customWidth="1"/>
    <col min="13584" max="13627" width="12" style="14" customWidth="1"/>
    <col min="13628" max="13835" width="13.28515625" style="14"/>
    <col min="13836" max="13836" width="40.28515625" style="14" customWidth="1"/>
    <col min="13837" max="13837" width="48.85546875" style="14" customWidth="1"/>
    <col min="13838" max="13838" width="53.28515625" style="14" customWidth="1"/>
    <col min="13839" max="13839" width="56.28515625" style="14" customWidth="1"/>
    <col min="13840" max="13883" width="12" style="14" customWidth="1"/>
    <col min="13884" max="14091" width="13.28515625" style="14"/>
    <col min="14092" max="14092" width="40.28515625" style="14" customWidth="1"/>
    <col min="14093" max="14093" width="48.85546875" style="14" customWidth="1"/>
    <col min="14094" max="14094" width="53.28515625" style="14" customWidth="1"/>
    <col min="14095" max="14095" width="56.28515625" style="14" customWidth="1"/>
    <col min="14096" max="14139" width="12" style="14" customWidth="1"/>
    <col min="14140" max="14347" width="13.28515625" style="14"/>
    <col min="14348" max="14348" width="40.28515625" style="14" customWidth="1"/>
    <col min="14349" max="14349" width="48.85546875" style="14" customWidth="1"/>
    <col min="14350" max="14350" width="53.28515625" style="14" customWidth="1"/>
    <col min="14351" max="14351" width="56.28515625" style="14" customWidth="1"/>
    <col min="14352" max="14395" width="12" style="14" customWidth="1"/>
    <col min="14396" max="14603" width="13.28515625" style="14"/>
    <col min="14604" max="14604" width="40.28515625" style="14" customWidth="1"/>
    <col min="14605" max="14605" width="48.85546875" style="14" customWidth="1"/>
    <col min="14606" max="14606" width="53.28515625" style="14" customWidth="1"/>
    <col min="14607" max="14607" width="56.28515625" style="14" customWidth="1"/>
    <col min="14608" max="14651" width="12" style="14" customWidth="1"/>
    <col min="14652" max="14859" width="13.28515625" style="14"/>
    <col min="14860" max="14860" width="40.28515625" style="14" customWidth="1"/>
    <col min="14861" max="14861" width="48.85546875" style="14" customWidth="1"/>
    <col min="14862" max="14862" width="53.28515625" style="14" customWidth="1"/>
    <col min="14863" max="14863" width="56.28515625" style="14" customWidth="1"/>
    <col min="14864" max="14907" width="12" style="14" customWidth="1"/>
    <col min="14908" max="15115" width="13.28515625" style="14"/>
    <col min="15116" max="15116" width="40.28515625" style="14" customWidth="1"/>
    <col min="15117" max="15117" width="48.85546875" style="14" customWidth="1"/>
    <col min="15118" max="15118" width="53.28515625" style="14" customWidth="1"/>
    <col min="15119" max="15119" width="56.28515625" style="14" customWidth="1"/>
    <col min="15120" max="15163" width="12" style="14" customWidth="1"/>
    <col min="15164" max="15371" width="13.28515625" style="14"/>
    <col min="15372" max="15372" width="40.28515625" style="14" customWidth="1"/>
    <col min="15373" max="15373" width="48.85546875" style="14" customWidth="1"/>
    <col min="15374" max="15374" width="53.28515625" style="14" customWidth="1"/>
    <col min="15375" max="15375" width="56.28515625" style="14" customWidth="1"/>
    <col min="15376" max="15419" width="12" style="14" customWidth="1"/>
    <col min="15420" max="15627" width="13.28515625" style="14"/>
    <col min="15628" max="15628" width="40.28515625" style="14" customWidth="1"/>
    <col min="15629" max="15629" width="48.85546875" style="14" customWidth="1"/>
    <col min="15630" max="15630" width="53.28515625" style="14" customWidth="1"/>
    <col min="15631" max="15631" width="56.28515625" style="14" customWidth="1"/>
    <col min="15632" max="15675" width="12" style="14" customWidth="1"/>
    <col min="15676" max="15883" width="13.28515625" style="14"/>
    <col min="15884" max="15884" width="40.28515625" style="14" customWidth="1"/>
    <col min="15885" max="15885" width="48.85546875" style="14" customWidth="1"/>
    <col min="15886" max="15886" width="53.28515625" style="14" customWidth="1"/>
    <col min="15887" max="15887" width="56.28515625" style="14" customWidth="1"/>
    <col min="15888" max="15931" width="12" style="14" customWidth="1"/>
    <col min="15932" max="16139" width="13.28515625" style="14"/>
    <col min="16140" max="16140" width="40.28515625" style="14" customWidth="1"/>
    <col min="16141" max="16141" width="48.85546875" style="14" customWidth="1"/>
    <col min="16142" max="16142" width="53.28515625" style="14" customWidth="1"/>
    <col min="16143" max="16143" width="56.28515625" style="14" customWidth="1"/>
    <col min="16144" max="16187" width="12" style="14" customWidth="1"/>
    <col min="16188" max="16384" width="13.28515625" style="14"/>
  </cols>
  <sheetData>
    <row r="1" spans="1:22" ht="30" customHeight="1" thickBot="1" x14ac:dyDescent="0.25">
      <c r="A1" s="18"/>
      <c r="B1" s="18"/>
      <c r="C1" s="19"/>
      <c r="D1" s="19"/>
      <c r="E1" s="19"/>
      <c r="F1" s="19"/>
      <c r="G1" s="19"/>
      <c r="H1" s="19"/>
      <c r="I1" s="453" t="s">
        <v>1416</v>
      </c>
      <c r="J1" s="448"/>
      <c r="K1" s="448"/>
      <c r="L1" s="448"/>
      <c r="M1" s="448"/>
      <c r="N1" s="448"/>
      <c r="O1" s="448"/>
      <c r="P1" s="448"/>
      <c r="Q1" s="448"/>
      <c r="R1" s="448"/>
      <c r="S1" s="448"/>
      <c r="T1" s="19"/>
      <c r="U1" s="19"/>
    </row>
    <row r="2" spans="1:22" s="13" customFormat="1" ht="30.75" thickBot="1" x14ac:dyDescent="0.25">
      <c r="A2" s="11" t="s">
        <v>1042</v>
      </c>
      <c r="B2" s="11" t="s">
        <v>1050</v>
      </c>
      <c r="C2" s="11" t="s">
        <v>1041</v>
      </c>
      <c r="D2" s="11" t="s">
        <v>185</v>
      </c>
      <c r="E2" s="11" t="s">
        <v>1038</v>
      </c>
      <c r="F2" s="11" t="s">
        <v>1049</v>
      </c>
      <c r="G2" s="11" t="s">
        <v>1040</v>
      </c>
      <c r="H2" s="123" t="s">
        <v>1038</v>
      </c>
      <c r="I2" s="125" t="s">
        <v>1417</v>
      </c>
      <c r="J2" s="125" t="s">
        <v>1418</v>
      </c>
      <c r="K2" s="125" t="s">
        <v>1419</v>
      </c>
      <c r="L2" s="125" t="s">
        <v>1420</v>
      </c>
      <c r="M2" s="125" t="s">
        <v>1421</v>
      </c>
      <c r="N2" s="125" t="s">
        <v>1422</v>
      </c>
      <c r="O2" s="125" t="s">
        <v>1423</v>
      </c>
      <c r="P2" s="125" t="s">
        <v>1424</v>
      </c>
      <c r="Q2" s="125" t="s">
        <v>1425</v>
      </c>
      <c r="R2" s="125" t="s">
        <v>1426</v>
      </c>
      <c r="S2" s="125" t="s">
        <v>1427</v>
      </c>
      <c r="T2" s="124" t="s">
        <v>1039</v>
      </c>
      <c r="U2" s="11" t="s">
        <v>1051</v>
      </c>
      <c r="V2" s="4" t="s">
        <v>7</v>
      </c>
    </row>
    <row r="3" spans="1:22" x14ac:dyDescent="0.2">
      <c r="A3" s="288" t="s">
        <v>1052</v>
      </c>
      <c r="B3" s="275" t="s">
        <v>1053</v>
      </c>
      <c r="C3" s="275"/>
      <c r="D3" s="275"/>
      <c r="E3" s="275"/>
      <c r="F3" s="288" t="s">
        <v>1054</v>
      </c>
      <c r="G3" s="272"/>
      <c r="H3" s="272"/>
      <c r="I3" s="446"/>
      <c r="J3" s="446"/>
      <c r="K3" s="446"/>
      <c r="L3" s="446"/>
      <c r="M3" s="446"/>
      <c r="N3" s="446"/>
      <c r="O3" s="446"/>
      <c r="P3" s="446"/>
      <c r="Q3" s="446"/>
      <c r="R3" s="446"/>
      <c r="S3" s="446"/>
      <c r="T3" s="272"/>
      <c r="U3" s="109" t="s">
        <v>1055</v>
      </c>
      <c r="V3" s="7"/>
    </row>
    <row r="4" spans="1:22" x14ac:dyDescent="0.2">
      <c r="A4" s="288"/>
      <c r="B4" s="275"/>
      <c r="C4" s="275"/>
      <c r="D4" s="275"/>
      <c r="E4" s="275"/>
      <c r="F4" s="288"/>
      <c r="G4" s="272"/>
      <c r="H4" s="272"/>
      <c r="I4" s="441"/>
      <c r="J4" s="441"/>
      <c r="K4" s="441"/>
      <c r="L4" s="441"/>
      <c r="M4" s="441"/>
      <c r="N4" s="441"/>
      <c r="O4" s="441"/>
      <c r="P4" s="441"/>
      <c r="Q4" s="441"/>
      <c r="R4" s="441"/>
      <c r="S4" s="441"/>
      <c r="T4" s="272"/>
      <c r="U4" s="109" t="s">
        <v>1056</v>
      </c>
      <c r="V4" s="7"/>
    </row>
    <row r="5" spans="1:22" x14ac:dyDescent="0.2">
      <c r="A5" s="273"/>
      <c r="B5" s="276"/>
      <c r="C5" s="276"/>
      <c r="D5" s="276"/>
      <c r="E5" s="276"/>
      <c r="F5" s="273"/>
      <c r="G5" s="273"/>
      <c r="H5" s="273"/>
      <c r="I5" s="442"/>
      <c r="J5" s="442"/>
      <c r="K5" s="442"/>
      <c r="L5" s="442"/>
      <c r="M5" s="442"/>
      <c r="N5" s="442"/>
      <c r="O5" s="442"/>
      <c r="P5" s="442"/>
      <c r="Q5" s="442"/>
      <c r="R5" s="442"/>
      <c r="S5" s="442"/>
      <c r="T5" s="273"/>
      <c r="U5" s="109" t="s">
        <v>1057</v>
      </c>
      <c r="V5" s="7"/>
    </row>
    <row r="6" spans="1:22" ht="15" customHeight="1" x14ac:dyDescent="0.2">
      <c r="A6" s="273"/>
      <c r="B6" s="276"/>
      <c r="C6" s="276"/>
      <c r="D6" s="276"/>
      <c r="E6" s="276"/>
      <c r="F6" s="288" t="s">
        <v>1058</v>
      </c>
      <c r="G6" s="289"/>
      <c r="H6" s="272"/>
      <c r="I6" s="440"/>
      <c r="J6" s="440"/>
      <c r="K6" s="440"/>
      <c r="L6" s="440"/>
      <c r="M6" s="440"/>
      <c r="N6" s="440"/>
      <c r="O6" s="440"/>
      <c r="P6" s="440"/>
      <c r="Q6" s="440"/>
      <c r="R6" s="440"/>
      <c r="S6" s="440"/>
      <c r="T6" s="289"/>
      <c r="U6" s="109" t="s">
        <v>1059</v>
      </c>
      <c r="V6" s="7"/>
    </row>
    <row r="7" spans="1:22" ht="15" customHeight="1" x14ac:dyDescent="0.2">
      <c r="A7" s="273"/>
      <c r="B7" s="276"/>
      <c r="C7" s="276"/>
      <c r="D7" s="276"/>
      <c r="E7" s="276"/>
      <c r="F7" s="288"/>
      <c r="G7" s="289"/>
      <c r="H7" s="272"/>
      <c r="I7" s="441"/>
      <c r="J7" s="441"/>
      <c r="K7" s="441"/>
      <c r="L7" s="441"/>
      <c r="M7" s="441"/>
      <c r="N7" s="441"/>
      <c r="O7" s="441"/>
      <c r="P7" s="441"/>
      <c r="Q7" s="441"/>
      <c r="R7" s="441"/>
      <c r="S7" s="441"/>
      <c r="T7" s="289"/>
      <c r="U7" s="109" t="s">
        <v>1060</v>
      </c>
      <c r="V7" s="7"/>
    </row>
    <row r="8" spans="1:22" x14ac:dyDescent="0.2">
      <c r="A8" s="273"/>
      <c r="B8" s="276"/>
      <c r="C8" s="276"/>
      <c r="D8" s="276"/>
      <c r="E8" s="276"/>
      <c r="F8" s="273"/>
      <c r="G8" s="273"/>
      <c r="H8" s="273"/>
      <c r="I8" s="442"/>
      <c r="J8" s="442"/>
      <c r="K8" s="442"/>
      <c r="L8" s="442"/>
      <c r="M8" s="442"/>
      <c r="N8" s="442"/>
      <c r="O8" s="442"/>
      <c r="P8" s="442"/>
      <c r="Q8" s="442"/>
      <c r="R8" s="442"/>
      <c r="S8" s="442"/>
      <c r="T8" s="273"/>
      <c r="U8" s="109" t="s">
        <v>1061</v>
      </c>
      <c r="V8" s="7"/>
    </row>
    <row r="9" spans="1:22" ht="15" customHeight="1" x14ac:dyDescent="0.2">
      <c r="A9" s="273"/>
      <c r="B9" s="276"/>
      <c r="C9" s="276"/>
      <c r="D9" s="276"/>
      <c r="E9" s="276"/>
      <c r="F9" s="288" t="s">
        <v>1062</v>
      </c>
      <c r="G9" s="272"/>
      <c r="H9" s="272"/>
      <c r="I9" s="440"/>
      <c r="J9" s="440"/>
      <c r="K9" s="440"/>
      <c r="L9" s="440"/>
      <c r="M9" s="440"/>
      <c r="N9" s="440"/>
      <c r="O9" s="440"/>
      <c r="P9" s="440"/>
      <c r="Q9" s="440"/>
      <c r="R9" s="440"/>
      <c r="S9" s="440"/>
      <c r="T9" s="272"/>
      <c r="U9" s="26"/>
      <c r="V9" s="7"/>
    </row>
    <row r="10" spans="1:22" ht="15" customHeight="1" x14ac:dyDescent="0.2">
      <c r="A10" s="273"/>
      <c r="B10" s="276"/>
      <c r="C10" s="276"/>
      <c r="D10" s="276"/>
      <c r="E10" s="276"/>
      <c r="F10" s="288"/>
      <c r="G10" s="272"/>
      <c r="H10" s="272"/>
      <c r="I10" s="441"/>
      <c r="J10" s="441"/>
      <c r="K10" s="441"/>
      <c r="L10" s="441"/>
      <c r="M10" s="441"/>
      <c r="N10" s="441"/>
      <c r="O10" s="441"/>
      <c r="P10" s="441"/>
      <c r="Q10" s="441"/>
      <c r="R10" s="441"/>
      <c r="S10" s="441"/>
      <c r="T10" s="272"/>
      <c r="U10" s="26"/>
      <c r="V10" s="7"/>
    </row>
    <row r="11" spans="1:22" x14ac:dyDescent="0.2">
      <c r="A11" s="273"/>
      <c r="B11" s="276"/>
      <c r="C11" s="276"/>
      <c r="D11" s="276"/>
      <c r="E11" s="276"/>
      <c r="F11" s="273"/>
      <c r="G11" s="273"/>
      <c r="H11" s="273"/>
      <c r="I11" s="442"/>
      <c r="J11" s="442"/>
      <c r="K11" s="442"/>
      <c r="L11" s="442"/>
      <c r="M11" s="442"/>
      <c r="N11" s="442"/>
      <c r="O11" s="442"/>
      <c r="P11" s="442"/>
      <c r="Q11" s="442"/>
      <c r="R11" s="442"/>
      <c r="S11" s="442"/>
      <c r="T11" s="273"/>
      <c r="U11" s="89"/>
      <c r="V11" s="7"/>
    </row>
    <row r="12" spans="1:22" ht="15" customHeight="1" x14ac:dyDescent="0.2">
      <c r="A12" s="273"/>
      <c r="B12" s="276"/>
      <c r="C12" s="276"/>
      <c r="D12" s="276"/>
      <c r="E12" s="276"/>
      <c r="F12" s="288" t="s">
        <v>1063</v>
      </c>
      <c r="G12" s="272"/>
      <c r="H12" s="272"/>
      <c r="I12" s="440"/>
      <c r="J12" s="440"/>
      <c r="K12" s="440"/>
      <c r="L12" s="440"/>
      <c r="M12" s="440"/>
      <c r="N12" s="440"/>
      <c r="O12" s="440"/>
      <c r="P12" s="440"/>
      <c r="Q12" s="440"/>
      <c r="R12" s="440"/>
      <c r="S12" s="440"/>
      <c r="T12" s="272"/>
      <c r="U12" s="26"/>
      <c r="V12" s="7"/>
    </row>
    <row r="13" spans="1:22" ht="15" customHeight="1" x14ac:dyDescent="0.2">
      <c r="A13" s="273"/>
      <c r="B13" s="276"/>
      <c r="C13" s="276"/>
      <c r="D13" s="276"/>
      <c r="E13" s="276"/>
      <c r="F13" s="288"/>
      <c r="G13" s="272"/>
      <c r="H13" s="272"/>
      <c r="I13" s="441"/>
      <c r="J13" s="441"/>
      <c r="K13" s="441"/>
      <c r="L13" s="441"/>
      <c r="M13" s="441"/>
      <c r="N13" s="441"/>
      <c r="O13" s="441"/>
      <c r="P13" s="441"/>
      <c r="Q13" s="441"/>
      <c r="R13" s="441"/>
      <c r="S13" s="441"/>
      <c r="T13" s="272"/>
      <c r="U13" s="26"/>
      <c r="V13" s="7"/>
    </row>
    <row r="14" spans="1:22" x14ac:dyDescent="0.2">
      <c r="A14" s="273"/>
      <c r="B14" s="276"/>
      <c r="C14" s="276"/>
      <c r="D14" s="276"/>
      <c r="E14" s="276"/>
      <c r="F14" s="273"/>
      <c r="G14" s="273"/>
      <c r="H14" s="273"/>
      <c r="I14" s="442"/>
      <c r="J14" s="442"/>
      <c r="K14" s="442"/>
      <c r="L14" s="442"/>
      <c r="M14" s="442"/>
      <c r="N14" s="442"/>
      <c r="O14" s="442"/>
      <c r="P14" s="442"/>
      <c r="Q14" s="442"/>
      <c r="R14" s="442"/>
      <c r="S14" s="442"/>
      <c r="T14" s="273"/>
      <c r="U14" s="89"/>
      <c r="V14" s="7"/>
    </row>
    <row r="15" spans="1:22" ht="15" customHeight="1" x14ac:dyDescent="0.2">
      <c r="A15" s="273"/>
      <c r="B15" s="276"/>
      <c r="C15" s="276"/>
      <c r="D15" s="276"/>
      <c r="E15" s="276"/>
      <c r="F15" s="288" t="s">
        <v>1064</v>
      </c>
      <c r="G15" s="272"/>
      <c r="H15" s="272"/>
      <c r="I15" s="440"/>
      <c r="J15" s="440"/>
      <c r="K15" s="440"/>
      <c r="L15" s="440"/>
      <c r="M15" s="440"/>
      <c r="N15" s="440"/>
      <c r="O15" s="440"/>
      <c r="P15" s="440"/>
      <c r="Q15" s="440"/>
      <c r="R15" s="440"/>
      <c r="S15" s="440"/>
      <c r="T15" s="272"/>
      <c r="U15" s="26"/>
      <c r="V15" s="7"/>
    </row>
    <row r="16" spans="1:22" ht="15" customHeight="1" x14ac:dyDescent="0.2">
      <c r="A16" s="273"/>
      <c r="B16" s="276"/>
      <c r="C16" s="276"/>
      <c r="D16" s="276"/>
      <c r="E16" s="276"/>
      <c r="F16" s="288"/>
      <c r="G16" s="272"/>
      <c r="H16" s="272"/>
      <c r="I16" s="441"/>
      <c r="J16" s="441"/>
      <c r="K16" s="441"/>
      <c r="L16" s="441"/>
      <c r="M16" s="441"/>
      <c r="N16" s="441"/>
      <c r="O16" s="441"/>
      <c r="P16" s="441"/>
      <c r="Q16" s="441"/>
      <c r="R16" s="441"/>
      <c r="S16" s="441"/>
      <c r="T16" s="272"/>
      <c r="U16" s="26"/>
      <c r="V16" s="7"/>
    </row>
    <row r="17" spans="1:22" x14ac:dyDescent="0.2">
      <c r="A17" s="273"/>
      <c r="B17" s="276"/>
      <c r="C17" s="276"/>
      <c r="D17" s="276"/>
      <c r="E17" s="276"/>
      <c r="F17" s="273"/>
      <c r="G17" s="273"/>
      <c r="H17" s="273"/>
      <c r="I17" s="442"/>
      <c r="J17" s="442"/>
      <c r="K17" s="442"/>
      <c r="L17" s="442"/>
      <c r="M17" s="442"/>
      <c r="N17" s="442"/>
      <c r="O17" s="442"/>
      <c r="P17" s="442"/>
      <c r="Q17" s="442"/>
      <c r="R17" s="442"/>
      <c r="S17" s="442"/>
      <c r="T17" s="273"/>
      <c r="U17" s="89"/>
      <c r="V17" s="7"/>
    </row>
    <row r="18" spans="1:22" ht="15" customHeight="1" x14ac:dyDescent="0.2">
      <c r="A18" s="273"/>
      <c r="B18" s="276"/>
      <c r="C18" s="276"/>
      <c r="D18" s="276"/>
      <c r="E18" s="276"/>
      <c r="F18" s="288" t="s">
        <v>1065</v>
      </c>
      <c r="G18" s="272"/>
      <c r="H18" s="272"/>
      <c r="I18" s="440"/>
      <c r="J18" s="440"/>
      <c r="K18" s="440"/>
      <c r="L18" s="440"/>
      <c r="M18" s="440"/>
      <c r="N18" s="440"/>
      <c r="O18" s="440"/>
      <c r="P18" s="440"/>
      <c r="Q18" s="440"/>
      <c r="R18" s="440"/>
      <c r="S18" s="440"/>
      <c r="T18" s="272"/>
      <c r="U18" s="26"/>
      <c r="V18" s="7"/>
    </row>
    <row r="19" spans="1:22" ht="15" customHeight="1" x14ac:dyDescent="0.2">
      <c r="A19" s="273"/>
      <c r="B19" s="276"/>
      <c r="C19" s="276"/>
      <c r="D19" s="276"/>
      <c r="E19" s="276"/>
      <c r="F19" s="288"/>
      <c r="G19" s="272"/>
      <c r="H19" s="272"/>
      <c r="I19" s="441"/>
      <c r="J19" s="441"/>
      <c r="K19" s="441"/>
      <c r="L19" s="441"/>
      <c r="M19" s="441"/>
      <c r="N19" s="441"/>
      <c r="O19" s="441"/>
      <c r="P19" s="441"/>
      <c r="Q19" s="441"/>
      <c r="R19" s="441"/>
      <c r="S19" s="441"/>
      <c r="T19" s="272"/>
      <c r="U19" s="26"/>
      <c r="V19" s="7"/>
    </row>
    <row r="20" spans="1:22" ht="15.75" thickBot="1" x14ac:dyDescent="0.25">
      <c r="A20" s="273"/>
      <c r="B20" s="276"/>
      <c r="C20" s="276"/>
      <c r="D20" s="276"/>
      <c r="E20" s="276"/>
      <c r="F20" s="273"/>
      <c r="G20" s="273"/>
      <c r="H20" s="273"/>
      <c r="I20" s="443"/>
      <c r="J20" s="443"/>
      <c r="K20" s="443"/>
      <c r="L20" s="443"/>
      <c r="M20" s="443"/>
      <c r="N20" s="443"/>
      <c r="O20" s="443"/>
      <c r="P20" s="443"/>
      <c r="Q20" s="443"/>
      <c r="R20" s="443"/>
      <c r="S20" s="443"/>
      <c r="T20" s="273"/>
      <c r="U20" s="89"/>
      <c r="V20" s="7"/>
    </row>
    <row r="21" spans="1:22" ht="15.75" thickBot="1" x14ac:dyDescent="0.25">
      <c r="A21" s="273"/>
      <c r="B21" s="120"/>
      <c r="C21" s="120"/>
      <c r="D21" s="450"/>
      <c r="E21" s="451"/>
      <c r="F21" s="451"/>
      <c r="G21" s="451"/>
      <c r="H21" s="451"/>
      <c r="I21" s="125" t="s">
        <v>1417</v>
      </c>
      <c r="J21" s="125" t="s">
        <v>1418</v>
      </c>
      <c r="K21" s="125" t="s">
        <v>1419</v>
      </c>
      <c r="L21" s="125" t="s">
        <v>1420</v>
      </c>
      <c r="M21" s="125" t="s">
        <v>1421</v>
      </c>
      <c r="N21" s="125" t="s">
        <v>1422</v>
      </c>
      <c r="O21" s="125" t="s">
        <v>1423</v>
      </c>
      <c r="P21" s="125" t="s">
        <v>1424</v>
      </c>
      <c r="Q21" s="125" t="s">
        <v>1425</v>
      </c>
      <c r="R21" s="125" t="s">
        <v>1426</v>
      </c>
      <c r="S21" s="125" t="s">
        <v>1427</v>
      </c>
      <c r="T21" s="450"/>
      <c r="U21" s="451"/>
      <c r="V21" s="452"/>
    </row>
    <row r="22" spans="1:22" x14ac:dyDescent="0.2">
      <c r="A22" s="273"/>
      <c r="B22" s="277" t="s">
        <v>1066</v>
      </c>
      <c r="C22" s="277"/>
      <c r="D22" s="277"/>
      <c r="E22" s="277"/>
      <c r="F22" s="288" t="s">
        <v>1067</v>
      </c>
      <c r="G22" s="289"/>
      <c r="H22" s="272"/>
      <c r="I22" s="446"/>
      <c r="J22" s="446"/>
      <c r="K22" s="446"/>
      <c r="L22" s="446"/>
      <c r="M22" s="446"/>
      <c r="N22" s="446"/>
      <c r="O22" s="446"/>
      <c r="P22" s="446"/>
      <c r="Q22" s="446"/>
      <c r="R22" s="446"/>
      <c r="S22" s="446"/>
      <c r="T22" s="289"/>
      <c r="U22" s="39"/>
      <c r="V22" s="7"/>
    </row>
    <row r="23" spans="1:22" x14ac:dyDescent="0.2">
      <c r="A23" s="273"/>
      <c r="B23" s="278"/>
      <c r="C23" s="278"/>
      <c r="D23" s="278"/>
      <c r="E23" s="278"/>
      <c r="F23" s="288"/>
      <c r="G23" s="289"/>
      <c r="H23" s="272"/>
      <c r="I23" s="441"/>
      <c r="J23" s="441"/>
      <c r="K23" s="441"/>
      <c r="L23" s="441"/>
      <c r="M23" s="441"/>
      <c r="N23" s="441"/>
      <c r="O23" s="441"/>
      <c r="P23" s="441"/>
      <c r="Q23" s="441"/>
      <c r="R23" s="441"/>
      <c r="S23" s="441"/>
      <c r="T23" s="289"/>
      <c r="U23" s="39"/>
      <c r="V23" s="7"/>
    </row>
    <row r="24" spans="1:22" x14ac:dyDescent="0.2">
      <c r="A24" s="273"/>
      <c r="B24" s="279"/>
      <c r="C24" s="279"/>
      <c r="D24" s="279"/>
      <c r="E24" s="279"/>
      <c r="F24" s="273"/>
      <c r="G24" s="273"/>
      <c r="H24" s="273"/>
      <c r="I24" s="442"/>
      <c r="J24" s="442"/>
      <c r="K24" s="442"/>
      <c r="L24" s="442"/>
      <c r="M24" s="442"/>
      <c r="N24" s="442"/>
      <c r="O24" s="442"/>
      <c r="P24" s="442"/>
      <c r="Q24" s="442"/>
      <c r="R24" s="442"/>
      <c r="S24" s="442"/>
      <c r="T24" s="273"/>
      <c r="U24" s="89"/>
      <c r="V24" s="7"/>
    </row>
    <row r="25" spans="1:22" ht="15" customHeight="1" x14ac:dyDescent="0.2">
      <c r="A25" s="273"/>
      <c r="B25" s="279"/>
      <c r="C25" s="279"/>
      <c r="D25" s="279"/>
      <c r="E25" s="279"/>
      <c r="F25" s="288" t="s">
        <v>1068</v>
      </c>
      <c r="G25" s="272"/>
      <c r="H25" s="272"/>
      <c r="I25" s="440"/>
      <c r="J25" s="440"/>
      <c r="K25" s="440"/>
      <c r="L25" s="440"/>
      <c r="M25" s="440"/>
      <c r="N25" s="440"/>
      <c r="O25" s="440"/>
      <c r="P25" s="440"/>
      <c r="Q25" s="440"/>
      <c r="R25" s="440"/>
      <c r="S25" s="440"/>
      <c r="T25" s="272"/>
      <c r="U25" s="26"/>
      <c r="V25" s="7"/>
    </row>
    <row r="26" spans="1:22" ht="15" customHeight="1" x14ac:dyDescent="0.2">
      <c r="A26" s="273"/>
      <c r="B26" s="279"/>
      <c r="C26" s="279"/>
      <c r="D26" s="279"/>
      <c r="E26" s="279"/>
      <c r="F26" s="288"/>
      <c r="G26" s="272"/>
      <c r="H26" s="272"/>
      <c r="I26" s="441"/>
      <c r="J26" s="441"/>
      <c r="K26" s="441"/>
      <c r="L26" s="441"/>
      <c r="M26" s="441"/>
      <c r="N26" s="441"/>
      <c r="O26" s="441"/>
      <c r="P26" s="441"/>
      <c r="Q26" s="441"/>
      <c r="R26" s="441"/>
      <c r="S26" s="441"/>
      <c r="T26" s="272"/>
      <c r="U26" s="26"/>
      <c r="V26" s="7"/>
    </row>
    <row r="27" spans="1:22" x14ac:dyDescent="0.2">
      <c r="A27" s="273"/>
      <c r="B27" s="279"/>
      <c r="C27" s="279"/>
      <c r="D27" s="279"/>
      <c r="E27" s="279"/>
      <c r="F27" s="273"/>
      <c r="G27" s="273"/>
      <c r="H27" s="273"/>
      <c r="I27" s="442"/>
      <c r="J27" s="442"/>
      <c r="K27" s="442"/>
      <c r="L27" s="442"/>
      <c r="M27" s="442"/>
      <c r="N27" s="442"/>
      <c r="O27" s="442"/>
      <c r="P27" s="442"/>
      <c r="Q27" s="442"/>
      <c r="R27" s="442"/>
      <c r="S27" s="442"/>
      <c r="T27" s="273"/>
      <c r="U27" s="89"/>
      <c r="V27" s="7"/>
    </row>
    <row r="28" spans="1:22" x14ac:dyDescent="0.2">
      <c r="A28" s="273"/>
      <c r="B28" s="279"/>
      <c r="C28" s="279"/>
      <c r="D28" s="279"/>
      <c r="E28" s="279"/>
      <c r="F28" s="288" t="s">
        <v>1069</v>
      </c>
      <c r="G28" s="272"/>
      <c r="H28" s="272"/>
      <c r="I28" s="440"/>
      <c r="J28" s="440"/>
      <c r="K28" s="440"/>
      <c r="L28" s="440"/>
      <c r="M28" s="440"/>
      <c r="N28" s="440"/>
      <c r="O28" s="440"/>
      <c r="P28" s="440"/>
      <c r="Q28" s="440"/>
      <c r="R28" s="440"/>
      <c r="S28" s="440"/>
      <c r="T28" s="272"/>
      <c r="U28" s="26"/>
      <c r="V28" s="7"/>
    </row>
    <row r="29" spans="1:22" x14ac:dyDescent="0.2">
      <c r="A29" s="273"/>
      <c r="B29" s="279"/>
      <c r="C29" s="279"/>
      <c r="D29" s="279"/>
      <c r="E29" s="279"/>
      <c r="F29" s="288"/>
      <c r="G29" s="272"/>
      <c r="H29" s="272"/>
      <c r="I29" s="441"/>
      <c r="J29" s="441"/>
      <c r="K29" s="441"/>
      <c r="L29" s="441"/>
      <c r="M29" s="441"/>
      <c r="N29" s="441"/>
      <c r="O29" s="441"/>
      <c r="P29" s="441"/>
      <c r="Q29" s="441"/>
      <c r="R29" s="441"/>
      <c r="S29" s="441"/>
      <c r="T29" s="272"/>
      <c r="U29" s="26"/>
      <c r="V29" s="7"/>
    </row>
    <row r="30" spans="1:22" x14ac:dyDescent="0.2">
      <c r="A30" s="273"/>
      <c r="B30" s="279"/>
      <c r="C30" s="279"/>
      <c r="D30" s="279"/>
      <c r="E30" s="279"/>
      <c r="F30" s="273"/>
      <c r="G30" s="273"/>
      <c r="H30" s="273"/>
      <c r="I30" s="442"/>
      <c r="J30" s="442"/>
      <c r="K30" s="442"/>
      <c r="L30" s="442"/>
      <c r="M30" s="442"/>
      <c r="N30" s="442"/>
      <c r="O30" s="442"/>
      <c r="P30" s="442"/>
      <c r="Q30" s="442"/>
      <c r="R30" s="442"/>
      <c r="S30" s="442"/>
      <c r="T30" s="273"/>
      <c r="U30" s="89"/>
      <c r="V30" s="7"/>
    </row>
    <row r="31" spans="1:22" x14ac:dyDescent="0.2">
      <c r="A31" s="273"/>
      <c r="B31" s="279"/>
      <c r="C31" s="279"/>
      <c r="D31" s="279"/>
      <c r="E31" s="279"/>
      <c r="F31" s="288" t="s">
        <v>1070</v>
      </c>
      <c r="G31" s="289"/>
      <c r="H31" s="272"/>
      <c r="I31" s="440"/>
      <c r="J31" s="440"/>
      <c r="K31" s="440"/>
      <c r="L31" s="440"/>
      <c r="M31" s="440"/>
      <c r="N31" s="440"/>
      <c r="O31" s="440"/>
      <c r="P31" s="440"/>
      <c r="Q31" s="440"/>
      <c r="R31" s="440"/>
      <c r="S31" s="440"/>
      <c r="T31" s="289"/>
      <c r="U31" s="39"/>
      <c r="V31" s="7"/>
    </row>
    <row r="32" spans="1:22" x14ac:dyDescent="0.2">
      <c r="A32" s="273"/>
      <c r="B32" s="279"/>
      <c r="C32" s="279"/>
      <c r="D32" s="279"/>
      <c r="E32" s="279"/>
      <c r="F32" s="288"/>
      <c r="G32" s="289"/>
      <c r="H32" s="272"/>
      <c r="I32" s="441"/>
      <c r="J32" s="441"/>
      <c r="K32" s="441"/>
      <c r="L32" s="441"/>
      <c r="M32" s="441"/>
      <c r="N32" s="441"/>
      <c r="O32" s="441"/>
      <c r="P32" s="441"/>
      <c r="Q32" s="441"/>
      <c r="R32" s="441"/>
      <c r="S32" s="441"/>
      <c r="T32" s="289"/>
      <c r="U32" s="39"/>
      <c r="V32" s="7"/>
    </row>
    <row r="33" spans="1:22" x14ac:dyDescent="0.2">
      <c r="A33" s="273"/>
      <c r="B33" s="279"/>
      <c r="C33" s="279"/>
      <c r="D33" s="279"/>
      <c r="E33" s="279"/>
      <c r="F33" s="273"/>
      <c r="G33" s="273"/>
      <c r="H33" s="273"/>
      <c r="I33" s="442"/>
      <c r="J33" s="442"/>
      <c r="K33" s="442"/>
      <c r="L33" s="442"/>
      <c r="M33" s="442"/>
      <c r="N33" s="442"/>
      <c r="O33" s="442"/>
      <c r="P33" s="442"/>
      <c r="Q33" s="442"/>
      <c r="R33" s="442"/>
      <c r="S33" s="442"/>
      <c r="T33" s="273"/>
      <c r="U33" s="89"/>
      <c r="V33" s="37"/>
    </row>
    <row r="34" spans="1:22" x14ac:dyDescent="0.2">
      <c r="A34" s="273"/>
      <c r="B34" s="279"/>
      <c r="C34" s="279"/>
      <c r="D34" s="279"/>
      <c r="E34" s="279"/>
      <c r="F34" s="288" t="s">
        <v>1071</v>
      </c>
      <c r="G34" s="272"/>
      <c r="H34" s="272"/>
      <c r="I34" s="440"/>
      <c r="J34" s="440"/>
      <c r="K34" s="440"/>
      <c r="L34" s="440"/>
      <c r="M34" s="440"/>
      <c r="N34" s="440"/>
      <c r="O34" s="440"/>
      <c r="P34" s="440"/>
      <c r="Q34" s="440"/>
      <c r="R34" s="440"/>
      <c r="S34" s="440"/>
      <c r="T34" s="272"/>
      <c r="U34" s="26"/>
      <c r="V34" s="37"/>
    </row>
    <row r="35" spans="1:22" x14ac:dyDescent="0.2">
      <c r="A35" s="273"/>
      <c r="B35" s="279"/>
      <c r="C35" s="279"/>
      <c r="D35" s="279"/>
      <c r="E35" s="279"/>
      <c r="F35" s="288"/>
      <c r="G35" s="272"/>
      <c r="H35" s="272"/>
      <c r="I35" s="441"/>
      <c r="J35" s="441"/>
      <c r="K35" s="441"/>
      <c r="L35" s="441"/>
      <c r="M35" s="441"/>
      <c r="N35" s="441"/>
      <c r="O35" s="441"/>
      <c r="P35" s="441"/>
      <c r="Q35" s="441"/>
      <c r="R35" s="441"/>
      <c r="S35" s="441"/>
      <c r="T35" s="272"/>
      <c r="U35" s="26"/>
      <c r="V35" s="37"/>
    </row>
    <row r="36" spans="1:22" x14ac:dyDescent="0.2">
      <c r="A36" s="273"/>
      <c r="B36" s="279"/>
      <c r="C36" s="279"/>
      <c r="D36" s="279"/>
      <c r="E36" s="279"/>
      <c r="F36" s="273"/>
      <c r="G36" s="273"/>
      <c r="H36" s="273"/>
      <c r="I36" s="442"/>
      <c r="J36" s="442"/>
      <c r="K36" s="442"/>
      <c r="L36" s="442"/>
      <c r="M36" s="442"/>
      <c r="N36" s="442"/>
      <c r="O36" s="442"/>
      <c r="P36" s="442"/>
      <c r="Q36" s="442"/>
      <c r="R36" s="442"/>
      <c r="S36" s="442"/>
      <c r="T36" s="273"/>
      <c r="U36" s="89"/>
      <c r="V36" s="37"/>
    </row>
    <row r="37" spans="1:22" ht="15" customHeight="1" x14ac:dyDescent="0.25">
      <c r="A37" s="273"/>
      <c r="B37" s="279"/>
      <c r="C37" s="279"/>
      <c r="D37" s="279"/>
      <c r="E37" s="279"/>
      <c r="F37" s="288" t="s">
        <v>1072</v>
      </c>
      <c r="G37" s="272"/>
      <c r="H37" s="272"/>
      <c r="I37" s="440"/>
      <c r="J37" s="440"/>
      <c r="K37" s="440"/>
      <c r="L37" s="440"/>
      <c r="M37" s="440"/>
      <c r="N37" s="440"/>
      <c r="O37" s="440"/>
      <c r="P37" s="440"/>
      <c r="Q37" s="440"/>
      <c r="R37" s="440"/>
      <c r="S37" s="440"/>
      <c r="T37" s="272"/>
      <c r="U37" s="26"/>
      <c r="V37" s="104"/>
    </row>
    <row r="38" spans="1:22" ht="15" customHeight="1" x14ac:dyDescent="0.25">
      <c r="A38" s="273"/>
      <c r="B38" s="279"/>
      <c r="C38" s="279"/>
      <c r="D38" s="279"/>
      <c r="E38" s="279"/>
      <c r="F38" s="288"/>
      <c r="G38" s="272"/>
      <c r="H38" s="272"/>
      <c r="I38" s="441"/>
      <c r="J38" s="441"/>
      <c r="K38" s="441"/>
      <c r="L38" s="441"/>
      <c r="M38" s="441"/>
      <c r="N38" s="441"/>
      <c r="O38" s="441"/>
      <c r="P38" s="441"/>
      <c r="Q38" s="441"/>
      <c r="R38" s="441"/>
      <c r="S38" s="441"/>
      <c r="T38" s="272"/>
      <c r="U38" s="26"/>
      <c r="V38" s="104"/>
    </row>
    <row r="39" spans="1:22" ht="15.75" thickBot="1" x14ac:dyDescent="0.3">
      <c r="A39" s="273"/>
      <c r="B39" s="279"/>
      <c r="C39" s="279"/>
      <c r="D39" s="279"/>
      <c r="E39" s="279"/>
      <c r="F39" s="273"/>
      <c r="G39" s="273"/>
      <c r="H39" s="273"/>
      <c r="I39" s="443"/>
      <c r="J39" s="443"/>
      <c r="K39" s="443"/>
      <c r="L39" s="443"/>
      <c r="M39" s="443"/>
      <c r="N39" s="443"/>
      <c r="O39" s="443"/>
      <c r="P39" s="443"/>
      <c r="Q39" s="443"/>
      <c r="R39" s="443"/>
      <c r="S39" s="443"/>
      <c r="T39" s="273"/>
      <c r="U39" s="89"/>
      <c r="V39" s="33"/>
    </row>
    <row r="40" spans="1:22" ht="15.75" thickBot="1" x14ac:dyDescent="0.25">
      <c r="A40" s="276"/>
      <c r="B40" s="448"/>
      <c r="C40" s="448"/>
      <c r="D40" s="448"/>
      <c r="E40" s="448"/>
      <c r="F40" s="448"/>
      <c r="G40" s="448"/>
      <c r="H40" s="449"/>
      <c r="I40" s="125" t="s">
        <v>1417</v>
      </c>
      <c r="J40" s="125" t="s">
        <v>1418</v>
      </c>
      <c r="K40" s="125" t="s">
        <v>1419</v>
      </c>
      <c r="L40" s="125" t="s">
        <v>1420</v>
      </c>
      <c r="M40" s="125" t="s">
        <v>1421</v>
      </c>
      <c r="N40" s="125" t="s">
        <v>1422</v>
      </c>
      <c r="O40" s="125" t="s">
        <v>1423</v>
      </c>
      <c r="P40" s="125" t="s">
        <v>1424</v>
      </c>
      <c r="Q40" s="125" t="s">
        <v>1425</v>
      </c>
      <c r="R40" s="125" t="s">
        <v>1426</v>
      </c>
      <c r="S40" s="125" t="s">
        <v>1427</v>
      </c>
      <c r="T40" s="450"/>
      <c r="U40" s="451"/>
      <c r="V40" s="452"/>
    </row>
    <row r="41" spans="1:22" x14ac:dyDescent="0.25">
      <c r="A41" s="276"/>
      <c r="B41" s="280" t="s">
        <v>1073</v>
      </c>
      <c r="C41" s="280"/>
      <c r="D41" s="280"/>
      <c r="E41" s="280"/>
      <c r="F41" s="288" t="s">
        <v>1074</v>
      </c>
      <c r="G41" s="272"/>
      <c r="H41" s="272"/>
      <c r="I41" s="446"/>
      <c r="J41" s="446"/>
      <c r="K41" s="446"/>
      <c r="L41" s="446"/>
      <c r="M41" s="446"/>
      <c r="N41" s="446"/>
      <c r="O41" s="446"/>
      <c r="P41" s="446"/>
      <c r="Q41" s="446"/>
      <c r="R41" s="446"/>
      <c r="S41" s="446"/>
      <c r="T41" s="272"/>
      <c r="U41" s="26"/>
      <c r="V41" s="33"/>
    </row>
    <row r="42" spans="1:22" x14ac:dyDescent="0.25">
      <c r="A42" s="276"/>
      <c r="B42" s="280"/>
      <c r="C42" s="280"/>
      <c r="D42" s="280"/>
      <c r="E42" s="280"/>
      <c r="F42" s="288"/>
      <c r="G42" s="272"/>
      <c r="H42" s="272"/>
      <c r="I42" s="441"/>
      <c r="J42" s="441"/>
      <c r="K42" s="441"/>
      <c r="L42" s="441"/>
      <c r="M42" s="441"/>
      <c r="N42" s="441"/>
      <c r="O42" s="441"/>
      <c r="P42" s="441"/>
      <c r="Q42" s="441"/>
      <c r="R42" s="441"/>
      <c r="S42" s="441"/>
      <c r="T42" s="272"/>
      <c r="U42" s="26"/>
      <c r="V42" s="33"/>
    </row>
    <row r="43" spans="1:22" x14ac:dyDescent="0.25">
      <c r="A43" s="276"/>
      <c r="B43" s="281"/>
      <c r="C43" s="281"/>
      <c r="D43" s="281"/>
      <c r="E43" s="281"/>
      <c r="F43" s="273"/>
      <c r="G43" s="273"/>
      <c r="H43" s="273"/>
      <c r="I43" s="442"/>
      <c r="J43" s="442"/>
      <c r="K43" s="442"/>
      <c r="L43" s="442"/>
      <c r="M43" s="442"/>
      <c r="N43" s="442"/>
      <c r="O43" s="442"/>
      <c r="P43" s="442"/>
      <c r="Q43" s="442"/>
      <c r="R43" s="442"/>
      <c r="S43" s="442"/>
      <c r="T43" s="273"/>
      <c r="U43" s="89"/>
      <c r="V43" s="33"/>
    </row>
    <row r="44" spans="1:22" ht="15" customHeight="1" x14ac:dyDescent="0.25">
      <c r="A44" s="276"/>
      <c r="B44" s="281"/>
      <c r="C44" s="281"/>
      <c r="D44" s="281"/>
      <c r="E44" s="281"/>
      <c r="F44" s="288" t="s">
        <v>1075</v>
      </c>
      <c r="G44" s="272"/>
      <c r="H44" s="272"/>
      <c r="I44" s="440"/>
      <c r="J44" s="440"/>
      <c r="K44" s="440"/>
      <c r="L44" s="440"/>
      <c r="M44" s="440"/>
      <c r="N44" s="440"/>
      <c r="O44" s="440"/>
      <c r="P44" s="440"/>
      <c r="Q44" s="440"/>
      <c r="R44" s="440"/>
      <c r="S44" s="440"/>
      <c r="T44" s="272"/>
      <c r="U44" s="26"/>
      <c r="V44" s="33"/>
    </row>
    <row r="45" spans="1:22" ht="15" customHeight="1" x14ac:dyDescent="0.25">
      <c r="A45" s="276"/>
      <c r="B45" s="281"/>
      <c r="C45" s="281"/>
      <c r="D45" s="281"/>
      <c r="E45" s="281"/>
      <c r="F45" s="288"/>
      <c r="G45" s="272"/>
      <c r="H45" s="272"/>
      <c r="I45" s="441"/>
      <c r="J45" s="441"/>
      <c r="K45" s="441"/>
      <c r="L45" s="441"/>
      <c r="M45" s="441"/>
      <c r="N45" s="441"/>
      <c r="O45" s="441"/>
      <c r="P45" s="441"/>
      <c r="Q45" s="441"/>
      <c r="R45" s="441"/>
      <c r="S45" s="441"/>
      <c r="T45" s="272"/>
      <c r="U45" s="26"/>
      <c r="V45" s="33"/>
    </row>
    <row r="46" spans="1:22" x14ac:dyDescent="0.25">
      <c r="A46" s="276"/>
      <c r="B46" s="281"/>
      <c r="C46" s="281"/>
      <c r="D46" s="281"/>
      <c r="E46" s="281"/>
      <c r="F46" s="273"/>
      <c r="G46" s="273"/>
      <c r="H46" s="273"/>
      <c r="I46" s="442"/>
      <c r="J46" s="442"/>
      <c r="K46" s="442"/>
      <c r="L46" s="442"/>
      <c r="M46" s="442"/>
      <c r="N46" s="442"/>
      <c r="O46" s="442"/>
      <c r="P46" s="442"/>
      <c r="Q46" s="442"/>
      <c r="R46" s="442"/>
      <c r="S46" s="442"/>
      <c r="T46" s="273"/>
      <c r="U46" s="89"/>
      <c r="V46" s="33"/>
    </row>
    <row r="47" spans="1:22" ht="15" customHeight="1" x14ac:dyDescent="0.25">
      <c r="A47" s="276"/>
      <c r="B47" s="281"/>
      <c r="C47" s="281"/>
      <c r="D47" s="281"/>
      <c r="E47" s="281"/>
      <c r="F47" s="288" t="s">
        <v>1076</v>
      </c>
      <c r="G47" s="272"/>
      <c r="H47" s="272"/>
      <c r="I47" s="440"/>
      <c r="J47" s="440"/>
      <c r="K47" s="440"/>
      <c r="L47" s="440"/>
      <c r="M47" s="440"/>
      <c r="N47" s="440"/>
      <c r="O47" s="440"/>
      <c r="P47" s="440"/>
      <c r="Q47" s="440"/>
      <c r="R47" s="440"/>
      <c r="S47" s="440"/>
      <c r="T47" s="272"/>
      <c r="U47" s="26"/>
      <c r="V47" s="33"/>
    </row>
    <row r="48" spans="1:22" ht="15" customHeight="1" x14ac:dyDescent="0.25">
      <c r="A48" s="276"/>
      <c r="B48" s="281"/>
      <c r="C48" s="281"/>
      <c r="D48" s="281"/>
      <c r="E48" s="281"/>
      <c r="F48" s="288"/>
      <c r="G48" s="272"/>
      <c r="H48" s="272"/>
      <c r="I48" s="441"/>
      <c r="J48" s="441"/>
      <c r="K48" s="441"/>
      <c r="L48" s="441"/>
      <c r="M48" s="441"/>
      <c r="N48" s="441"/>
      <c r="O48" s="441"/>
      <c r="P48" s="441"/>
      <c r="Q48" s="441"/>
      <c r="R48" s="441"/>
      <c r="S48" s="441"/>
      <c r="T48" s="272"/>
      <c r="U48" s="26"/>
      <c r="V48" s="33"/>
    </row>
    <row r="49" spans="1:22" x14ac:dyDescent="0.25">
      <c r="A49" s="276"/>
      <c r="B49" s="281"/>
      <c r="C49" s="281"/>
      <c r="D49" s="281"/>
      <c r="E49" s="281"/>
      <c r="F49" s="273"/>
      <c r="G49" s="273"/>
      <c r="H49" s="273"/>
      <c r="I49" s="442"/>
      <c r="J49" s="442"/>
      <c r="K49" s="442"/>
      <c r="L49" s="442"/>
      <c r="M49" s="442"/>
      <c r="N49" s="442"/>
      <c r="O49" s="442"/>
      <c r="P49" s="442"/>
      <c r="Q49" s="442"/>
      <c r="R49" s="442"/>
      <c r="S49" s="442"/>
      <c r="T49" s="273"/>
      <c r="U49" s="89"/>
      <c r="V49" s="33"/>
    </row>
    <row r="50" spans="1:22" x14ac:dyDescent="0.25">
      <c r="A50" s="276"/>
      <c r="B50" s="281"/>
      <c r="C50" s="281"/>
      <c r="D50" s="281"/>
      <c r="E50" s="281"/>
      <c r="F50" s="288" t="s">
        <v>1077</v>
      </c>
      <c r="G50" s="272"/>
      <c r="H50" s="272"/>
      <c r="I50" s="440"/>
      <c r="J50" s="440"/>
      <c r="K50" s="440"/>
      <c r="L50" s="440"/>
      <c r="M50" s="440"/>
      <c r="N50" s="440"/>
      <c r="O50" s="440"/>
      <c r="P50" s="440"/>
      <c r="Q50" s="440"/>
      <c r="R50" s="440"/>
      <c r="S50" s="440"/>
      <c r="T50" s="272"/>
      <c r="U50" s="26"/>
      <c r="V50" s="33"/>
    </row>
    <row r="51" spans="1:22" x14ac:dyDescent="0.25">
      <c r="A51" s="276"/>
      <c r="B51" s="281"/>
      <c r="C51" s="281"/>
      <c r="D51" s="281"/>
      <c r="E51" s="281"/>
      <c r="F51" s="288"/>
      <c r="G51" s="272"/>
      <c r="H51" s="272"/>
      <c r="I51" s="441"/>
      <c r="J51" s="441"/>
      <c r="K51" s="441"/>
      <c r="L51" s="441"/>
      <c r="M51" s="441"/>
      <c r="N51" s="441"/>
      <c r="O51" s="441"/>
      <c r="P51" s="441"/>
      <c r="Q51" s="441"/>
      <c r="R51" s="441"/>
      <c r="S51" s="441"/>
      <c r="T51" s="272"/>
      <c r="U51" s="26"/>
      <c r="V51" s="33"/>
    </row>
    <row r="52" spans="1:22" x14ac:dyDescent="0.25">
      <c r="A52" s="276"/>
      <c r="B52" s="281"/>
      <c r="C52" s="281"/>
      <c r="D52" s="281"/>
      <c r="E52" s="281"/>
      <c r="F52" s="273"/>
      <c r="G52" s="273"/>
      <c r="H52" s="273"/>
      <c r="I52" s="442"/>
      <c r="J52" s="442"/>
      <c r="K52" s="442"/>
      <c r="L52" s="442"/>
      <c r="M52" s="442"/>
      <c r="N52" s="442"/>
      <c r="O52" s="442"/>
      <c r="P52" s="442"/>
      <c r="Q52" s="442"/>
      <c r="R52" s="442"/>
      <c r="S52" s="442"/>
      <c r="T52" s="273"/>
      <c r="U52" s="89"/>
      <c r="V52" s="33"/>
    </row>
    <row r="53" spans="1:22" x14ac:dyDescent="0.25">
      <c r="A53" s="276"/>
      <c r="B53" s="281"/>
      <c r="C53" s="281"/>
      <c r="D53" s="281"/>
      <c r="E53" s="281"/>
      <c r="F53" s="288" t="s">
        <v>1078</v>
      </c>
      <c r="G53" s="272"/>
      <c r="H53" s="272"/>
      <c r="I53" s="440"/>
      <c r="J53" s="440"/>
      <c r="K53" s="440"/>
      <c r="L53" s="440"/>
      <c r="M53" s="440"/>
      <c r="N53" s="440"/>
      <c r="O53" s="440"/>
      <c r="P53" s="440"/>
      <c r="Q53" s="440"/>
      <c r="R53" s="440"/>
      <c r="S53" s="440"/>
      <c r="T53" s="272"/>
      <c r="U53" s="26"/>
      <c r="V53" s="33"/>
    </row>
    <row r="54" spans="1:22" x14ac:dyDescent="0.25">
      <c r="A54" s="276"/>
      <c r="B54" s="281"/>
      <c r="C54" s="281"/>
      <c r="D54" s="281"/>
      <c r="E54" s="281"/>
      <c r="F54" s="288"/>
      <c r="G54" s="272"/>
      <c r="H54" s="272"/>
      <c r="I54" s="441"/>
      <c r="J54" s="441"/>
      <c r="K54" s="441"/>
      <c r="L54" s="441"/>
      <c r="M54" s="441"/>
      <c r="N54" s="441"/>
      <c r="O54" s="441"/>
      <c r="P54" s="441"/>
      <c r="Q54" s="441"/>
      <c r="R54" s="441"/>
      <c r="S54" s="441"/>
      <c r="T54" s="272"/>
      <c r="U54" s="26"/>
      <c r="V54" s="33"/>
    </row>
    <row r="55" spans="1:22" x14ac:dyDescent="0.25">
      <c r="A55" s="276"/>
      <c r="B55" s="281"/>
      <c r="C55" s="281"/>
      <c r="D55" s="281"/>
      <c r="E55" s="281"/>
      <c r="F55" s="273"/>
      <c r="G55" s="273"/>
      <c r="H55" s="273"/>
      <c r="I55" s="442"/>
      <c r="J55" s="442"/>
      <c r="K55" s="442"/>
      <c r="L55" s="442"/>
      <c r="M55" s="442"/>
      <c r="N55" s="442"/>
      <c r="O55" s="442"/>
      <c r="P55" s="442"/>
      <c r="Q55" s="442"/>
      <c r="R55" s="442"/>
      <c r="S55" s="442"/>
      <c r="T55" s="273"/>
      <c r="U55" s="89"/>
      <c r="V55" s="33"/>
    </row>
    <row r="56" spans="1:22" ht="15" customHeight="1" x14ac:dyDescent="0.25">
      <c r="A56" s="276"/>
      <c r="B56" s="281"/>
      <c r="C56" s="281"/>
      <c r="D56" s="281"/>
      <c r="E56" s="281"/>
      <c r="F56" s="288" t="s">
        <v>1079</v>
      </c>
      <c r="G56" s="272"/>
      <c r="H56" s="272"/>
      <c r="I56" s="440"/>
      <c r="J56" s="440"/>
      <c r="K56" s="440"/>
      <c r="L56" s="440"/>
      <c r="M56" s="440"/>
      <c r="N56" s="440"/>
      <c r="O56" s="440"/>
      <c r="P56" s="440"/>
      <c r="Q56" s="440"/>
      <c r="R56" s="440"/>
      <c r="S56" s="440"/>
      <c r="T56" s="272"/>
      <c r="U56" s="26"/>
      <c r="V56" s="33"/>
    </row>
    <row r="57" spans="1:22" ht="15" customHeight="1" x14ac:dyDescent="0.25">
      <c r="A57" s="276"/>
      <c r="B57" s="281"/>
      <c r="C57" s="281"/>
      <c r="D57" s="281"/>
      <c r="E57" s="281"/>
      <c r="F57" s="288"/>
      <c r="G57" s="272"/>
      <c r="H57" s="272"/>
      <c r="I57" s="441"/>
      <c r="J57" s="441"/>
      <c r="K57" s="441"/>
      <c r="L57" s="441"/>
      <c r="M57" s="441"/>
      <c r="N57" s="441"/>
      <c r="O57" s="441"/>
      <c r="P57" s="441"/>
      <c r="Q57" s="441"/>
      <c r="R57" s="441"/>
      <c r="S57" s="441"/>
      <c r="T57" s="272"/>
      <c r="U57" s="26"/>
      <c r="V57" s="33"/>
    </row>
    <row r="58" spans="1:22" ht="15.75" thickBot="1" x14ac:dyDescent="0.3">
      <c r="A58" s="276"/>
      <c r="B58" s="281"/>
      <c r="C58" s="281"/>
      <c r="D58" s="281"/>
      <c r="E58" s="281"/>
      <c r="F58" s="273"/>
      <c r="G58" s="273"/>
      <c r="H58" s="273"/>
      <c r="I58" s="443"/>
      <c r="J58" s="443"/>
      <c r="K58" s="443"/>
      <c r="L58" s="443"/>
      <c r="M58" s="443"/>
      <c r="N58" s="443"/>
      <c r="O58" s="443"/>
      <c r="P58" s="443"/>
      <c r="Q58" s="443"/>
      <c r="R58" s="443"/>
      <c r="S58" s="443"/>
      <c r="T58" s="273"/>
      <c r="U58" s="89"/>
      <c r="V58" s="33"/>
    </row>
    <row r="59" spans="1:22" ht="15.75" thickBot="1" x14ac:dyDescent="0.25">
      <c r="A59" s="276"/>
      <c r="B59" s="126"/>
      <c r="C59" s="447"/>
      <c r="D59" s="448"/>
      <c r="E59" s="448"/>
      <c r="F59" s="448"/>
      <c r="G59" s="448"/>
      <c r="H59" s="449"/>
      <c r="I59" s="125" t="s">
        <v>1417</v>
      </c>
      <c r="J59" s="125" t="s">
        <v>1418</v>
      </c>
      <c r="K59" s="125" t="s">
        <v>1419</v>
      </c>
      <c r="L59" s="125" t="s">
        <v>1420</v>
      </c>
      <c r="M59" s="125" t="s">
        <v>1421</v>
      </c>
      <c r="N59" s="125" t="s">
        <v>1422</v>
      </c>
      <c r="O59" s="125" t="s">
        <v>1423</v>
      </c>
      <c r="P59" s="125" t="s">
        <v>1424</v>
      </c>
      <c r="Q59" s="125" t="s">
        <v>1425</v>
      </c>
      <c r="R59" s="125" t="s">
        <v>1426</v>
      </c>
      <c r="S59" s="125" t="s">
        <v>1427</v>
      </c>
      <c r="T59" s="450"/>
      <c r="U59" s="451"/>
      <c r="V59" s="452"/>
    </row>
    <row r="60" spans="1:22" x14ac:dyDescent="0.25">
      <c r="A60" s="276"/>
      <c r="B60" s="282" t="s">
        <v>1080</v>
      </c>
      <c r="C60" s="282"/>
      <c r="D60" s="282"/>
      <c r="E60" s="282"/>
      <c r="F60" s="288" t="s">
        <v>1081</v>
      </c>
      <c r="G60" s="272"/>
      <c r="H60" s="272"/>
      <c r="I60" s="446"/>
      <c r="J60" s="446"/>
      <c r="K60" s="446"/>
      <c r="L60" s="446"/>
      <c r="M60" s="446"/>
      <c r="N60" s="446"/>
      <c r="O60" s="446"/>
      <c r="P60" s="446"/>
      <c r="Q60" s="446"/>
      <c r="R60" s="446"/>
      <c r="S60" s="446"/>
      <c r="T60" s="272"/>
      <c r="U60" s="26"/>
      <c r="V60" s="33"/>
    </row>
    <row r="61" spans="1:22" x14ac:dyDescent="0.25">
      <c r="A61" s="276"/>
      <c r="B61" s="283"/>
      <c r="C61" s="283"/>
      <c r="D61" s="283"/>
      <c r="E61" s="283"/>
      <c r="F61" s="288"/>
      <c r="G61" s="272"/>
      <c r="H61" s="272"/>
      <c r="I61" s="441"/>
      <c r="J61" s="441"/>
      <c r="K61" s="441"/>
      <c r="L61" s="441"/>
      <c r="M61" s="441"/>
      <c r="N61" s="441"/>
      <c r="O61" s="441"/>
      <c r="P61" s="441"/>
      <c r="Q61" s="441"/>
      <c r="R61" s="441"/>
      <c r="S61" s="441"/>
      <c r="T61" s="272"/>
      <c r="U61" s="26"/>
      <c r="V61" s="33"/>
    </row>
    <row r="62" spans="1:22" x14ac:dyDescent="0.2">
      <c r="A62" s="276"/>
      <c r="B62" s="284"/>
      <c r="C62" s="284"/>
      <c r="D62" s="284"/>
      <c r="E62" s="284"/>
      <c r="F62" s="273"/>
      <c r="G62" s="273"/>
      <c r="H62" s="273"/>
      <c r="I62" s="442"/>
      <c r="J62" s="442"/>
      <c r="K62" s="442"/>
      <c r="L62" s="442"/>
      <c r="M62" s="442"/>
      <c r="N62" s="442"/>
      <c r="O62" s="442"/>
      <c r="P62" s="442"/>
      <c r="Q62" s="442"/>
      <c r="R62" s="442"/>
      <c r="S62" s="442"/>
      <c r="T62" s="273"/>
      <c r="U62" s="89"/>
      <c r="V62" s="34"/>
    </row>
    <row r="63" spans="1:22" x14ac:dyDescent="0.2">
      <c r="A63" s="276"/>
      <c r="B63" s="285"/>
      <c r="C63" s="285"/>
      <c r="D63" s="285"/>
      <c r="E63" s="285"/>
      <c r="F63" s="288" t="s">
        <v>1082</v>
      </c>
      <c r="G63" s="272"/>
      <c r="H63" s="272"/>
      <c r="I63" s="440"/>
      <c r="J63" s="440"/>
      <c r="K63" s="440"/>
      <c r="L63" s="440"/>
      <c r="M63" s="440"/>
      <c r="N63" s="440"/>
      <c r="O63" s="440"/>
      <c r="P63" s="440"/>
      <c r="Q63" s="440"/>
      <c r="R63" s="440"/>
      <c r="S63" s="440"/>
      <c r="T63" s="272"/>
      <c r="U63" s="26"/>
      <c r="V63" s="34"/>
    </row>
    <row r="64" spans="1:22" x14ac:dyDescent="0.2">
      <c r="A64" s="276"/>
      <c r="B64" s="285"/>
      <c r="C64" s="285"/>
      <c r="D64" s="285"/>
      <c r="E64" s="285"/>
      <c r="F64" s="288"/>
      <c r="G64" s="272"/>
      <c r="H64" s="272"/>
      <c r="I64" s="441"/>
      <c r="J64" s="441"/>
      <c r="K64" s="441"/>
      <c r="L64" s="441"/>
      <c r="M64" s="441"/>
      <c r="N64" s="441"/>
      <c r="O64" s="441"/>
      <c r="P64" s="441"/>
      <c r="Q64" s="441"/>
      <c r="R64" s="441"/>
      <c r="S64" s="441"/>
      <c r="T64" s="272"/>
      <c r="U64" s="26"/>
      <c r="V64" s="34"/>
    </row>
    <row r="65" spans="1:22" x14ac:dyDescent="0.2">
      <c r="A65" s="276"/>
      <c r="B65" s="285"/>
      <c r="C65" s="285"/>
      <c r="D65" s="285"/>
      <c r="E65" s="285"/>
      <c r="F65" s="273"/>
      <c r="G65" s="273"/>
      <c r="H65" s="273"/>
      <c r="I65" s="442"/>
      <c r="J65" s="442"/>
      <c r="K65" s="442"/>
      <c r="L65" s="442"/>
      <c r="M65" s="442"/>
      <c r="N65" s="442"/>
      <c r="O65" s="442"/>
      <c r="P65" s="442"/>
      <c r="Q65" s="442"/>
      <c r="R65" s="442"/>
      <c r="S65" s="442"/>
      <c r="T65" s="273"/>
      <c r="U65" s="89"/>
      <c r="V65" s="34"/>
    </row>
    <row r="66" spans="1:22" ht="16.350000000000001" customHeight="1" x14ac:dyDescent="0.2">
      <c r="A66" s="276"/>
      <c r="B66" s="285"/>
      <c r="C66" s="285"/>
      <c r="D66" s="285"/>
      <c r="E66" s="285"/>
      <c r="F66" s="288" t="s">
        <v>1083</v>
      </c>
      <c r="G66" s="272"/>
      <c r="H66" s="272"/>
      <c r="I66" s="440"/>
      <c r="J66" s="440"/>
      <c r="K66" s="440"/>
      <c r="L66" s="440"/>
      <c r="M66" s="440"/>
      <c r="N66" s="440"/>
      <c r="O66" s="440"/>
      <c r="P66" s="440"/>
      <c r="Q66" s="440"/>
      <c r="R66" s="440"/>
      <c r="S66" s="440"/>
      <c r="T66" s="272"/>
      <c r="U66" s="26"/>
      <c r="V66" s="34"/>
    </row>
    <row r="67" spans="1:22" ht="16.350000000000001" customHeight="1" x14ac:dyDescent="0.2">
      <c r="A67" s="276"/>
      <c r="B67" s="285"/>
      <c r="C67" s="285"/>
      <c r="D67" s="285"/>
      <c r="E67" s="285"/>
      <c r="F67" s="288"/>
      <c r="G67" s="272"/>
      <c r="H67" s="272"/>
      <c r="I67" s="441"/>
      <c r="J67" s="441"/>
      <c r="K67" s="441"/>
      <c r="L67" s="441"/>
      <c r="M67" s="441"/>
      <c r="N67" s="441"/>
      <c r="O67" s="441"/>
      <c r="P67" s="441"/>
      <c r="Q67" s="441"/>
      <c r="R67" s="441"/>
      <c r="S67" s="441"/>
      <c r="T67" s="272"/>
      <c r="U67" s="26"/>
      <c r="V67" s="34"/>
    </row>
    <row r="68" spans="1:22" x14ac:dyDescent="0.2">
      <c r="A68" s="276"/>
      <c r="B68" s="285"/>
      <c r="C68" s="285"/>
      <c r="D68" s="285"/>
      <c r="E68" s="285"/>
      <c r="F68" s="273"/>
      <c r="G68" s="273"/>
      <c r="H68" s="273"/>
      <c r="I68" s="442"/>
      <c r="J68" s="442"/>
      <c r="K68" s="442"/>
      <c r="L68" s="442"/>
      <c r="M68" s="442"/>
      <c r="N68" s="442"/>
      <c r="O68" s="442"/>
      <c r="P68" s="442"/>
      <c r="Q68" s="442"/>
      <c r="R68" s="442"/>
      <c r="S68" s="442"/>
      <c r="T68" s="273"/>
      <c r="U68" s="89"/>
      <c r="V68" s="34"/>
    </row>
    <row r="69" spans="1:22" ht="16.350000000000001" customHeight="1" x14ac:dyDescent="0.2">
      <c r="A69" s="276"/>
      <c r="B69" s="285"/>
      <c r="C69" s="285"/>
      <c r="D69" s="285"/>
      <c r="E69" s="285"/>
      <c r="F69" s="288" t="s">
        <v>1084</v>
      </c>
      <c r="G69" s="272"/>
      <c r="H69" s="272"/>
      <c r="I69" s="440"/>
      <c r="J69" s="440"/>
      <c r="K69" s="440"/>
      <c r="L69" s="440"/>
      <c r="M69" s="440"/>
      <c r="N69" s="440"/>
      <c r="O69" s="440"/>
      <c r="P69" s="440"/>
      <c r="Q69" s="440"/>
      <c r="R69" s="440"/>
      <c r="S69" s="440"/>
      <c r="T69" s="272"/>
      <c r="U69" s="26"/>
      <c r="V69" s="34"/>
    </row>
    <row r="70" spans="1:22" ht="16.350000000000001" customHeight="1" x14ac:dyDescent="0.2">
      <c r="A70" s="276"/>
      <c r="B70" s="285"/>
      <c r="C70" s="285"/>
      <c r="D70" s="285"/>
      <c r="E70" s="285"/>
      <c r="F70" s="288"/>
      <c r="G70" s="272"/>
      <c r="H70" s="272"/>
      <c r="I70" s="441"/>
      <c r="J70" s="441"/>
      <c r="K70" s="441"/>
      <c r="L70" s="441"/>
      <c r="M70" s="441"/>
      <c r="N70" s="441"/>
      <c r="O70" s="441"/>
      <c r="P70" s="441"/>
      <c r="Q70" s="441"/>
      <c r="R70" s="441"/>
      <c r="S70" s="441"/>
      <c r="T70" s="272"/>
      <c r="U70" s="26"/>
      <c r="V70" s="34"/>
    </row>
    <row r="71" spans="1:22" x14ac:dyDescent="0.2">
      <c r="A71" s="276"/>
      <c r="B71" s="285"/>
      <c r="C71" s="285"/>
      <c r="D71" s="285"/>
      <c r="E71" s="285"/>
      <c r="F71" s="273"/>
      <c r="G71" s="273"/>
      <c r="H71" s="273"/>
      <c r="I71" s="442"/>
      <c r="J71" s="442"/>
      <c r="K71" s="442"/>
      <c r="L71" s="442"/>
      <c r="M71" s="442"/>
      <c r="N71" s="442"/>
      <c r="O71" s="442"/>
      <c r="P71" s="442"/>
      <c r="Q71" s="442"/>
      <c r="R71" s="442"/>
      <c r="S71" s="442"/>
      <c r="T71" s="273"/>
      <c r="U71" s="89"/>
      <c r="V71" s="100"/>
    </row>
    <row r="72" spans="1:22" ht="16.350000000000001" customHeight="1" x14ac:dyDescent="0.2">
      <c r="A72" s="276"/>
      <c r="B72" s="285"/>
      <c r="C72" s="285"/>
      <c r="D72" s="285"/>
      <c r="E72" s="285"/>
      <c r="F72" s="288" t="s">
        <v>1085</v>
      </c>
      <c r="G72" s="272"/>
      <c r="H72" s="272"/>
      <c r="I72" s="440"/>
      <c r="J72" s="440"/>
      <c r="K72" s="440"/>
      <c r="L72" s="440"/>
      <c r="M72" s="440"/>
      <c r="N72" s="440"/>
      <c r="O72" s="440"/>
      <c r="P72" s="440"/>
      <c r="Q72" s="440"/>
      <c r="R72" s="440"/>
      <c r="S72" s="440"/>
      <c r="T72" s="272"/>
      <c r="U72" s="26"/>
      <c r="V72" s="100"/>
    </row>
    <row r="73" spans="1:22" ht="16.350000000000001" customHeight="1" x14ac:dyDescent="0.2">
      <c r="A73" s="276"/>
      <c r="B73" s="285"/>
      <c r="C73" s="285"/>
      <c r="D73" s="285"/>
      <c r="E73" s="285"/>
      <c r="F73" s="288"/>
      <c r="G73" s="272"/>
      <c r="H73" s="272"/>
      <c r="I73" s="441"/>
      <c r="J73" s="441"/>
      <c r="K73" s="441"/>
      <c r="L73" s="441"/>
      <c r="M73" s="441"/>
      <c r="N73" s="441"/>
      <c r="O73" s="441"/>
      <c r="P73" s="441"/>
      <c r="Q73" s="441"/>
      <c r="R73" s="441"/>
      <c r="S73" s="441"/>
      <c r="T73" s="272"/>
      <c r="U73" s="26"/>
      <c r="V73" s="100"/>
    </row>
    <row r="74" spans="1:22" x14ac:dyDescent="0.2">
      <c r="A74" s="276"/>
      <c r="B74" s="285"/>
      <c r="C74" s="285"/>
      <c r="D74" s="285"/>
      <c r="E74" s="285"/>
      <c r="F74" s="273"/>
      <c r="G74" s="273"/>
      <c r="H74" s="273"/>
      <c r="I74" s="442"/>
      <c r="J74" s="442"/>
      <c r="K74" s="442"/>
      <c r="L74" s="442"/>
      <c r="M74" s="442"/>
      <c r="N74" s="442"/>
      <c r="O74" s="442"/>
      <c r="P74" s="442"/>
      <c r="Q74" s="442"/>
      <c r="R74" s="442"/>
      <c r="S74" s="442"/>
      <c r="T74" s="273"/>
      <c r="U74" s="89"/>
      <c r="V74" s="37"/>
    </row>
    <row r="75" spans="1:22" ht="16.350000000000001" customHeight="1" x14ac:dyDescent="0.2">
      <c r="A75" s="276"/>
      <c r="B75" s="285"/>
      <c r="C75" s="285"/>
      <c r="D75" s="285"/>
      <c r="E75" s="285"/>
      <c r="F75" s="288" t="s">
        <v>1086</v>
      </c>
      <c r="G75" s="272"/>
      <c r="H75" s="272"/>
      <c r="I75" s="440"/>
      <c r="J75" s="440"/>
      <c r="K75" s="440"/>
      <c r="L75" s="440"/>
      <c r="M75" s="440"/>
      <c r="N75" s="440"/>
      <c r="O75" s="440"/>
      <c r="P75" s="440"/>
      <c r="Q75" s="440"/>
      <c r="R75" s="440"/>
      <c r="S75" s="440"/>
      <c r="T75" s="272"/>
      <c r="U75" s="26"/>
      <c r="V75" s="34"/>
    </row>
    <row r="76" spans="1:22" ht="16.350000000000001" customHeight="1" x14ac:dyDescent="0.2">
      <c r="A76" s="276"/>
      <c r="B76" s="285"/>
      <c r="C76" s="285"/>
      <c r="D76" s="285"/>
      <c r="E76" s="285"/>
      <c r="F76" s="288"/>
      <c r="G76" s="272"/>
      <c r="H76" s="272"/>
      <c r="I76" s="441"/>
      <c r="J76" s="441"/>
      <c r="K76" s="441"/>
      <c r="L76" s="441"/>
      <c r="M76" s="441"/>
      <c r="N76" s="441"/>
      <c r="O76" s="441"/>
      <c r="P76" s="441"/>
      <c r="Q76" s="441"/>
      <c r="R76" s="441"/>
      <c r="S76" s="441"/>
      <c r="T76" s="272"/>
      <c r="U76" s="26"/>
      <c r="V76" s="34"/>
    </row>
    <row r="77" spans="1:22" ht="15.75" thickBot="1" x14ac:dyDescent="0.25">
      <c r="A77" s="276"/>
      <c r="B77" s="285"/>
      <c r="C77" s="285"/>
      <c r="D77" s="285"/>
      <c r="E77" s="285"/>
      <c r="F77" s="273"/>
      <c r="G77" s="273"/>
      <c r="H77" s="273"/>
      <c r="I77" s="443"/>
      <c r="J77" s="443"/>
      <c r="K77" s="443"/>
      <c r="L77" s="443"/>
      <c r="M77" s="443"/>
      <c r="N77" s="443"/>
      <c r="O77" s="443"/>
      <c r="P77" s="443"/>
      <c r="Q77" s="443"/>
      <c r="R77" s="443"/>
      <c r="S77" s="443"/>
      <c r="T77" s="273"/>
      <c r="U77" s="89"/>
      <c r="V77" s="100"/>
    </row>
    <row r="78" spans="1:22" ht="15.75" thickBot="1" x14ac:dyDescent="0.25">
      <c r="A78" s="276"/>
      <c r="B78" s="447"/>
      <c r="C78" s="448"/>
      <c r="D78" s="448"/>
      <c r="E78" s="448"/>
      <c r="F78" s="448"/>
      <c r="G78" s="448"/>
      <c r="H78" s="449"/>
      <c r="I78" s="125" t="s">
        <v>1417</v>
      </c>
      <c r="J78" s="125" t="s">
        <v>1418</v>
      </c>
      <c r="K78" s="125" t="s">
        <v>1419</v>
      </c>
      <c r="L78" s="125" t="s">
        <v>1420</v>
      </c>
      <c r="M78" s="125" t="s">
        <v>1421</v>
      </c>
      <c r="N78" s="125" t="s">
        <v>1422</v>
      </c>
      <c r="O78" s="125" t="s">
        <v>1423</v>
      </c>
      <c r="P78" s="125" t="s">
        <v>1424</v>
      </c>
      <c r="Q78" s="125" t="s">
        <v>1425</v>
      </c>
      <c r="R78" s="125" t="s">
        <v>1426</v>
      </c>
      <c r="S78" s="125" t="s">
        <v>1427</v>
      </c>
      <c r="T78" s="450"/>
      <c r="U78" s="451"/>
      <c r="V78" s="452"/>
    </row>
    <row r="79" spans="1:22" x14ac:dyDescent="0.25">
      <c r="A79" s="276"/>
      <c r="B79" s="282" t="s">
        <v>1087</v>
      </c>
      <c r="C79" s="282"/>
      <c r="D79" s="282"/>
      <c r="E79" s="282"/>
      <c r="F79" s="288" t="s">
        <v>1088</v>
      </c>
      <c r="G79" s="272"/>
      <c r="H79" s="272"/>
      <c r="I79" s="446"/>
      <c r="J79" s="446"/>
      <c r="K79" s="446"/>
      <c r="L79" s="446"/>
      <c r="M79" s="446"/>
      <c r="N79" s="446"/>
      <c r="O79" s="446"/>
      <c r="P79" s="446"/>
      <c r="Q79" s="446"/>
      <c r="R79" s="446"/>
      <c r="S79" s="446"/>
      <c r="T79" s="272"/>
      <c r="U79" s="26"/>
      <c r="V79" s="33"/>
    </row>
    <row r="80" spans="1:22" x14ac:dyDescent="0.25">
      <c r="A80" s="276"/>
      <c r="B80" s="283"/>
      <c r="C80" s="283"/>
      <c r="D80" s="283"/>
      <c r="E80" s="283"/>
      <c r="F80" s="288"/>
      <c r="G80" s="272"/>
      <c r="H80" s="272"/>
      <c r="I80" s="441"/>
      <c r="J80" s="441"/>
      <c r="K80" s="441"/>
      <c r="L80" s="441"/>
      <c r="M80" s="441"/>
      <c r="N80" s="441"/>
      <c r="O80" s="441"/>
      <c r="P80" s="441"/>
      <c r="Q80" s="441"/>
      <c r="R80" s="441"/>
      <c r="S80" s="441"/>
      <c r="T80" s="272"/>
      <c r="U80" s="26"/>
      <c r="V80" s="33"/>
    </row>
    <row r="81" spans="1:22" x14ac:dyDescent="0.2">
      <c r="A81" s="276"/>
      <c r="B81" s="284"/>
      <c r="C81" s="284"/>
      <c r="D81" s="284"/>
      <c r="E81" s="284"/>
      <c r="F81" s="273"/>
      <c r="G81" s="273"/>
      <c r="H81" s="273"/>
      <c r="I81" s="442"/>
      <c r="J81" s="442"/>
      <c r="K81" s="442"/>
      <c r="L81" s="442"/>
      <c r="M81" s="442"/>
      <c r="N81" s="442"/>
      <c r="O81" s="442"/>
      <c r="P81" s="442"/>
      <c r="Q81" s="442"/>
      <c r="R81" s="442"/>
      <c r="S81" s="442"/>
      <c r="T81" s="273"/>
      <c r="U81" s="89"/>
      <c r="V81" s="34"/>
    </row>
    <row r="82" spans="1:22" ht="15" customHeight="1" x14ac:dyDescent="0.2">
      <c r="A82" s="276"/>
      <c r="B82" s="285"/>
      <c r="C82" s="285"/>
      <c r="D82" s="285"/>
      <c r="E82" s="285"/>
      <c r="F82" s="288" t="s">
        <v>1089</v>
      </c>
      <c r="G82" s="272"/>
      <c r="H82" s="272"/>
      <c r="I82" s="440"/>
      <c r="J82" s="440"/>
      <c r="K82" s="440"/>
      <c r="L82" s="440"/>
      <c r="M82" s="440"/>
      <c r="N82" s="440"/>
      <c r="O82" s="440"/>
      <c r="P82" s="440"/>
      <c r="Q82" s="440"/>
      <c r="R82" s="440"/>
      <c r="S82" s="440"/>
      <c r="T82" s="272"/>
      <c r="U82" s="26"/>
      <c r="V82" s="34"/>
    </row>
    <row r="83" spans="1:22" x14ac:dyDescent="0.2">
      <c r="A83" s="276"/>
      <c r="B83" s="285"/>
      <c r="C83" s="285"/>
      <c r="D83" s="285"/>
      <c r="E83" s="285"/>
      <c r="F83" s="288"/>
      <c r="G83" s="272"/>
      <c r="H83" s="272"/>
      <c r="I83" s="441"/>
      <c r="J83" s="441"/>
      <c r="K83" s="441"/>
      <c r="L83" s="441"/>
      <c r="M83" s="441"/>
      <c r="N83" s="441"/>
      <c r="O83" s="441"/>
      <c r="P83" s="441"/>
      <c r="Q83" s="441"/>
      <c r="R83" s="441"/>
      <c r="S83" s="441"/>
      <c r="T83" s="272"/>
      <c r="U83" s="26"/>
      <c r="V83" s="34"/>
    </row>
    <row r="84" spans="1:22" x14ac:dyDescent="0.2">
      <c r="A84" s="276"/>
      <c r="B84" s="285"/>
      <c r="C84" s="285"/>
      <c r="D84" s="285"/>
      <c r="E84" s="285"/>
      <c r="F84" s="273"/>
      <c r="G84" s="273"/>
      <c r="H84" s="273"/>
      <c r="I84" s="442"/>
      <c r="J84" s="442"/>
      <c r="K84" s="442"/>
      <c r="L84" s="442"/>
      <c r="M84" s="442"/>
      <c r="N84" s="442"/>
      <c r="O84" s="442"/>
      <c r="P84" s="442"/>
      <c r="Q84" s="442"/>
      <c r="R84" s="442"/>
      <c r="S84" s="442"/>
      <c r="T84" s="273"/>
      <c r="U84" s="89"/>
      <c r="V84" s="34"/>
    </row>
    <row r="85" spans="1:22" ht="16.350000000000001" customHeight="1" x14ac:dyDescent="0.2">
      <c r="A85" s="276"/>
      <c r="B85" s="285"/>
      <c r="C85" s="285"/>
      <c r="D85" s="285"/>
      <c r="E85" s="285"/>
      <c r="F85" s="288" t="s">
        <v>1090</v>
      </c>
      <c r="G85" s="272"/>
      <c r="H85" s="272"/>
      <c r="I85" s="440"/>
      <c r="J85" s="440"/>
      <c r="K85" s="440"/>
      <c r="L85" s="440"/>
      <c r="M85" s="440"/>
      <c r="N85" s="440"/>
      <c r="O85" s="440"/>
      <c r="P85" s="440"/>
      <c r="Q85" s="440"/>
      <c r="R85" s="440"/>
      <c r="S85" s="440"/>
      <c r="T85" s="272"/>
      <c r="U85" s="26"/>
      <c r="V85" s="34"/>
    </row>
    <row r="86" spans="1:22" ht="16.350000000000001" customHeight="1" x14ac:dyDescent="0.2">
      <c r="A86" s="276"/>
      <c r="B86" s="285"/>
      <c r="C86" s="285"/>
      <c r="D86" s="285"/>
      <c r="E86" s="285"/>
      <c r="F86" s="288"/>
      <c r="G86" s="272"/>
      <c r="H86" s="272"/>
      <c r="I86" s="441"/>
      <c r="J86" s="441"/>
      <c r="K86" s="441"/>
      <c r="L86" s="441"/>
      <c r="M86" s="441"/>
      <c r="N86" s="441"/>
      <c r="O86" s="441"/>
      <c r="P86" s="441"/>
      <c r="Q86" s="441"/>
      <c r="R86" s="441"/>
      <c r="S86" s="441"/>
      <c r="T86" s="272"/>
      <c r="U86" s="26"/>
      <c r="V86" s="34"/>
    </row>
    <row r="87" spans="1:22" x14ac:dyDescent="0.2">
      <c r="A87" s="276"/>
      <c r="B87" s="285"/>
      <c r="C87" s="285"/>
      <c r="D87" s="285"/>
      <c r="E87" s="285"/>
      <c r="F87" s="273"/>
      <c r="G87" s="273"/>
      <c r="H87" s="273"/>
      <c r="I87" s="442"/>
      <c r="J87" s="442"/>
      <c r="K87" s="442"/>
      <c r="L87" s="442"/>
      <c r="M87" s="442"/>
      <c r="N87" s="442"/>
      <c r="O87" s="442"/>
      <c r="P87" s="442"/>
      <c r="Q87" s="442"/>
      <c r="R87" s="442"/>
      <c r="S87" s="442"/>
      <c r="T87" s="273"/>
      <c r="U87" s="89"/>
      <c r="V87" s="34"/>
    </row>
    <row r="88" spans="1:22" ht="16.350000000000001" customHeight="1" x14ac:dyDescent="0.2">
      <c r="A88" s="276"/>
      <c r="B88" s="285"/>
      <c r="C88" s="285"/>
      <c r="D88" s="285"/>
      <c r="E88" s="285"/>
      <c r="F88" s="288" t="s">
        <v>1091</v>
      </c>
      <c r="G88" s="272"/>
      <c r="H88" s="272"/>
      <c r="I88" s="440"/>
      <c r="J88" s="440"/>
      <c r="K88" s="440"/>
      <c r="L88" s="440"/>
      <c r="M88" s="440"/>
      <c r="N88" s="440"/>
      <c r="O88" s="440"/>
      <c r="P88" s="440"/>
      <c r="Q88" s="440"/>
      <c r="R88" s="440"/>
      <c r="S88" s="440"/>
      <c r="T88" s="272"/>
      <c r="U88" s="26"/>
      <c r="V88" s="34"/>
    </row>
    <row r="89" spans="1:22" ht="16.350000000000001" customHeight="1" x14ac:dyDescent="0.2">
      <c r="A89" s="276"/>
      <c r="B89" s="285"/>
      <c r="C89" s="285"/>
      <c r="D89" s="285"/>
      <c r="E89" s="285"/>
      <c r="F89" s="288"/>
      <c r="G89" s="272"/>
      <c r="H89" s="272"/>
      <c r="I89" s="441"/>
      <c r="J89" s="441"/>
      <c r="K89" s="441"/>
      <c r="L89" s="441"/>
      <c r="M89" s="441"/>
      <c r="N89" s="441"/>
      <c r="O89" s="441"/>
      <c r="P89" s="441"/>
      <c r="Q89" s="441"/>
      <c r="R89" s="441"/>
      <c r="S89" s="441"/>
      <c r="T89" s="272"/>
      <c r="U89" s="26"/>
      <c r="V89" s="34"/>
    </row>
    <row r="90" spans="1:22" x14ac:dyDescent="0.2">
      <c r="A90" s="276"/>
      <c r="B90" s="285"/>
      <c r="C90" s="285"/>
      <c r="D90" s="285"/>
      <c r="E90" s="285"/>
      <c r="F90" s="273"/>
      <c r="G90" s="273"/>
      <c r="H90" s="273"/>
      <c r="I90" s="442"/>
      <c r="J90" s="442"/>
      <c r="K90" s="442"/>
      <c r="L90" s="442"/>
      <c r="M90" s="442"/>
      <c r="N90" s="442"/>
      <c r="O90" s="442"/>
      <c r="P90" s="442"/>
      <c r="Q90" s="442"/>
      <c r="R90" s="442"/>
      <c r="S90" s="442"/>
      <c r="T90" s="273"/>
      <c r="U90" s="89"/>
      <c r="V90" s="100"/>
    </row>
    <row r="91" spans="1:22" ht="16.350000000000001" customHeight="1" x14ac:dyDescent="0.2">
      <c r="A91" s="276"/>
      <c r="B91" s="285"/>
      <c r="C91" s="285"/>
      <c r="D91" s="285"/>
      <c r="E91" s="285"/>
      <c r="F91" s="288" t="s">
        <v>1094</v>
      </c>
      <c r="G91" s="272"/>
      <c r="H91" s="272"/>
      <c r="I91" s="440"/>
      <c r="J91" s="440"/>
      <c r="K91" s="440"/>
      <c r="L91" s="440"/>
      <c r="M91" s="440"/>
      <c r="N91" s="440"/>
      <c r="O91" s="440"/>
      <c r="P91" s="440"/>
      <c r="Q91" s="440"/>
      <c r="R91" s="440"/>
      <c r="S91" s="440"/>
      <c r="T91" s="272"/>
      <c r="U91" s="26"/>
      <c r="V91" s="100"/>
    </row>
    <row r="92" spans="1:22" ht="16.350000000000001" customHeight="1" x14ac:dyDescent="0.2">
      <c r="A92" s="276"/>
      <c r="B92" s="285"/>
      <c r="C92" s="285"/>
      <c r="D92" s="285"/>
      <c r="E92" s="285"/>
      <c r="F92" s="288"/>
      <c r="G92" s="272"/>
      <c r="H92" s="272"/>
      <c r="I92" s="441"/>
      <c r="J92" s="441"/>
      <c r="K92" s="441"/>
      <c r="L92" s="441"/>
      <c r="M92" s="441"/>
      <c r="N92" s="441"/>
      <c r="O92" s="441"/>
      <c r="P92" s="441"/>
      <c r="Q92" s="441"/>
      <c r="R92" s="441"/>
      <c r="S92" s="441"/>
      <c r="T92" s="272"/>
      <c r="U92" s="26"/>
      <c r="V92" s="100"/>
    </row>
    <row r="93" spans="1:22" x14ac:dyDescent="0.2">
      <c r="A93" s="276"/>
      <c r="B93" s="285"/>
      <c r="C93" s="285"/>
      <c r="D93" s="285"/>
      <c r="E93" s="285"/>
      <c r="F93" s="273"/>
      <c r="G93" s="273"/>
      <c r="H93" s="273"/>
      <c r="I93" s="442"/>
      <c r="J93" s="442"/>
      <c r="K93" s="442"/>
      <c r="L93" s="442"/>
      <c r="M93" s="442"/>
      <c r="N93" s="442"/>
      <c r="O93" s="442"/>
      <c r="P93" s="442"/>
      <c r="Q93" s="442"/>
      <c r="R93" s="442"/>
      <c r="S93" s="442"/>
      <c r="T93" s="273"/>
      <c r="U93" s="89"/>
      <c r="V93" s="37"/>
    </row>
    <row r="94" spans="1:22" ht="16.350000000000001" customHeight="1" x14ac:dyDescent="0.2">
      <c r="A94" s="276"/>
      <c r="B94" s="285"/>
      <c r="C94" s="285"/>
      <c r="D94" s="285"/>
      <c r="E94" s="285"/>
      <c r="F94" s="288" t="s">
        <v>1095</v>
      </c>
      <c r="G94" s="272"/>
      <c r="H94" s="272"/>
      <c r="I94" s="440"/>
      <c r="J94" s="440"/>
      <c r="K94" s="440"/>
      <c r="L94" s="440"/>
      <c r="M94" s="440"/>
      <c r="N94" s="440"/>
      <c r="O94" s="440"/>
      <c r="P94" s="440"/>
      <c r="Q94" s="440"/>
      <c r="R94" s="440"/>
      <c r="S94" s="440"/>
      <c r="T94" s="272"/>
      <c r="U94" s="26"/>
      <c r="V94" s="34"/>
    </row>
    <row r="95" spans="1:22" ht="16.350000000000001" customHeight="1" x14ac:dyDescent="0.2">
      <c r="A95" s="276"/>
      <c r="B95" s="285"/>
      <c r="C95" s="285"/>
      <c r="D95" s="285"/>
      <c r="E95" s="285"/>
      <c r="F95" s="288"/>
      <c r="G95" s="272"/>
      <c r="H95" s="272"/>
      <c r="I95" s="441"/>
      <c r="J95" s="441"/>
      <c r="K95" s="441"/>
      <c r="L95" s="441"/>
      <c r="M95" s="441"/>
      <c r="N95" s="441"/>
      <c r="O95" s="441"/>
      <c r="P95" s="441"/>
      <c r="Q95" s="441"/>
      <c r="R95" s="441"/>
      <c r="S95" s="441"/>
      <c r="T95" s="272"/>
      <c r="U95" s="26"/>
      <c r="V95" s="34"/>
    </row>
    <row r="96" spans="1:22" ht="15.75" thickBot="1" x14ac:dyDescent="0.25">
      <c r="A96" s="276"/>
      <c r="B96" s="285"/>
      <c r="C96" s="285"/>
      <c r="D96" s="285"/>
      <c r="E96" s="285"/>
      <c r="F96" s="273"/>
      <c r="G96" s="273"/>
      <c r="H96" s="273"/>
      <c r="I96" s="443"/>
      <c r="J96" s="443"/>
      <c r="K96" s="443"/>
      <c r="L96" s="443"/>
      <c r="M96" s="443"/>
      <c r="N96" s="443"/>
      <c r="O96" s="443"/>
      <c r="P96" s="443"/>
      <c r="Q96" s="443"/>
      <c r="R96" s="443"/>
      <c r="S96" s="443"/>
      <c r="T96" s="273"/>
      <c r="U96" s="89"/>
      <c r="V96" s="100"/>
    </row>
    <row r="97" spans="1:22" ht="15.75" thickBot="1" x14ac:dyDescent="0.25">
      <c r="A97" s="276"/>
      <c r="B97" s="90"/>
      <c r="C97" s="90"/>
      <c r="D97" s="447"/>
      <c r="E97" s="448"/>
      <c r="F97" s="448"/>
      <c r="G97" s="448"/>
      <c r="H97" s="449"/>
      <c r="I97" s="125" t="s">
        <v>1417</v>
      </c>
      <c r="J97" s="125" t="s">
        <v>1418</v>
      </c>
      <c r="K97" s="125" t="s">
        <v>1419</v>
      </c>
      <c r="L97" s="125" t="s">
        <v>1420</v>
      </c>
      <c r="M97" s="125" t="s">
        <v>1421</v>
      </c>
      <c r="N97" s="125" t="s">
        <v>1422</v>
      </c>
      <c r="O97" s="125" t="s">
        <v>1423</v>
      </c>
      <c r="P97" s="125" t="s">
        <v>1424</v>
      </c>
      <c r="Q97" s="125" t="s">
        <v>1425</v>
      </c>
      <c r="R97" s="125" t="s">
        <v>1426</v>
      </c>
      <c r="S97" s="125" t="s">
        <v>1427</v>
      </c>
      <c r="T97" s="450"/>
      <c r="U97" s="451"/>
      <c r="V97" s="452"/>
    </row>
    <row r="98" spans="1:22" x14ac:dyDescent="0.25">
      <c r="A98" s="276"/>
      <c r="B98" s="282" t="s">
        <v>1092</v>
      </c>
      <c r="C98" s="282"/>
      <c r="D98" s="282"/>
      <c r="E98" s="282"/>
      <c r="F98" s="288" t="s">
        <v>1096</v>
      </c>
      <c r="G98" s="272"/>
      <c r="H98" s="272"/>
      <c r="I98" s="446"/>
      <c r="J98" s="446"/>
      <c r="K98" s="446"/>
      <c r="L98" s="446"/>
      <c r="M98" s="446"/>
      <c r="N98" s="446"/>
      <c r="O98" s="446"/>
      <c r="P98" s="446"/>
      <c r="Q98" s="446"/>
      <c r="R98" s="446"/>
      <c r="S98" s="446"/>
      <c r="T98" s="272"/>
      <c r="U98" s="26"/>
      <c r="V98" s="33"/>
    </row>
    <row r="99" spans="1:22" x14ac:dyDescent="0.25">
      <c r="A99" s="276"/>
      <c r="B99" s="283"/>
      <c r="C99" s="283"/>
      <c r="D99" s="283"/>
      <c r="E99" s="283"/>
      <c r="F99" s="288"/>
      <c r="G99" s="272"/>
      <c r="H99" s="272"/>
      <c r="I99" s="441"/>
      <c r="J99" s="441"/>
      <c r="K99" s="441"/>
      <c r="L99" s="441"/>
      <c r="M99" s="441"/>
      <c r="N99" s="441"/>
      <c r="O99" s="441"/>
      <c r="P99" s="441"/>
      <c r="Q99" s="441"/>
      <c r="R99" s="441"/>
      <c r="S99" s="441"/>
      <c r="T99" s="272"/>
      <c r="U99" s="26"/>
      <c r="V99" s="33"/>
    </row>
    <row r="100" spans="1:22" x14ac:dyDescent="0.2">
      <c r="A100" s="276"/>
      <c r="B100" s="284"/>
      <c r="C100" s="284"/>
      <c r="D100" s="284"/>
      <c r="E100" s="284"/>
      <c r="F100" s="273"/>
      <c r="G100" s="273"/>
      <c r="H100" s="273"/>
      <c r="I100" s="442"/>
      <c r="J100" s="442"/>
      <c r="K100" s="442"/>
      <c r="L100" s="442"/>
      <c r="M100" s="442"/>
      <c r="N100" s="442"/>
      <c r="O100" s="442"/>
      <c r="P100" s="442"/>
      <c r="Q100" s="442"/>
      <c r="R100" s="442"/>
      <c r="S100" s="442"/>
      <c r="T100" s="273"/>
      <c r="U100" s="89"/>
      <c r="V100" s="34"/>
    </row>
    <row r="101" spans="1:22" ht="15" customHeight="1" x14ac:dyDescent="0.2">
      <c r="A101" s="276"/>
      <c r="B101" s="285"/>
      <c r="C101" s="285"/>
      <c r="D101" s="285"/>
      <c r="E101" s="285"/>
      <c r="F101" s="288" t="s">
        <v>1097</v>
      </c>
      <c r="G101" s="272"/>
      <c r="H101" s="272"/>
      <c r="I101" s="440"/>
      <c r="J101" s="440"/>
      <c r="K101" s="440"/>
      <c r="L101" s="440"/>
      <c r="M101" s="440"/>
      <c r="N101" s="440"/>
      <c r="O101" s="440"/>
      <c r="P101" s="440"/>
      <c r="Q101" s="440"/>
      <c r="R101" s="440"/>
      <c r="S101" s="440"/>
      <c r="T101" s="272"/>
      <c r="U101" s="26"/>
      <c r="V101" s="34"/>
    </row>
    <row r="102" spans="1:22" x14ac:dyDescent="0.2">
      <c r="A102" s="276"/>
      <c r="B102" s="285"/>
      <c r="C102" s="285"/>
      <c r="D102" s="285"/>
      <c r="E102" s="285"/>
      <c r="F102" s="288"/>
      <c r="G102" s="272"/>
      <c r="H102" s="272"/>
      <c r="I102" s="441"/>
      <c r="J102" s="441"/>
      <c r="K102" s="441"/>
      <c r="L102" s="441"/>
      <c r="M102" s="441"/>
      <c r="N102" s="441"/>
      <c r="O102" s="441"/>
      <c r="P102" s="441"/>
      <c r="Q102" s="441"/>
      <c r="R102" s="441"/>
      <c r="S102" s="441"/>
      <c r="T102" s="272"/>
      <c r="U102" s="26"/>
      <c r="V102" s="34"/>
    </row>
    <row r="103" spans="1:22" x14ac:dyDescent="0.2">
      <c r="A103" s="276"/>
      <c r="B103" s="285"/>
      <c r="C103" s="285"/>
      <c r="D103" s="285"/>
      <c r="E103" s="285"/>
      <c r="F103" s="273"/>
      <c r="G103" s="273"/>
      <c r="H103" s="273"/>
      <c r="I103" s="442"/>
      <c r="J103" s="442"/>
      <c r="K103" s="442"/>
      <c r="L103" s="442"/>
      <c r="M103" s="442"/>
      <c r="N103" s="442"/>
      <c r="O103" s="442"/>
      <c r="P103" s="442"/>
      <c r="Q103" s="442"/>
      <c r="R103" s="442"/>
      <c r="S103" s="442"/>
      <c r="T103" s="273"/>
      <c r="U103" s="89"/>
      <c r="V103" s="34"/>
    </row>
    <row r="104" spans="1:22" ht="16.350000000000001" customHeight="1" x14ac:dyDescent="0.2">
      <c r="A104" s="276"/>
      <c r="B104" s="285"/>
      <c r="C104" s="285"/>
      <c r="D104" s="285"/>
      <c r="E104" s="285"/>
      <c r="F104" s="288" t="s">
        <v>1098</v>
      </c>
      <c r="G104" s="272"/>
      <c r="H104" s="272"/>
      <c r="I104" s="440"/>
      <c r="J104" s="440"/>
      <c r="K104" s="440"/>
      <c r="L104" s="440"/>
      <c r="M104" s="440"/>
      <c r="N104" s="440"/>
      <c r="O104" s="440"/>
      <c r="P104" s="440"/>
      <c r="Q104" s="440"/>
      <c r="R104" s="440"/>
      <c r="S104" s="440"/>
      <c r="T104" s="272"/>
      <c r="U104" s="26"/>
      <c r="V104" s="34"/>
    </row>
    <row r="105" spans="1:22" ht="16.350000000000001" customHeight="1" x14ac:dyDescent="0.2">
      <c r="A105" s="276"/>
      <c r="B105" s="285"/>
      <c r="C105" s="285"/>
      <c r="D105" s="285"/>
      <c r="E105" s="285"/>
      <c r="F105" s="288"/>
      <c r="G105" s="272"/>
      <c r="H105" s="272"/>
      <c r="I105" s="441"/>
      <c r="J105" s="441"/>
      <c r="K105" s="441"/>
      <c r="L105" s="441"/>
      <c r="M105" s="441"/>
      <c r="N105" s="441"/>
      <c r="O105" s="441"/>
      <c r="P105" s="441"/>
      <c r="Q105" s="441"/>
      <c r="R105" s="441"/>
      <c r="S105" s="441"/>
      <c r="T105" s="272"/>
      <c r="U105" s="26"/>
      <c r="V105" s="34"/>
    </row>
    <row r="106" spans="1:22" x14ac:dyDescent="0.2">
      <c r="A106" s="276"/>
      <c r="B106" s="285"/>
      <c r="C106" s="285"/>
      <c r="D106" s="285"/>
      <c r="E106" s="285"/>
      <c r="F106" s="273"/>
      <c r="G106" s="273"/>
      <c r="H106" s="273"/>
      <c r="I106" s="442"/>
      <c r="J106" s="442"/>
      <c r="K106" s="442"/>
      <c r="L106" s="442"/>
      <c r="M106" s="442"/>
      <c r="N106" s="442"/>
      <c r="O106" s="442"/>
      <c r="P106" s="442"/>
      <c r="Q106" s="442"/>
      <c r="R106" s="442"/>
      <c r="S106" s="442"/>
      <c r="T106" s="273"/>
      <c r="U106" s="89"/>
      <c r="V106" s="34"/>
    </row>
    <row r="107" spans="1:22" ht="16.350000000000001" customHeight="1" x14ac:dyDescent="0.2">
      <c r="A107" s="276"/>
      <c r="B107" s="285"/>
      <c r="C107" s="285"/>
      <c r="D107" s="285"/>
      <c r="E107" s="285"/>
      <c r="F107" s="288" t="s">
        <v>1099</v>
      </c>
      <c r="G107" s="272"/>
      <c r="H107" s="272"/>
      <c r="I107" s="440"/>
      <c r="J107" s="440"/>
      <c r="K107" s="440"/>
      <c r="L107" s="440"/>
      <c r="M107" s="440"/>
      <c r="N107" s="440"/>
      <c r="O107" s="440"/>
      <c r="P107" s="440"/>
      <c r="Q107" s="440"/>
      <c r="R107" s="440"/>
      <c r="S107" s="440"/>
      <c r="T107" s="272"/>
      <c r="U107" s="26"/>
      <c r="V107" s="34"/>
    </row>
    <row r="108" spans="1:22" ht="16.350000000000001" customHeight="1" x14ac:dyDescent="0.2">
      <c r="A108" s="276"/>
      <c r="B108" s="285"/>
      <c r="C108" s="285"/>
      <c r="D108" s="285"/>
      <c r="E108" s="285"/>
      <c r="F108" s="288"/>
      <c r="G108" s="272"/>
      <c r="H108" s="272"/>
      <c r="I108" s="441"/>
      <c r="J108" s="441"/>
      <c r="K108" s="441"/>
      <c r="L108" s="441"/>
      <c r="M108" s="441"/>
      <c r="N108" s="441"/>
      <c r="O108" s="441"/>
      <c r="P108" s="441"/>
      <c r="Q108" s="441"/>
      <c r="R108" s="441"/>
      <c r="S108" s="441"/>
      <c r="T108" s="272"/>
      <c r="U108" s="26"/>
      <c r="V108" s="34"/>
    </row>
    <row r="109" spans="1:22" x14ac:dyDescent="0.2">
      <c r="A109" s="276"/>
      <c r="B109" s="285"/>
      <c r="C109" s="285"/>
      <c r="D109" s="285"/>
      <c r="E109" s="285"/>
      <c r="F109" s="273"/>
      <c r="G109" s="273"/>
      <c r="H109" s="273"/>
      <c r="I109" s="442"/>
      <c r="J109" s="442"/>
      <c r="K109" s="442"/>
      <c r="L109" s="442"/>
      <c r="M109" s="442"/>
      <c r="N109" s="442"/>
      <c r="O109" s="442"/>
      <c r="P109" s="442"/>
      <c r="Q109" s="442"/>
      <c r="R109" s="442"/>
      <c r="S109" s="442"/>
      <c r="T109" s="273"/>
      <c r="U109" s="89"/>
      <c r="V109" s="100"/>
    </row>
    <row r="110" spans="1:22" ht="16.350000000000001" customHeight="1" x14ac:dyDescent="0.2">
      <c r="A110" s="276"/>
      <c r="B110" s="285"/>
      <c r="C110" s="285"/>
      <c r="D110" s="285"/>
      <c r="E110" s="285"/>
      <c r="F110" s="288" t="s">
        <v>1100</v>
      </c>
      <c r="G110" s="272"/>
      <c r="H110" s="272"/>
      <c r="I110" s="440"/>
      <c r="J110" s="440"/>
      <c r="K110" s="440"/>
      <c r="L110" s="440"/>
      <c r="M110" s="440"/>
      <c r="N110" s="440"/>
      <c r="O110" s="440"/>
      <c r="P110" s="440"/>
      <c r="Q110" s="440"/>
      <c r="R110" s="440"/>
      <c r="S110" s="440"/>
      <c r="T110" s="272"/>
      <c r="U110" s="26"/>
      <c r="V110" s="100"/>
    </row>
    <row r="111" spans="1:22" ht="16.350000000000001" customHeight="1" x14ac:dyDescent="0.2">
      <c r="A111" s="276"/>
      <c r="B111" s="285"/>
      <c r="C111" s="285"/>
      <c r="D111" s="285"/>
      <c r="E111" s="285"/>
      <c r="F111" s="288"/>
      <c r="G111" s="272"/>
      <c r="H111" s="272"/>
      <c r="I111" s="441"/>
      <c r="J111" s="441"/>
      <c r="K111" s="441"/>
      <c r="L111" s="441"/>
      <c r="M111" s="441"/>
      <c r="N111" s="441"/>
      <c r="O111" s="441"/>
      <c r="P111" s="441"/>
      <c r="Q111" s="441"/>
      <c r="R111" s="441"/>
      <c r="S111" s="441"/>
      <c r="T111" s="272"/>
      <c r="U111" s="26"/>
      <c r="V111" s="100"/>
    </row>
    <row r="112" spans="1:22" x14ac:dyDescent="0.2">
      <c r="A112" s="276"/>
      <c r="B112" s="285"/>
      <c r="C112" s="285"/>
      <c r="D112" s="285"/>
      <c r="E112" s="285"/>
      <c r="F112" s="273"/>
      <c r="G112" s="273"/>
      <c r="H112" s="273"/>
      <c r="I112" s="442"/>
      <c r="J112" s="442"/>
      <c r="K112" s="442"/>
      <c r="L112" s="442"/>
      <c r="M112" s="442"/>
      <c r="N112" s="442"/>
      <c r="O112" s="442"/>
      <c r="P112" s="442"/>
      <c r="Q112" s="442"/>
      <c r="R112" s="442"/>
      <c r="S112" s="442"/>
      <c r="T112" s="273"/>
      <c r="U112" s="89"/>
      <c r="V112" s="37"/>
    </row>
    <row r="113" spans="1:22" ht="16.350000000000001" customHeight="1" x14ac:dyDescent="0.2">
      <c r="A113" s="276"/>
      <c r="B113" s="285"/>
      <c r="C113" s="285"/>
      <c r="D113" s="285"/>
      <c r="E113" s="285"/>
      <c r="F113" s="288" t="s">
        <v>1101</v>
      </c>
      <c r="G113" s="272"/>
      <c r="H113" s="272"/>
      <c r="I113" s="440"/>
      <c r="J113" s="440"/>
      <c r="K113" s="440"/>
      <c r="L113" s="440"/>
      <c r="M113" s="440"/>
      <c r="N113" s="440"/>
      <c r="O113" s="440"/>
      <c r="P113" s="440"/>
      <c r="Q113" s="440"/>
      <c r="R113" s="440"/>
      <c r="S113" s="440"/>
      <c r="T113" s="272"/>
      <c r="U113" s="26"/>
      <c r="V113" s="34"/>
    </row>
    <row r="114" spans="1:22" ht="16.350000000000001" customHeight="1" x14ac:dyDescent="0.2">
      <c r="A114" s="276"/>
      <c r="B114" s="285"/>
      <c r="C114" s="285"/>
      <c r="D114" s="285"/>
      <c r="E114" s="285"/>
      <c r="F114" s="288"/>
      <c r="G114" s="272"/>
      <c r="H114" s="272"/>
      <c r="I114" s="441"/>
      <c r="J114" s="441"/>
      <c r="K114" s="441"/>
      <c r="L114" s="441"/>
      <c r="M114" s="441"/>
      <c r="N114" s="441"/>
      <c r="O114" s="441"/>
      <c r="P114" s="441"/>
      <c r="Q114" s="441"/>
      <c r="R114" s="441"/>
      <c r="S114" s="441"/>
      <c r="T114" s="272"/>
      <c r="U114" s="26"/>
      <c r="V114" s="34"/>
    </row>
    <row r="115" spans="1:22" ht="15.75" thickBot="1" x14ac:dyDescent="0.25">
      <c r="A115" s="276"/>
      <c r="B115" s="285"/>
      <c r="C115" s="285"/>
      <c r="D115" s="285"/>
      <c r="E115" s="285"/>
      <c r="F115" s="273"/>
      <c r="G115" s="273"/>
      <c r="H115" s="273"/>
      <c r="I115" s="443"/>
      <c r="J115" s="443"/>
      <c r="K115" s="443"/>
      <c r="L115" s="443"/>
      <c r="M115" s="443"/>
      <c r="N115" s="443"/>
      <c r="O115" s="443"/>
      <c r="P115" s="443"/>
      <c r="Q115" s="443"/>
      <c r="R115" s="443"/>
      <c r="S115" s="443"/>
      <c r="T115" s="273"/>
      <c r="U115" s="89"/>
      <c r="V115" s="100"/>
    </row>
    <row r="116" spans="1:22" ht="15.75" thickBot="1" x14ac:dyDescent="0.25">
      <c r="A116" s="276"/>
      <c r="B116" s="447"/>
      <c r="C116" s="448"/>
      <c r="D116" s="448"/>
      <c r="E116" s="448"/>
      <c r="F116" s="448"/>
      <c r="G116" s="448"/>
      <c r="H116" s="449"/>
      <c r="I116" s="125" t="s">
        <v>1417</v>
      </c>
      <c r="J116" s="125" t="s">
        <v>1418</v>
      </c>
      <c r="K116" s="125" t="s">
        <v>1419</v>
      </c>
      <c r="L116" s="125" t="s">
        <v>1420</v>
      </c>
      <c r="M116" s="125" t="s">
        <v>1421</v>
      </c>
      <c r="N116" s="125" t="s">
        <v>1422</v>
      </c>
      <c r="O116" s="125" t="s">
        <v>1423</v>
      </c>
      <c r="P116" s="125" t="s">
        <v>1424</v>
      </c>
      <c r="Q116" s="125" t="s">
        <v>1425</v>
      </c>
      <c r="R116" s="125" t="s">
        <v>1426</v>
      </c>
      <c r="S116" s="125" t="s">
        <v>1427</v>
      </c>
      <c r="T116" s="89"/>
      <c r="U116" s="89"/>
      <c r="V116" s="100"/>
    </row>
    <row r="117" spans="1:22" x14ac:dyDescent="0.25">
      <c r="A117" s="276"/>
      <c r="B117" s="282" t="s">
        <v>1093</v>
      </c>
      <c r="C117" s="282"/>
      <c r="D117" s="282"/>
      <c r="E117" s="282"/>
      <c r="F117" s="288" t="s">
        <v>1102</v>
      </c>
      <c r="G117" s="272"/>
      <c r="H117" s="272"/>
      <c r="I117" s="446"/>
      <c r="J117" s="446"/>
      <c r="K117" s="446"/>
      <c r="L117" s="446"/>
      <c r="M117" s="446"/>
      <c r="N117" s="446"/>
      <c r="O117" s="446"/>
      <c r="P117" s="446"/>
      <c r="Q117" s="446"/>
      <c r="R117" s="446"/>
      <c r="S117" s="446"/>
      <c r="T117" s="272"/>
      <c r="U117" s="26"/>
      <c r="V117" s="33"/>
    </row>
    <row r="118" spans="1:22" x14ac:dyDescent="0.25">
      <c r="A118" s="276"/>
      <c r="B118" s="283"/>
      <c r="C118" s="283"/>
      <c r="D118" s="283"/>
      <c r="E118" s="283"/>
      <c r="F118" s="288"/>
      <c r="G118" s="272"/>
      <c r="H118" s="272"/>
      <c r="I118" s="441"/>
      <c r="J118" s="441"/>
      <c r="K118" s="441"/>
      <c r="L118" s="441"/>
      <c r="M118" s="441"/>
      <c r="N118" s="441"/>
      <c r="O118" s="441"/>
      <c r="P118" s="441"/>
      <c r="Q118" s="441"/>
      <c r="R118" s="441"/>
      <c r="S118" s="441"/>
      <c r="T118" s="272"/>
      <c r="U118" s="26"/>
      <c r="V118" s="33"/>
    </row>
    <row r="119" spans="1:22" x14ac:dyDescent="0.2">
      <c r="A119" s="276"/>
      <c r="B119" s="284"/>
      <c r="C119" s="284"/>
      <c r="D119" s="284"/>
      <c r="E119" s="284"/>
      <c r="F119" s="273"/>
      <c r="G119" s="273"/>
      <c r="H119" s="273"/>
      <c r="I119" s="442"/>
      <c r="J119" s="442"/>
      <c r="K119" s="442"/>
      <c r="L119" s="442"/>
      <c r="M119" s="442"/>
      <c r="N119" s="442"/>
      <c r="O119" s="442"/>
      <c r="P119" s="442"/>
      <c r="Q119" s="442"/>
      <c r="R119" s="442"/>
      <c r="S119" s="442"/>
      <c r="T119" s="273"/>
      <c r="U119" s="89"/>
      <c r="V119" s="34"/>
    </row>
    <row r="120" spans="1:22" ht="15" customHeight="1" x14ac:dyDescent="0.2">
      <c r="A120" s="276"/>
      <c r="B120" s="285"/>
      <c r="C120" s="285"/>
      <c r="D120" s="285"/>
      <c r="E120" s="285"/>
      <c r="F120" s="288" t="s">
        <v>1103</v>
      </c>
      <c r="G120" s="272"/>
      <c r="H120" s="272"/>
      <c r="I120" s="440"/>
      <c r="J120" s="440"/>
      <c r="K120" s="440"/>
      <c r="L120" s="440"/>
      <c r="M120" s="440"/>
      <c r="N120" s="440"/>
      <c r="O120" s="440"/>
      <c r="P120" s="440"/>
      <c r="Q120" s="440"/>
      <c r="R120" s="440"/>
      <c r="S120" s="440"/>
      <c r="T120" s="272"/>
      <c r="U120" s="26"/>
      <c r="V120" s="34"/>
    </row>
    <row r="121" spans="1:22" x14ac:dyDescent="0.2">
      <c r="A121" s="276"/>
      <c r="B121" s="285"/>
      <c r="C121" s="285"/>
      <c r="D121" s="285"/>
      <c r="E121" s="285"/>
      <c r="F121" s="288"/>
      <c r="G121" s="272"/>
      <c r="H121" s="272"/>
      <c r="I121" s="441"/>
      <c r="J121" s="441"/>
      <c r="K121" s="441"/>
      <c r="L121" s="441"/>
      <c r="M121" s="441"/>
      <c r="N121" s="441"/>
      <c r="O121" s="441"/>
      <c r="P121" s="441"/>
      <c r="Q121" s="441"/>
      <c r="R121" s="441"/>
      <c r="S121" s="441"/>
      <c r="T121" s="272"/>
      <c r="U121" s="26"/>
      <c r="V121" s="34"/>
    </row>
    <row r="122" spans="1:22" x14ac:dyDescent="0.2">
      <c r="A122" s="276"/>
      <c r="B122" s="285"/>
      <c r="C122" s="285"/>
      <c r="D122" s="285"/>
      <c r="E122" s="285"/>
      <c r="F122" s="273"/>
      <c r="G122" s="273"/>
      <c r="H122" s="273"/>
      <c r="I122" s="442"/>
      <c r="J122" s="442"/>
      <c r="K122" s="442"/>
      <c r="L122" s="442"/>
      <c r="M122" s="442"/>
      <c r="N122" s="442"/>
      <c r="O122" s="442"/>
      <c r="P122" s="442"/>
      <c r="Q122" s="442"/>
      <c r="R122" s="442"/>
      <c r="S122" s="442"/>
      <c r="T122" s="273"/>
      <c r="U122" s="89"/>
      <c r="V122" s="34"/>
    </row>
    <row r="123" spans="1:22" ht="16.350000000000001" customHeight="1" x14ac:dyDescent="0.2">
      <c r="A123" s="276"/>
      <c r="B123" s="285"/>
      <c r="C123" s="285"/>
      <c r="D123" s="285"/>
      <c r="E123" s="285"/>
      <c r="F123" s="288" t="s">
        <v>1104</v>
      </c>
      <c r="G123" s="272"/>
      <c r="H123" s="272"/>
      <c r="I123" s="440"/>
      <c r="J123" s="440"/>
      <c r="K123" s="440"/>
      <c r="L123" s="440"/>
      <c r="M123" s="440"/>
      <c r="N123" s="440"/>
      <c r="O123" s="440"/>
      <c r="P123" s="440"/>
      <c r="Q123" s="440"/>
      <c r="R123" s="440"/>
      <c r="S123" s="440"/>
      <c r="T123" s="272"/>
      <c r="U123" s="26"/>
      <c r="V123" s="34"/>
    </row>
    <row r="124" spans="1:22" ht="16.350000000000001" customHeight="1" x14ac:dyDescent="0.2">
      <c r="A124" s="276"/>
      <c r="B124" s="285"/>
      <c r="C124" s="285"/>
      <c r="D124" s="285"/>
      <c r="E124" s="285"/>
      <c r="F124" s="288"/>
      <c r="G124" s="272"/>
      <c r="H124" s="272"/>
      <c r="I124" s="441"/>
      <c r="J124" s="441"/>
      <c r="K124" s="441"/>
      <c r="L124" s="441"/>
      <c r="M124" s="441"/>
      <c r="N124" s="441"/>
      <c r="O124" s="441"/>
      <c r="P124" s="441"/>
      <c r="Q124" s="441"/>
      <c r="R124" s="441"/>
      <c r="S124" s="441"/>
      <c r="T124" s="272"/>
      <c r="U124" s="26"/>
      <c r="V124" s="34"/>
    </row>
    <row r="125" spans="1:22" x14ac:dyDescent="0.2">
      <c r="A125" s="276"/>
      <c r="B125" s="285"/>
      <c r="C125" s="285"/>
      <c r="D125" s="285"/>
      <c r="E125" s="285"/>
      <c r="F125" s="273"/>
      <c r="G125" s="273"/>
      <c r="H125" s="273"/>
      <c r="I125" s="442"/>
      <c r="J125" s="442"/>
      <c r="K125" s="442"/>
      <c r="L125" s="442"/>
      <c r="M125" s="442"/>
      <c r="N125" s="442"/>
      <c r="O125" s="442"/>
      <c r="P125" s="442"/>
      <c r="Q125" s="442"/>
      <c r="R125" s="442"/>
      <c r="S125" s="442"/>
      <c r="T125" s="273"/>
      <c r="U125" s="89"/>
      <c r="V125" s="34"/>
    </row>
    <row r="126" spans="1:22" ht="16.350000000000001" customHeight="1" x14ac:dyDescent="0.2">
      <c r="A126" s="276"/>
      <c r="B126" s="285"/>
      <c r="C126" s="285"/>
      <c r="D126" s="285"/>
      <c r="E126" s="285"/>
      <c r="F126" s="288" t="s">
        <v>1105</v>
      </c>
      <c r="G126" s="272"/>
      <c r="H126" s="272"/>
      <c r="I126" s="440"/>
      <c r="J126" s="440"/>
      <c r="K126" s="440"/>
      <c r="L126" s="440"/>
      <c r="M126" s="440"/>
      <c r="N126" s="440"/>
      <c r="O126" s="440"/>
      <c r="P126" s="440"/>
      <c r="Q126" s="440"/>
      <c r="R126" s="440"/>
      <c r="S126" s="440"/>
      <c r="T126" s="272"/>
      <c r="U126" s="26"/>
      <c r="V126" s="34"/>
    </row>
    <row r="127" spans="1:22" ht="16.350000000000001" customHeight="1" x14ac:dyDescent="0.2">
      <c r="A127" s="276"/>
      <c r="B127" s="285"/>
      <c r="C127" s="285"/>
      <c r="D127" s="285"/>
      <c r="E127" s="285"/>
      <c r="F127" s="288"/>
      <c r="G127" s="272"/>
      <c r="H127" s="272"/>
      <c r="I127" s="441"/>
      <c r="J127" s="441"/>
      <c r="K127" s="441"/>
      <c r="L127" s="441"/>
      <c r="M127" s="441"/>
      <c r="N127" s="441"/>
      <c r="O127" s="441"/>
      <c r="P127" s="441"/>
      <c r="Q127" s="441"/>
      <c r="R127" s="441"/>
      <c r="S127" s="441"/>
      <c r="T127" s="272"/>
      <c r="U127" s="26"/>
      <c r="V127" s="34"/>
    </row>
    <row r="128" spans="1:22" x14ac:dyDescent="0.2">
      <c r="A128" s="276"/>
      <c r="B128" s="285"/>
      <c r="C128" s="285"/>
      <c r="D128" s="285"/>
      <c r="E128" s="285"/>
      <c r="F128" s="273"/>
      <c r="G128" s="273"/>
      <c r="H128" s="273"/>
      <c r="I128" s="442"/>
      <c r="J128" s="442"/>
      <c r="K128" s="442"/>
      <c r="L128" s="442"/>
      <c r="M128" s="442"/>
      <c r="N128" s="442"/>
      <c r="O128" s="442"/>
      <c r="P128" s="442"/>
      <c r="Q128" s="442"/>
      <c r="R128" s="442"/>
      <c r="S128" s="442"/>
      <c r="T128" s="273"/>
      <c r="U128" s="89"/>
      <c r="V128" s="100"/>
    </row>
    <row r="129" spans="1:22" ht="16.350000000000001" customHeight="1" x14ac:dyDescent="0.2">
      <c r="A129" s="276"/>
      <c r="B129" s="285"/>
      <c r="C129" s="285"/>
      <c r="D129" s="285"/>
      <c r="E129" s="285"/>
      <c r="F129" s="288" t="s">
        <v>1106</v>
      </c>
      <c r="G129" s="272"/>
      <c r="H129" s="272"/>
      <c r="I129" s="440"/>
      <c r="J129" s="440"/>
      <c r="K129" s="440"/>
      <c r="L129" s="440"/>
      <c r="M129" s="440"/>
      <c r="N129" s="440"/>
      <c r="O129" s="440"/>
      <c r="P129" s="440"/>
      <c r="Q129" s="440"/>
      <c r="R129" s="440"/>
      <c r="S129" s="440"/>
      <c r="T129" s="272"/>
      <c r="U129" s="26"/>
      <c r="V129" s="100"/>
    </row>
    <row r="130" spans="1:22" ht="16.350000000000001" customHeight="1" x14ac:dyDescent="0.2">
      <c r="A130" s="276"/>
      <c r="B130" s="285"/>
      <c r="C130" s="285"/>
      <c r="D130" s="285"/>
      <c r="E130" s="285"/>
      <c r="F130" s="288"/>
      <c r="G130" s="272"/>
      <c r="H130" s="272"/>
      <c r="I130" s="441"/>
      <c r="J130" s="441"/>
      <c r="K130" s="441"/>
      <c r="L130" s="441"/>
      <c r="M130" s="441"/>
      <c r="N130" s="441"/>
      <c r="O130" s="441"/>
      <c r="P130" s="441"/>
      <c r="Q130" s="441"/>
      <c r="R130" s="441"/>
      <c r="S130" s="441"/>
      <c r="T130" s="272"/>
      <c r="U130" s="26"/>
      <c r="V130" s="100"/>
    </row>
    <row r="131" spans="1:22" x14ac:dyDescent="0.2">
      <c r="A131" s="276"/>
      <c r="B131" s="285"/>
      <c r="C131" s="285"/>
      <c r="D131" s="285"/>
      <c r="E131" s="285"/>
      <c r="F131" s="273"/>
      <c r="G131" s="273"/>
      <c r="H131" s="273"/>
      <c r="I131" s="442"/>
      <c r="J131" s="442"/>
      <c r="K131" s="442"/>
      <c r="L131" s="442"/>
      <c r="M131" s="442"/>
      <c r="N131" s="442"/>
      <c r="O131" s="442"/>
      <c r="P131" s="442"/>
      <c r="Q131" s="442"/>
      <c r="R131" s="442"/>
      <c r="S131" s="442"/>
      <c r="T131" s="273"/>
      <c r="U131" s="89"/>
      <c r="V131" s="37"/>
    </row>
    <row r="132" spans="1:22" ht="16.350000000000001" customHeight="1" x14ac:dyDescent="0.2">
      <c r="A132" s="276"/>
      <c r="B132" s="285"/>
      <c r="C132" s="285"/>
      <c r="D132" s="285"/>
      <c r="E132" s="285"/>
      <c r="F132" s="288" t="s">
        <v>1107</v>
      </c>
      <c r="G132" s="272"/>
      <c r="H132" s="272"/>
      <c r="I132" s="440"/>
      <c r="J132" s="440"/>
      <c r="K132" s="440"/>
      <c r="L132" s="440"/>
      <c r="M132" s="440"/>
      <c r="N132" s="440"/>
      <c r="O132" s="440"/>
      <c r="P132" s="440"/>
      <c r="Q132" s="440"/>
      <c r="R132" s="440"/>
      <c r="S132" s="440"/>
      <c r="T132" s="272"/>
      <c r="U132" s="26"/>
      <c r="V132" s="34"/>
    </row>
    <row r="133" spans="1:22" ht="16.350000000000001" customHeight="1" x14ac:dyDescent="0.2">
      <c r="A133" s="276"/>
      <c r="B133" s="285"/>
      <c r="C133" s="285"/>
      <c r="D133" s="285"/>
      <c r="E133" s="285"/>
      <c r="F133" s="288"/>
      <c r="G133" s="272"/>
      <c r="H133" s="272"/>
      <c r="I133" s="441"/>
      <c r="J133" s="441"/>
      <c r="K133" s="441"/>
      <c r="L133" s="441"/>
      <c r="M133" s="441"/>
      <c r="N133" s="441"/>
      <c r="O133" s="441"/>
      <c r="P133" s="441"/>
      <c r="Q133" s="441"/>
      <c r="R133" s="441"/>
      <c r="S133" s="441"/>
      <c r="T133" s="272"/>
      <c r="U133" s="26"/>
      <c r="V133" s="34"/>
    </row>
    <row r="134" spans="1:22" ht="15.75" thickBot="1" x14ac:dyDescent="0.25">
      <c r="A134" s="276"/>
      <c r="B134" s="285"/>
      <c r="C134" s="285"/>
      <c r="D134" s="285"/>
      <c r="E134" s="285"/>
      <c r="F134" s="273"/>
      <c r="G134" s="273"/>
      <c r="H134" s="273"/>
      <c r="I134" s="443"/>
      <c r="J134" s="443"/>
      <c r="K134" s="443"/>
      <c r="L134" s="443"/>
      <c r="M134" s="443"/>
      <c r="N134" s="443"/>
      <c r="O134" s="443"/>
      <c r="P134" s="443"/>
      <c r="Q134" s="443"/>
      <c r="R134" s="443"/>
      <c r="S134" s="443"/>
      <c r="T134" s="273"/>
      <c r="U134" s="89"/>
      <c r="V134" s="100"/>
    </row>
    <row r="135" spans="1:22" ht="15.75" thickBot="1" x14ac:dyDescent="0.25">
      <c r="A135" s="276"/>
      <c r="B135" s="18"/>
      <c r="C135" s="444"/>
      <c r="D135" s="444"/>
      <c r="E135" s="444"/>
      <c r="F135" s="444"/>
      <c r="G135" s="444"/>
      <c r="H135" s="445"/>
      <c r="I135" s="125" t="s">
        <v>1417</v>
      </c>
      <c r="J135" s="125" t="s">
        <v>1418</v>
      </c>
      <c r="K135" s="125" t="s">
        <v>1419</v>
      </c>
      <c r="L135" s="125" t="s">
        <v>1420</v>
      </c>
      <c r="M135" s="125" t="s">
        <v>1421</v>
      </c>
      <c r="N135" s="125" t="s">
        <v>1422</v>
      </c>
      <c r="O135" s="125" t="s">
        <v>1423</v>
      </c>
      <c r="P135" s="125" t="s">
        <v>1424</v>
      </c>
      <c r="Q135" s="125" t="s">
        <v>1425</v>
      </c>
      <c r="R135" s="125" t="s">
        <v>1426</v>
      </c>
      <c r="S135" s="125" t="s">
        <v>1427</v>
      </c>
      <c r="T135" s="89"/>
      <c r="U135" s="89"/>
      <c r="V135" s="100"/>
    </row>
    <row r="136" spans="1:22" x14ac:dyDescent="0.2">
      <c r="A136" s="276"/>
      <c r="B136" s="275" t="s">
        <v>1114</v>
      </c>
      <c r="C136" s="286"/>
      <c r="D136" s="286"/>
      <c r="E136" s="286"/>
      <c r="F136" s="288" t="s">
        <v>1108</v>
      </c>
      <c r="G136" s="272"/>
      <c r="H136" s="272"/>
      <c r="I136" s="446"/>
      <c r="J136" s="446"/>
      <c r="K136" s="446"/>
      <c r="L136" s="446"/>
      <c r="M136" s="446"/>
      <c r="N136" s="446"/>
      <c r="O136" s="446"/>
      <c r="P136" s="446"/>
      <c r="Q136" s="446"/>
      <c r="R136" s="446"/>
      <c r="S136" s="446"/>
      <c r="T136" s="272"/>
      <c r="U136" s="26"/>
      <c r="V136" s="37"/>
    </row>
    <row r="137" spans="1:22" x14ac:dyDescent="0.2">
      <c r="A137" s="276"/>
      <c r="B137" s="287"/>
      <c r="C137" s="287"/>
      <c r="D137" s="287"/>
      <c r="E137" s="287"/>
      <c r="F137" s="274"/>
      <c r="G137" s="274"/>
      <c r="H137" s="272"/>
      <c r="I137" s="441"/>
      <c r="J137" s="441"/>
      <c r="K137" s="441"/>
      <c r="L137" s="441"/>
      <c r="M137" s="441"/>
      <c r="N137" s="441"/>
      <c r="O137" s="441"/>
      <c r="P137" s="441"/>
      <c r="Q137" s="441"/>
      <c r="R137" s="441"/>
      <c r="S137" s="441"/>
      <c r="T137" s="274"/>
      <c r="U137" s="91"/>
      <c r="V137" s="37"/>
    </row>
    <row r="138" spans="1:22" x14ac:dyDescent="0.2">
      <c r="A138" s="276"/>
      <c r="B138" s="276"/>
      <c r="C138" s="276"/>
      <c r="D138" s="276"/>
      <c r="E138" s="276"/>
      <c r="F138" s="273"/>
      <c r="G138" s="273"/>
      <c r="H138" s="273"/>
      <c r="I138" s="442"/>
      <c r="J138" s="442"/>
      <c r="K138" s="442"/>
      <c r="L138" s="442"/>
      <c r="M138" s="442"/>
      <c r="N138" s="442"/>
      <c r="O138" s="442"/>
      <c r="P138" s="442"/>
      <c r="Q138" s="442"/>
      <c r="R138" s="442"/>
      <c r="S138" s="442"/>
      <c r="T138" s="273"/>
      <c r="U138" s="89"/>
      <c r="V138" s="37"/>
    </row>
    <row r="139" spans="1:22" ht="15" customHeight="1" x14ac:dyDescent="0.2">
      <c r="A139" s="276"/>
      <c r="B139" s="276"/>
      <c r="C139" s="276"/>
      <c r="D139" s="276"/>
      <c r="E139" s="276"/>
      <c r="F139" s="288" t="s">
        <v>1109</v>
      </c>
      <c r="G139" s="272"/>
      <c r="H139" s="272"/>
      <c r="I139" s="440"/>
      <c r="J139" s="440"/>
      <c r="K139" s="440"/>
      <c r="L139" s="440"/>
      <c r="M139" s="440"/>
      <c r="N139" s="440"/>
      <c r="O139" s="440"/>
      <c r="P139" s="440"/>
      <c r="Q139" s="440"/>
      <c r="R139" s="440"/>
      <c r="S139" s="440"/>
      <c r="T139" s="272"/>
      <c r="U139" s="26"/>
      <c r="V139" s="7"/>
    </row>
    <row r="140" spans="1:22" x14ac:dyDescent="0.2">
      <c r="A140" s="276"/>
      <c r="B140" s="276"/>
      <c r="C140" s="276"/>
      <c r="D140" s="276"/>
      <c r="E140" s="276"/>
      <c r="F140" s="274"/>
      <c r="G140" s="274"/>
      <c r="H140" s="272"/>
      <c r="I140" s="441"/>
      <c r="J140" s="441"/>
      <c r="K140" s="441"/>
      <c r="L140" s="441"/>
      <c r="M140" s="441"/>
      <c r="N140" s="441"/>
      <c r="O140" s="441"/>
      <c r="P140" s="441"/>
      <c r="Q140" s="441"/>
      <c r="R140" s="441"/>
      <c r="S140" s="441"/>
      <c r="T140" s="274"/>
      <c r="U140" s="91"/>
      <c r="V140" s="7"/>
    </row>
    <row r="141" spans="1:22" x14ac:dyDescent="0.2">
      <c r="A141" s="276"/>
      <c r="B141" s="276"/>
      <c r="C141" s="276"/>
      <c r="D141" s="276"/>
      <c r="E141" s="276"/>
      <c r="F141" s="273"/>
      <c r="G141" s="273"/>
      <c r="H141" s="273"/>
      <c r="I141" s="442"/>
      <c r="J141" s="442"/>
      <c r="K141" s="442"/>
      <c r="L141" s="442"/>
      <c r="M141" s="442"/>
      <c r="N141" s="442"/>
      <c r="O141" s="442"/>
      <c r="P141" s="442"/>
      <c r="Q141" s="442"/>
      <c r="R141" s="442"/>
      <c r="S141" s="442"/>
      <c r="T141" s="273"/>
      <c r="U141" s="89"/>
      <c r="V141" s="7"/>
    </row>
    <row r="142" spans="1:22" ht="16.350000000000001" customHeight="1" x14ac:dyDescent="0.2">
      <c r="A142" s="276"/>
      <c r="B142" s="276"/>
      <c r="C142" s="276"/>
      <c r="D142" s="276"/>
      <c r="E142" s="276"/>
      <c r="F142" s="288" t="s">
        <v>1110</v>
      </c>
      <c r="G142" s="272"/>
      <c r="H142" s="272"/>
      <c r="I142" s="440"/>
      <c r="J142" s="440"/>
      <c r="K142" s="440"/>
      <c r="L142" s="440"/>
      <c r="M142" s="440"/>
      <c r="N142" s="440"/>
      <c r="O142" s="440"/>
      <c r="P142" s="440"/>
      <c r="Q142" s="440"/>
      <c r="R142" s="440"/>
      <c r="S142" s="440"/>
      <c r="T142" s="272"/>
      <c r="U142" s="26"/>
      <c r="V142" s="7"/>
    </row>
    <row r="143" spans="1:22" x14ac:dyDescent="0.2">
      <c r="A143" s="276"/>
      <c r="B143" s="276"/>
      <c r="C143" s="276"/>
      <c r="D143" s="276"/>
      <c r="E143" s="276"/>
      <c r="F143" s="274"/>
      <c r="G143" s="274"/>
      <c r="H143" s="272"/>
      <c r="I143" s="441"/>
      <c r="J143" s="441"/>
      <c r="K143" s="441"/>
      <c r="L143" s="441"/>
      <c r="M143" s="441"/>
      <c r="N143" s="441"/>
      <c r="O143" s="441"/>
      <c r="P143" s="441"/>
      <c r="Q143" s="441"/>
      <c r="R143" s="441"/>
      <c r="S143" s="441"/>
      <c r="T143" s="274"/>
      <c r="U143" s="91"/>
      <c r="V143" s="7"/>
    </row>
    <row r="144" spans="1:22" x14ac:dyDescent="0.2">
      <c r="A144" s="276"/>
      <c r="B144" s="276"/>
      <c r="C144" s="276"/>
      <c r="D144" s="276"/>
      <c r="E144" s="276"/>
      <c r="F144" s="273"/>
      <c r="G144" s="273"/>
      <c r="H144" s="273"/>
      <c r="I144" s="442"/>
      <c r="J144" s="442"/>
      <c r="K144" s="442"/>
      <c r="L144" s="442"/>
      <c r="M144" s="442"/>
      <c r="N144" s="442"/>
      <c r="O144" s="442"/>
      <c r="P144" s="442"/>
      <c r="Q144" s="442"/>
      <c r="R144" s="442"/>
      <c r="S144" s="442"/>
      <c r="T144" s="273"/>
      <c r="U144" s="89"/>
      <c r="V144" s="7"/>
    </row>
    <row r="145" spans="1:22" ht="16.350000000000001" customHeight="1" x14ac:dyDescent="0.2">
      <c r="A145" s="276"/>
      <c r="B145" s="276"/>
      <c r="C145" s="276"/>
      <c r="D145" s="276"/>
      <c r="E145" s="276"/>
      <c r="F145" s="288" t="s">
        <v>1111</v>
      </c>
      <c r="G145" s="272"/>
      <c r="H145" s="272"/>
      <c r="I145" s="440"/>
      <c r="J145" s="440"/>
      <c r="K145" s="440"/>
      <c r="L145" s="440"/>
      <c r="M145" s="440"/>
      <c r="N145" s="440"/>
      <c r="O145" s="440"/>
      <c r="P145" s="440"/>
      <c r="Q145" s="440"/>
      <c r="R145" s="440"/>
      <c r="S145" s="440"/>
      <c r="T145" s="272"/>
      <c r="U145" s="26"/>
      <c r="V145" s="6"/>
    </row>
    <row r="146" spans="1:22" x14ac:dyDescent="0.2">
      <c r="A146" s="276"/>
      <c r="B146" s="276"/>
      <c r="C146" s="276"/>
      <c r="D146" s="276"/>
      <c r="E146" s="276"/>
      <c r="F146" s="274"/>
      <c r="G146" s="274"/>
      <c r="H146" s="272"/>
      <c r="I146" s="441"/>
      <c r="J146" s="441"/>
      <c r="K146" s="441"/>
      <c r="L146" s="441"/>
      <c r="M146" s="441"/>
      <c r="N146" s="441"/>
      <c r="O146" s="441"/>
      <c r="P146" s="441"/>
      <c r="Q146" s="441"/>
      <c r="R146" s="441"/>
      <c r="S146" s="441"/>
      <c r="T146" s="274"/>
      <c r="U146" s="91"/>
      <c r="V146" s="7"/>
    </row>
    <row r="147" spans="1:22" x14ac:dyDescent="0.2">
      <c r="A147" s="276"/>
      <c r="B147" s="276"/>
      <c r="C147" s="276"/>
      <c r="D147" s="276"/>
      <c r="E147" s="276"/>
      <c r="F147" s="273"/>
      <c r="G147" s="273"/>
      <c r="H147" s="273"/>
      <c r="I147" s="442"/>
      <c r="J147" s="442"/>
      <c r="K147" s="442"/>
      <c r="L147" s="442"/>
      <c r="M147" s="442"/>
      <c r="N147" s="442"/>
      <c r="O147" s="442"/>
      <c r="P147" s="442"/>
      <c r="Q147" s="442"/>
      <c r="R147" s="442"/>
      <c r="S147" s="442"/>
      <c r="T147" s="273"/>
      <c r="U147" s="89"/>
      <c r="V147" s="7"/>
    </row>
    <row r="148" spans="1:22" ht="16.350000000000001" customHeight="1" x14ac:dyDescent="0.2">
      <c r="A148" s="276"/>
      <c r="B148" s="276"/>
      <c r="C148" s="276"/>
      <c r="D148" s="276"/>
      <c r="E148" s="276"/>
      <c r="F148" s="288" t="s">
        <v>1112</v>
      </c>
      <c r="G148" s="272"/>
      <c r="H148" s="272"/>
      <c r="I148" s="440"/>
      <c r="J148" s="440"/>
      <c r="K148" s="440"/>
      <c r="L148" s="440"/>
      <c r="M148" s="440"/>
      <c r="N148" s="440"/>
      <c r="O148" s="440"/>
      <c r="P148" s="440"/>
      <c r="Q148" s="440"/>
      <c r="R148" s="440"/>
      <c r="S148" s="440"/>
      <c r="T148" s="272"/>
      <c r="U148" s="26"/>
      <c r="V148" s="6"/>
    </row>
    <row r="149" spans="1:22" x14ac:dyDescent="0.2">
      <c r="A149" s="276"/>
      <c r="B149" s="276"/>
      <c r="C149" s="276"/>
      <c r="D149" s="276"/>
      <c r="E149" s="276"/>
      <c r="F149" s="274"/>
      <c r="G149" s="274"/>
      <c r="H149" s="272"/>
      <c r="I149" s="441"/>
      <c r="J149" s="441"/>
      <c r="K149" s="441"/>
      <c r="L149" s="441"/>
      <c r="M149" s="441"/>
      <c r="N149" s="441"/>
      <c r="O149" s="441"/>
      <c r="P149" s="441"/>
      <c r="Q149" s="441"/>
      <c r="R149" s="441"/>
      <c r="S149" s="441"/>
      <c r="T149" s="274"/>
      <c r="U149" s="91"/>
      <c r="V149" s="7"/>
    </row>
    <row r="150" spans="1:22" x14ac:dyDescent="0.2">
      <c r="A150" s="276"/>
      <c r="B150" s="276"/>
      <c r="C150" s="276"/>
      <c r="D150" s="276"/>
      <c r="E150" s="276"/>
      <c r="F150" s="273"/>
      <c r="G150" s="273"/>
      <c r="H150" s="273"/>
      <c r="I150" s="442"/>
      <c r="J150" s="442"/>
      <c r="K150" s="442"/>
      <c r="L150" s="442"/>
      <c r="M150" s="442"/>
      <c r="N150" s="442"/>
      <c r="O150" s="442"/>
      <c r="P150" s="442"/>
      <c r="Q150" s="442"/>
      <c r="R150" s="442"/>
      <c r="S150" s="442"/>
      <c r="T150" s="273"/>
      <c r="U150" s="89"/>
      <c r="V150" s="7"/>
    </row>
    <row r="151" spans="1:22" ht="16.350000000000001" customHeight="1" x14ac:dyDescent="0.2">
      <c r="A151" s="276"/>
      <c r="B151" s="276"/>
      <c r="C151" s="276"/>
      <c r="D151" s="276"/>
      <c r="E151" s="276"/>
      <c r="F151" s="288" t="s">
        <v>1113</v>
      </c>
      <c r="G151" s="272"/>
      <c r="H151" s="272"/>
      <c r="I151" s="440"/>
      <c r="J151" s="440"/>
      <c r="K151" s="440"/>
      <c r="L151" s="440"/>
      <c r="M151" s="440"/>
      <c r="N151" s="440"/>
      <c r="O151" s="440"/>
      <c r="P151" s="440"/>
      <c r="Q151" s="440"/>
      <c r="R151" s="440"/>
      <c r="S151" s="440"/>
      <c r="T151" s="272"/>
      <c r="U151" s="26"/>
      <c r="V151" s="6"/>
    </row>
    <row r="152" spans="1:22" x14ac:dyDescent="0.2">
      <c r="A152" s="276"/>
      <c r="B152" s="276"/>
      <c r="C152" s="276"/>
      <c r="D152" s="276"/>
      <c r="E152" s="276"/>
      <c r="F152" s="274"/>
      <c r="G152" s="274"/>
      <c r="H152" s="272"/>
      <c r="I152" s="441"/>
      <c r="J152" s="441"/>
      <c r="K152" s="441"/>
      <c r="L152" s="441"/>
      <c r="M152" s="441"/>
      <c r="N152" s="441"/>
      <c r="O152" s="441"/>
      <c r="P152" s="441"/>
      <c r="Q152" s="441"/>
      <c r="R152" s="441"/>
      <c r="S152" s="441"/>
      <c r="T152" s="274"/>
      <c r="U152" s="91"/>
      <c r="V152" s="7"/>
    </row>
    <row r="153" spans="1:22" ht="15.75" thickBot="1" x14ac:dyDescent="0.25">
      <c r="A153" s="276"/>
      <c r="B153" s="276"/>
      <c r="C153" s="276"/>
      <c r="D153" s="276"/>
      <c r="E153" s="276"/>
      <c r="F153" s="273"/>
      <c r="G153" s="273"/>
      <c r="H153" s="273"/>
      <c r="I153" s="443"/>
      <c r="J153" s="443"/>
      <c r="K153" s="443"/>
      <c r="L153" s="443"/>
      <c r="M153" s="443"/>
      <c r="N153" s="443"/>
      <c r="O153" s="443"/>
      <c r="P153" s="443"/>
      <c r="Q153" s="443"/>
      <c r="R153" s="443"/>
      <c r="S153" s="443"/>
      <c r="T153" s="273"/>
      <c r="U153" s="89"/>
      <c r="V153" s="7"/>
    </row>
    <row r="161" spans="5:5" x14ac:dyDescent="0.2">
      <c r="E161" s="92" t="s">
        <v>528</v>
      </c>
    </row>
    <row r="162" spans="5:5" x14ac:dyDescent="0.2">
      <c r="E162" s="92" t="s">
        <v>511</v>
      </c>
    </row>
    <row r="163" spans="5:5" x14ac:dyDescent="0.2">
      <c r="E163" s="92" t="s">
        <v>515</v>
      </c>
    </row>
    <row r="164" spans="5:5" x14ac:dyDescent="0.2">
      <c r="E164" s="92" t="s">
        <v>505</v>
      </c>
    </row>
    <row r="165" spans="5:5" x14ac:dyDescent="0.2">
      <c r="E165" s="92" t="s">
        <v>507</v>
      </c>
    </row>
  </sheetData>
  <mergeCells count="766">
    <mergeCell ref="A3:A153"/>
    <mergeCell ref="B3:B20"/>
    <mergeCell ref="C3:C20"/>
    <mergeCell ref="D3:D20"/>
    <mergeCell ref="E3:E20"/>
    <mergeCell ref="F3:F5"/>
    <mergeCell ref="F9:F11"/>
    <mergeCell ref="F15:F17"/>
    <mergeCell ref="B22:B39"/>
    <mergeCell ref="C22:C39"/>
    <mergeCell ref="D22:D39"/>
    <mergeCell ref="E22:E39"/>
    <mergeCell ref="F22:F24"/>
    <mergeCell ref="F31:F33"/>
    <mergeCell ref="F37:F39"/>
    <mergeCell ref="B60:B77"/>
    <mergeCell ref="C60:C77"/>
    <mergeCell ref="D60:D77"/>
    <mergeCell ref="E60:E77"/>
    <mergeCell ref="F60:F62"/>
    <mergeCell ref="B79:B96"/>
    <mergeCell ref="C79:C96"/>
    <mergeCell ref="D79:D96"/>
    <mergeCell ref="E79:E96"/>
    <mergeCell ref="G3:G5"/>
    <mergeCell ref="H3:H5"/>
    <mergeCell ref="T3:T5"/>
    <mergeCell ref="F6:F8"/>
    <mergeCell ref="G6:G8"/>
    <mergeCell ref="H6:H8"/>
    <mergeCell ref="T6:T8"/>
    <mergeCell ref="J3:J5"/>
    <mergeCell ref="K3:K5"/>
    <mergeCell ref="L3:L5"/>
    <mergeCell ref="S3:S5"/>
    <mergeCell ref="I6:I8"/>
    <mergeCell ref="J6:J8"/>
    <mergeCell ref="K6:K8"/>
    <mergeCell ref="L6:L8"/>
    <mergeCell ref="M6:M8"/>
    <mergeCell ref="N6:N8"/>
    <mergeCell ref="O6:O8"/>
    <mergeCell ref="P6:P8"/>
    <mergeCell ref="Q6:Q8"/>
    <mergeCell ref="M3:M5"/>
    <mergeCell ref="N3:N5"/>
    <mergeCell ref="O3:O5"/>
    <mergeCell ref="P3:P5"/>
    <mergeCell ref="G9:G11"/>
    <mergeCell ref="H9:H11"/>
    <mergeCell ref="T9:T11"/>
    <mergeCell ref="F12:F14"/>
    <mergeCell ref="G12:G14"/>
    <mergeCell ref="H12:H14"/>
    <mergeCell ref="T12:T14"/>
    <mergeCell ref="Q9:Q11"/>
    <mergeCell ref="R9:R11"/>
    <mergeCell ref="S9:S11"/>
    <mergeCell ref="O12:O14"/>
    <mergeCell ref="P12:P14"/>
    <mergeCell ref="Q12:Q14"/>
    <mergeCell ref="R12:R14"/>
    <mergeCell ref="S12:S14"/>
    <mergeCell ref="I12:I14"/>
    <mergeCell ref="J12:J14"/>
    <mergeCell ref="K12:K14"/>
    <mergeCell ref="L12:L14"/>
    <mergeCell ref="M12:M14"/>
    <mergeCell ref="N12:N14"/>
    <mergeCell ref="G15:G17"/>
    <mergeCell ref="H15:H17"/>
    <mergeCell ref="T15:T17"/>
    <mergeCell ref="F18:F20"/>
    <mergeCell ref="G18:G20"/>
    <mergeCell ref="H18:H20"/>
    <mergeCell ref="T18:T20"/>
    <mergeCell ref="N15:N17"/>
    <mergeCell ref="O15:O17"/>
    <mergeCell ref="P15:P17"/>
    <mergeCell ref="I15:I17"/>
    <mergeCell ref="J15:J17"/>
    <mergeCell ref="K15:K17"/>
    <mergeCell ref="L15:L17"/>
    <mergeCell ref="M15:M17"/>
    <mergeCell ref="Q15:Q17"/>
    <mergeCell ref="R15:R17"/>
    <mergeCell ref="S15:S17"/>
    <mergeCell ref="I18:I20"/>
    <mergeCell ref="J18:J20"/>
    <mergeCell ref="K18:K20"/>
    <mergeCell ref="L18:L20"/>
    <mergeCell ref="M18:M20"/>
    <mergeCell ref="N18:N20"/>
    <mergeCell ref="G22:G24"/>
    <mergeCell ref="H22:H24"/>
    <mergeCell ref="T22:T24"/>
    <mergeCell ref="F25:F27"/>
    <mergeCell ref="G25:G27"/>
    <mergeCell ref="H25:H27"/>
    <mergeCell ref="T25:T27"/>
    <mergeCell ref="F28:F30"/>
    <mergeCell ref="G28:G30"/>
    <mergeCell ref="H28:H30"/>
    <mergeCell ref="T28:T30"/>
    <mergeCell ref="P28:P30"/>
    <mergeCell ref="I22:I24"/>
    <mergeCell ref="J22:J24"/>
    <mergeCell ref="K22:K24"/>
    <mergeCell ref="L22:L24"/>
    <mergeCell ref="M22:M24"/>
    <mergeCell ref="N22:N24"/>
    <mergeCell ref="N25:N27"/>
    <mergeCell ref="O25:O27"/>
    <mergeCell ref="P25:P27"/>
    <mergeCell ref="Q25:Q27"/>
    <mergeCell ref="R25:R27"/>
    <mergeCell ref="S25:S27"/>
    <mergeCell ref="G31:G33"/>
    <mergeCell ref="H31:H33"/>
    <mergeCell ref="T31:T33"/>
    <mergeCell ref="I28:I30"/>
    <mergeCell ref="J28:J30"/>
    <mergeCell ref="F34:F36"/>
    <mergeCell ref="G34:G36"/>
    <mergeCell ref="H34:H36"/>
    <mergeCell ref="T34:T36"/>
    <mergeCell ref="Q28:Q30"/>
    <mergeCell ref="R28:R30"/>
    <mergeCell ref="S28:S30"/>
    <mergeCell ref="I31:I33"/>
    <mergeCell ref="J31:J33"/>
    <mergeCell ref="K31:K33"/>
    <mergeCell ref="L31:L33"/>
    <mergeCell ref="M31:M33"/>
    <mergeCell ref="N31:N33"/>
    <mergeCell ref="O31:O33"/>
    <mergeCell ref="K28:K30"/>
    <mergeCell ref="L28:L30"/>
    <mergeCell ref="M28:M30"/>
    <mergeCell ref="N28:N30"/>
    <mergeCell ref="O28:O30"/>
    <mergeCell ref="B41:B58"/>
    <mergeCell ref="C41:C58"/>
    <mergeCell ref="D41:D58"/>
    <mergeCell ref="E41:E58"/>
    <mergeCell ref="F41:F43"/>
    <mergeCell ref="G41:G43"/>
    <mergeCell ref="F47:F49"/>
    <mergeCell ref="G47:G49"/>
    <mergeCell ref="F53:F55"/>
    <mergeCell ref="G53:G55"/>
    <mergeCell ref="F44:F46"/>
    <mergeCell ref="G44:G46"/>
    <mergeCell ref="G37:G39"/>
    <mergeCell ref="H37:H39"/>
    <mergeCell ref="T37:T39"/>
    <mergeCell ref="O34:O36"/>
    <mergeCell ref="P34:P36"/>
    <mergeCell ref="H41:H43"/>
    <mergeCell ref="T41:T43"/>
    <mergeCell ref="H44:H46"/>
    <mergeCell ref="T44:T46"/>
    <mergeCell ref="O41:O43"/>
    <mergeCell ref="P41:P43"/>
    <mergeCell ref="Q41:Q43"/>
    <mergeCell ref="I44:I46"/>
    <mergeCell ref="J44:J46"/>
    <mergeCell ref="K44:K46"/>
    <mergeCell ref="L44:L46"/>
    <mergeCell ref="M44:M46"/>
    <mergeCell ref="N44:N46"/>
    <mergeCell ref="O44:O46"/>
    <mergeCell ref="P44:P46"/>
    <mergeCell ref="Q44:Q46"/>
    <mergeCell ref="R44:R46"/>
    <mergeCell ref="S44:S46"/>
    <mergeCell ref="R37:R39"/>
    <mergeCell ref="H47:H49"/>
    <mergeCell ref="T47:T49"/>
    <mergeCell ref="F50:F52"/>
    <mergeCell ref="G50:G52"/>
    <mergeCell ref="H50:H52"/>
    <mergeCell ref="T50:T52"/>
    <mergeCell ref="Q47:Q49"/>
    <mergeCell ref="R47:R49"/>
    <mergeCell ref="S47:S49"/>
    <mergeCell ref="I50:I52"/>
    <mergeCell ref="K47:K49"/>
    <mergeCell ref="L47:L49"/>
    <mergeCell ref="M47:M49"/>
    <mergeCell ref="N47:N49"/>
    <mergeCell ref="O47:O49"/>
    <mergeCell ref="P47:P49"/>
    <mergeCell ref="P50:P52"/>
    <mergeCell ref="Q50:Q52"/>
    <mergeCell ref="R50:R52"/>
    <mergeCell ref="I47:I49"/>
    <mergeCell ref="J47:J49"/>
    <mergeCell ref="H53:H55"/>
    <mergeCell ref="T53:T55"/>
    <mergeCell ref="F56:F58"/>
    <mergeCell ref="G56:G58"/>
    <mergeCell ref="H56:H58"/>
    <mergeCell ref="T56:T58"/>
    <mergeCell ref="O53:O55"/>
    <mergeCell ref="P53:P55"/>
    <mergeCell ref="Q53:Q55"/>
    <mergeCell ref="R53:R55"/>
    <mergeCell ref="I56:I58"/>
    <mergeCell ref="J56:J58"/>
    <mergeCell ref="K56:K58"/>
    <mergeCell ref="L56:L58"/>
    <mergeCell ref="M56:M58"/>
    <mergeCell ref="N56:N58"/>
    <mergeCell ref="O56:O58"/>
    <mergeCell ref="P56:P58"/>
    <mergeCell ref="Q56:Q58"/>
    <mergeCell ref="R56:R58"/>
    <mergeCell ref="S56:S58"/>
    <mergeCell ref="G60:G62"/>
    <mergeCell ref="F66:F68"/>
    <mergeCell ref="G66:G68"/>
    <mergeCell ref="F72:F74"/>
    <mergeCell ref="G72:G74"/>
    <mergeCell ref="H69:H71"/>
    <mergeCell ref="T69:T71"/>
    <mergeCell ref="O66:O68"/>
    <mergeCell ref="P66:P68"/>
    <mergeCell ref="Q66:Q68"/>
    <mergeCell ref="R66:R68"/>
    <mergeCell ref="H60:H62"/>
    <mergeCell ref="T60:T62"/>
    <mergeCell ref="F63:F65"/>
    <mergeCell ref="G63:G65"/>
    <mergeCell ref="H63:H65"/>
    <mergeCell ref="T63:T65"/>
    <mergeCell ref="Q60:Q62"/>
    <mergeCell ref="R60:R62"/>
    <mergeCell ref="S60:S62"/>
    <mergeCell ref="I63:I65"/>
    <mergeCell ref="I60:I62"/>
    <mergeCell ref="J60:J62"/>
    <mergeCell ref="K60:K62"/>
    <mergeCell ref="F79:F81"/>
    <mergeCell ref="G79:G81"/>
    <mergeCell ref="F85:F87"/>
    <mergeCell ref="G85:G87"/>
    <mergeCell ref="F91:F93"/>
    <mergeCell ref="G91:G93"/>
    <mergeCell ref="H79:H81"/>
    <mergeCell ref="T79:T81"/>
    <mergeCell ref="F82:F84"/>
    <mergeCell ref="G82:G84"/>
    <mergeCell ref="H82:H84"/>
    <mergeCell ref="T82:T84"/>
    <mergeCell ref="O79:O81"/>
    <mergeCell ref="P79:P81"/>
    <mergeCell ref="Q79:Q81"/>
    <mergeCell ref="R79:R81"/>
    <mergeCell ref="H85:H87"/>
    <mergeCell ref="T85:T87"/>
    <mergeCell ref="F88:F90"/>
    <mergeCell ref="G88:G90"/>
    <mergeCell ref="H88:H90"/>
    <mergeCell ref="T88:T90"/>
    <mergeCell ref="Q85:Q87"/>
    <mergeCell ref="R85:R87"/>
    <mergeCell ref="H91:H93"/>
    <mergeCell ref="T91:T93"/>
    <mergeCell ref="F94:F96"/>
    <mergeCell ref="G94:G96"/>
    <mergeCell ref="H94:H96"/>
    <mergeCell ref="T94:T96"/>
    <mergeCell ref="O91:O93"/>
    <mergeCell ref="P91:P93"/>
    <mergeCell ref="Q91:Q93"/>
    <mergeCell ref="R91:R93"/>
    <mergeCell ref="I91:I93"/>
    <mergeCell ref="J91:J93"/>
    <mergeCell ref="K91:K93"/>
    <mergeCell ref="L91:L93"/>
    <mergeCell ref="M91:M93"/>
    <mergeCell ref="N91:N93"/>
    <mergeCell ref="F101:F103"/>
    <mergeCell ref="G101:G103"/>
    <mergeCell ref="H101:H103"/>
    <mergeCell ref="T101:T103"/>
    <mergeCell ref="P98:P100"/>
    <mergeCell ref="Q98:Q100"/>
    <mergeCell ref="R98:R100"/>
    <mergeCell ref="S98:S100"/>
    <mergeCell ref="F98:F100"/>
    <mergeCell ref="G98:G100"/>
    <mergeCell ref="S101:S103"/>
    <mergeCell ref="O101:O103"/>
    <mergeCell ref="P101:P103"/>
    <mergeCell ref="Q101:Q103"/>
    <mergeCell ref="R101:R103"/>
    <mergeCell ref="H104:H106"/>
    <mergeCell ref="T104:T106"/>
    <mergeCell ref="F107:F109"/>
    <mergeCell ref="G107:G109"/>
    <mergeCell ref="H107:H109"/>
    <mergeCell ref="T107:T109"/>
    <mergeCell ref="N104:N106"/>
    <mergeCell ref="O104:O106"/>
    <mergeCell ref="P104:P106"/>
    <mergeCell ref="Q104:Q106"/>
    <mergeCell ref="F104:F106"/>
    <mergeCell ref="G104:G106"/>
    <mergeCell ref="N107:N109"/>
    <mergeCell ref="O107:O109"/>
    <mergeCell ref="P107:P109"/>
    <mergeCell ref="H110:H112"/>
    <mergeCell ref="T110:T112"/>
    <mergeCell ref="F113:F115"/>
    <mergeCell ref="G113:G115"/>
    <mergeCell ref="H113:H115"/>
    <mergeCell ref="T113:T115"/>
    <mergeCell ref="P110:P112"/>
    <mergeCell ref="Q110:Q112"/>
    <mergeCell ref="R110:R112"/>
    <mergeCell ref="S110:S112"/>
    <mergeCell ref="F110:F112"/>
    <mergeCell ref="G110:G112"/>
    <mergeCell ref="R113:R115"/>
    <mergeCell ref="S113:S115"/>
    <mergeCell ref="T117:T119"/>
    <mergeCell ref="F120:F122"/>
    <mergeCell ref="G120:G122"/>
    <mergeCell ref="H120:H122"/>
    <mergeCell ref="T120:T122"/>
    <mergeCell ref="N117:N119"/>
    <mergeCell ref="O117:O119"/>
    <mergeCell ref="P117:P119"/>
    <mergeCell ref="Q117:Q119"/>
    <mergeCell ref="F117:F119"/>
    <mergeCell ref="G117:G119"/>
    <mergeCell ref="R117:R119"/>
    <mergeCell ref="S117:S119"/>
    <mergeCell ref="Q120:Q122"/>
    <mergeCell ref="R120:R122"/>
    <mergeCell ref="S120:S122"/>
    <mergeCell ref="H123:H125"/>
    <mergeCell ref="T123:T125"/>
    <mergeCell ref="F126:F128"/>
    <mergeCell ref="G126:G128"/>
    <mergeCell ref="H126:H128"/>
    <mergeCell ref="T126:T128"/>
    <mergeCell ref="P123:P125"/>
    <mergeCell ref="Q123:Q125"/>
    <mergeCell ref="R123:R125"/>
    <mergeCell ref="S123:S125"/>
    <mergeCell ref="F123:F125"/>
    <mergeCell ref="G123:G125"/>
    <mergeCell ref="I123:I125"/>
    <mergeCell ref="J123:J125"/>
    <mergeCell ref="K123:K125"/>
    <mergeCell ref="L123:L125"/>
    <mergeCell ref="M123:M125"/>
    <mergeCell ref="N123:N125"/>
    <mergeCell ref="O123:O125"/>
    <mergeCell ref="O126:O128"/>
    <mergeCell ref="P126:P128"/>
    <mergeCell ref="Q126:Q128"/>
    <mergeCell ref="R126:R128"/>
    <mergeCell ref="S126:S128"/>
    <mergeCell ref="H129:H131"/>
    <mergeCell ref="T129:T131"/>
    <mergeCell ref="F132:F134"/>
    <mergeCell ref="G132:G134"/>
    <mergeCell ref="H132:H134"/>
    <mergeCell ref="T132:T134"/>
    <mergeCell ref="N129:N131"/>
    <mergeCell ref="O129:O131"/>
    <mergeCell ref="P129:P131"/>
    <mergeCell ref="Q129:Q131"/>
    <mergeCell ref="F129:F131"/>
    <mergeCell ref="G129:G131"/>
    <mergeCell ref="I129:I131"/>
    <mergeCell ref="J129:J131"/>
    <mergeCell ref="K129:K131"/>
    <mergeCell ref="L129:L131"/>
    <mergeCell ref="M129:M131"/>
    <mergeCell ref="B136:B153"/>
    <mergeCell ref="C136:C153"/>
    <mergeCell ref="D136:D153"/>
    <mergeCell ref="E136:E153"/>
    <mergeCell ref="F136:F138"/>
    <mergeCell ref="G136:G138"/>
    <mergeCell ref="F142:F144"/>
    <mergeCell ref="G142:G144"/>
    <mergeCell ref="F148:F150"/>
    <mergeCell ref="G148:G150"/>
    <mergeCell ref="T136:T138"/>
    <mergeCell ref="F139:F141"/>
    <mergeCell ref="G139:G141"/>
    <mergeCell ref="H139:H141"/>
    <mergeCell ref="T139:T141"/>
    <mergeCell ref="O136:O138"/>
    <mergeCell ref="P136:P138"/>
    <mergeCell ref="Q136:Q138"/>
    <mergeCell ref="R136:R138"/>
    <mergeCell ref="I139:I141"/>
    <mergeCell ref="J139:J141"/>
    <mergeCell ref="K139:K141"/>
    <mergeCell ref="L139:L141"/>
    <mergeCell ref="M139:M141"/>
    <mergeCell ref="N139:N141"/>
    <mergeCell ref="O139:O141"/>
    <mergeCell ref="P139:P141"/>
    <mergeCell ref="Q139:Q141"/>
    <mergeCell ref="R139:R141"/>
    <mergeCell ref="S139:S141"/>
    <mergeCell ref="H142:H144"/>
    <mergeCell ref="T142:T144"/>
    <mergeCell ref="F145:F147"/>
    <mergeCell ref="G145:G147"/>
    <mergeCell ref="H145:H147"/>
    <mergeCell ref="T145:T147"/>
    <mergeCell ref="Q142:Q144"/>
    <mergeCell ref="R142:R144"/>
    <mergeCell ref="S142:S144"/>
    <mergeCell ref="I145:I147"/>
    <mergeCell ref="I142:I144"/>
    <mergeCell ref="J142:J144"/>
    <mergeCell ref="K142:K144"/>
    <mergeCell ref="L142:L144"/>
    <mergeCell ref="M142:M144"/>
    <mergeCell ref="N142:N144"/>
    <mergeCell ref="O142:O144"/>
    <mergeCell ref="P142:P144"/>
    <mergeCell ref="P145:P147"/>
    <mergeCell ref="Q145:Q147"/>
    <mergeCell ref="R145:R147"/>
    <mergeCell ref="S145:S147"/>
    <mergeCell ref="J145:J147"/>
    <mergeCell ref="K145:K147"/>
    <mergeCell ref="H148:H150"/>
    <mergeCell ref="T148:T150"/>
    <mergeCell ref="F151:F153"/>
    <mergeCell ref="G151:G153"/>
    <mergeCell ref="H151:H153"/>
    <mergeCell ref="T151:T153"/>
    <mergeCell ref="O148:O150"/>
    <mergeCell ref="P148:P150"/>
    <mergeCell ref="Q148:Q150"/>
    <mergeCell ref="R148:R150"/>
    <mergeCell ref="I148:I150"/>
    <mergeCell ref="J148:J150"/>
    <mergeCell ref="K148:K150"/>
    <mergeCell ref="L148:L150"/>
    <mergeCell ref="M148:M150"/>
    <mergeCell ref="N148:N150"/>
    <mergeCell ref="I1:S1"/>
    <mergeCell ref="D21:H21"/>
    <mergeCell ref="B40:H40"/>
    <mergeCell ref="C59:H59"/>
    <mergeCell ref="B78:H78"/>
    <mergeCell ref="T78:V78"/>
    <mergeCell ref="T59:V59"/>
    <mergeCell ref="T40:V40"/>
    <mergeCell ref="T21:V21"/>
    <mergeCell ref="I3:I5"/>
    <mergeCell ref="H72:H74"/>
    <mergeCell ref="T72:T74"/>
    <mergeCell ref="F75:F77"/>
    <mergeCell ref="G75:G77"/>
    <mergeCell ref="H75:H77"/>
    <mergeCell ref="T75:T77"/>
    <mergeCell ref="Q72:Q74"/>
    <mergeCell ref="R72:R74"/>
    <mergeCell ref="S72:S74"/>
    <mergeCell ref="I75:I77"/>
    <mergeCell ref="H66:H68"/>
    <mergeCell ref="T66:T68"/>
    <mergeCell ref="F69:F71"/>
    <mergeCell ref="G69:G71"/>
    <mergeCell ref="Q3:Q5"/>
    <mergeCell ref="R3:R5"/>
    <mergeCell ref="R6:R8"/>
    <mergeCell ref="S6:S8"/>
    <mergeCell ref="I9:I11"/>
    <mergeCell ref="J9:J11"/>
    <mergeCell ref="K9:K11"/>
    <mergeCell ref="L9:L11"/>
    <mergeCell ref="M9:M11"/>
    <mergeCell ref="N9:N11"/>
    <mergeCell ref="O9:O11"/>
    <mergeCell ref="P9:P11"/>
    <mergeCell ref="O22:O24"/>
    <mergeCell ref="P22:P24"/>
    <mergeCell ref="Q22:Q24"/>
    <mergeCell ref="R22:R24"/>
    <mergeCell ref="S22:S24"/>
    <mergeCell ref="O18:O20"/>
    <mergeCell ref="I25:I27"/>
    <mergeCell ref="J25:J27"/>
    <mergeCell ref="K25:K27"/>
    <mergeCell ref="L25:L27"/>
    <mergeCell ref="M25:M27"/>
    <mergeCell ref="P18:P20"/>
    <mergeCell ref="Q18:Q20"/>
    <mergeCell ref="R18:R20"/>
    <mergeCell ref="S18:S20"/>
    <mergeCell ref="R41:R43"/>
    <mergeCell ref="P31:P33"/>
    <mergeCell ref="Q31:Q33"/>
    <mergeCell ref="R31:R33"/>
    <mergeCell ref="S31:S33"/>
    <mergeCell ref="I34:I36"/>
    <mergeCell ref="J34:J36"/>
    <mergeCell ref="K34:K36"/>
    <mergeCell ref="L34:L36"/>
    <mergeCell ref="M34:M36"/>
    <mergeCell ref="N34:N36"/>
    <mergeCell ref="Q34:Q36"/>
    <mergeCell ref="R34:R36"/>
    <mergeCell ref="S34:S36"/>
    <mergeCell ref="L63:L65"/>
    <mergeCell ref="M63:M65"/>
    <mergeCell ref="N63:N65"/>
    <mergeCell ref="L60:L62"/>
    <mergeCell ref="M60:M62"/>
    <mergeCell ref="N60:N62"/>
    <mergeCell ref="O60:O62"/>
    <mergeCell ref="S37:S39"/>
    <mergeCell ref="I41:I43"/>
    <mergeCell ref="J41:J43"/>
    <mergeCell ref="K41:K43"/>
    <mergeCell ref="L41:L43"/>
    <mergeCell ref="M41:M43"/>
    <mergeCell ref="N41:N43"/>
    <mergeCell ref="S41:S43"/>
    <mergeCell ref="I37:I39"/>
    <mergeCell ref="J37:J39"/>
    <mergeCell ref="K37:K39"/>
    <mergeCell ref="L37:L39"/>
    <mergeCell ref="M37:M39"/>
    <mergeCell ref="N37:N39"/>
    <mergeCell ref="O37:O39"/>
    <mergeCell ref="P37:P39"/>
    <mergeCell ref="Q37:Q39"/>
    <mergeCell ref="S69:S71"/>
    <mergeCell ref="I66:I68"/>
    <mergeCell ref="J66:J68"/>
    <mergeCell ref="K66:K68"/>
    <mergeCell ref="L66:L68"/>
    <mergeCell ref="M66:M68"/>
    <mergeCell ref="N66:N68"/>
    <mergeCell ref="O63:O65"/>
    <mergeCell ref="S50:S52"/>
    <mergeCell ref="I53:I55"/>
    <mergeCell ref="J53:J55"/>
    <mergeCell ref="K53:K55"/>
    <mergeCell ref="L53:L55"/>
    <mergeCell ref="M53:M55"/>
    <mergeCell ref="N53:N55"/>
    <mergeCell ref="J50:J52"/>
    <mergeCell ref="K50:K52"/>
    <mergeCell ref="L50:L52"/>
    <mergeCell ref="M50:M52"/>
    <mergeCell ref="N50:N52"/>
    <mergeCell ref="O50:O52"/>
    <mergeCell ref="S53:S55"/>
    <mergeCell ref="J63:J65"/>
    <mergeCell ref="K63:K65"/>
    <mergeCell ref="P60:P62"/>
    <mergeCell ref="P63:P65"/>
    <mergeCell ref="Q63:Q65"/>
    <mergeCell ref="R63:R65"/>
    <mergeCell ref="S63:S65"/>
    <mergeCell ref="I72:I74"/>
    <mergeCell ref="J72:J74"/>
    <mergeCell ref="K72:K74"/>
    <mergeCell ref="L72:L74"/>
    <mergeCell ref="M72:M74"/>
    <mergeCell ref="N72:N74"/>
    <mergeCell ref="O72:O74"/>
    <mergeCell ref="P72:P74"/>
    <mergeCell ref="S66:S68"/>
    <mergeCell ref="I69:I71"/>
    <mergeCell ref="J69:J71"/>
    <mergeCell ref="K69:K71"/>
    <mergeCell ref="L69:L71"/>
    <mergeCell ref="M69:M71"/>
    <mergeCell ref="N69:N71"/>
    <mergeCell ref="O69:O71"/>
    <mergeCell ref="P69:P71"/>
    <mergeCell ref="Q69:Q71"/>
    <mergeCell ref="R69:R71"/>
    <mergeCell ref="P75:P77"/>
    <mergeCell ref="Q75:Q77"/>
    <mergeCell ref="R75:R77"/>
    <mergeCell ref="S75:S77"/>
    <mergeCell ref="I79:I81"/>
    <mergeCell ref="J79:J81"/>
    <mergeCell ref="K79:K81"/>
    <mergeCell ref="L79:L81"/>
    <mergeCell ref="M79:M81"/>
    <mergeCell ref="N79:N81"/>
    <mergeCell ref="J75:J77"/>
    <mergeCell ref="K75:K77"/>
    <mergeCell ref="L75:L77"/>
    <mergeCell ref="M75:M77"/>
    <mergeCell ref="N75:N77"/>
    <mergeCell ref="O75:O77"/>
    <mergeCell ref="S79:S81"/>
    <mergeCell ref="R82:R84"/>
    <mergeCell ref="S82:S84"/>
    <mergeCell ref="I85:I87"/>
    <mergeCell ref="J85:J87"/>
    <mergeCell ref="K85:K87"/>
    <mergeCell ref="L85:L87"/>
    <mergeCell ref="M85:M87"/>
    <mergeCell ref="N85:N87"/>
    <mergeCell ref="O85:O87"/>
    <mergeCell ref="P85:P87"/>
    <mergeCell ref="I82:I84"/>
    <mergeCell ref="J82:J84"/>
    <mergeCell ref="K82:K84"/>
    <mergeCell ref="L82:L84"/>
    <mergeCell ref="M82:M84"/>
    <mergeCell ref="N82:N84"/>
    <mergeCell ref="O82:O84"/>
    <mergeCell ref="P82:P84"/>
    <mergeCell ref="Q82:Q84"/>
    <mergeCell ref="S85:S87"/>
    <mergeCell ref="L88:L90"/>
    <mergeCell ref="M88:M90"/>
    <mergeCell ref="N88:N90"/>
    <mergeCell ref="O88:O90"/>
    <mergeCell ref="S91:S93"/>
    <mergeCell ref="I94:I96"/>
    <mergeCell ref="J94:J96"/>
    <mergeCell ref="K94:K96"/>
    <mergeCell ref="L94:L96"/>
    <mergeCell ref="M94:M96"/>
    <mergeCell ref="N94:N96"/>
    <mergeCell ref="O94:O96"/>
    <mergeCell ref="P94:P96"/>
    <mergeCell ref="Q94:Q96"/>
    <mergeCell ref="R94:R96"/>
    <mergeCell ref="S94:S96"/>
    <mergeCell ref="I88:I90"/>
    <mergeCell ref="P88:P90"/>
    <mergeCell ref="Q88:Q90"/>
    <mergeCell ref="R88:R90"/>
    <mergeCell ref="S88:S90"/>
    <mergeCell ref="J88:J90"/>
    <mergeCell ref="K88:K90"/>
    <mergeCell ref="D97:H97"/>
    <mergeCell ref="I98:I100"/>
    <mergeCell ref="J98:J100"/>
    <mergeCell ref="K98:K100"/>
    <mergeCell ref="L98:L100"/>
    <mergeCell ref="M98:M100"/>
    <mergeCell ref="N98:N100"/>
    <mergeCell ref="O98:O100"/>
    <mergeCell ref="H98:H100"/>
    <mergeCell ref="D98:D115"/>
    <mergeCell ref="E98:E115"/>
    <mergeCell ref="I104:I106"/>
    <mergeCell ref="J104:J106"/>
    <mergeCell ref="K104:K106"/>
    <mergeCell ref="L104:L106"/>
    <mergeCell ref="M104:M106"/>
    <mergeCell ref="I101:I103"/>
    <mergeCell ref="J101:J103"/>
    <mergeCell ref="K101:K103"/>
    <mergeCell ref="L101:L103"/>
    <mergeCell ref="M101:M103"/>
    <mergeCell ref="N101:N103"/>
    <mergeCell ref="L107:L109"/>
    <mergeCell ref="M107:M109"/>
    <mergeCell ref="T97:V97"/>
    <mergeCell ref="I113:I115"/>
    <mergeCell ref="J113:J115"/>
    <mergeCell ref="K113:K115"/>
    <mergeCell ref="L113:L115"/>
    <mergeCell ref="M113:M115"/>
    <mergeCell ref="N113:N115"/>
    <mergeCell ref="Q107:Q109"/>
    <mergeCell ref="R107:R109"/>
    <mergeCell ref="S107:S109"/>
    <mergeCell ref="I110:I112"/>
    <mergeCell ref="J110:J112"/>
    <mergeCell ref="K110:K112"/>
    <mergeCell ref="L110:L112"/>
    <mergeCell ref="M110:M112"/>
    <mergeCell ref="N110:N112"/>
    <mergeCell ref="O110:O112"/>
    <mergeCell ref="R104:R106"/>
    <mergeCell ref="S104:S106"/>
    <mergeCell ref="I107:I109"/>
    <mergeCell ref="J107:J109"/>
    <mergeCell ref="K107:K109"/>
    <mergeCell ref="T98:T100"/>
    <mergeCell ref="B116:H116"/>
    <mergeCell ref="I117:I119"/>
    <mergeCell ref="J117:J119"/>
    <mergeCell ref="K117:K119"/>
    <mergeCell ref="L117:L119"/>
    <mergeCell ref="M117:M119"/>
    <mergeCell ref="O113:O115"/>
    <mergeCell ref="P113:P115"/>
    <mergeCell ref="Q113:Q115"/>
    <mergeCell ref="H117:H119"/>
    <mergeCell ref="B117:B134"/>
    <mergeCell ref="C117:C134"/>
    <mergeCell ref="D117:D134"/>
    <mergeCell ref="E117:E134"/>
    <mergeCell ref="B98:B115"/>
    <mergeCell ref="C98:C115"/>
    <mergeCell ref="I120:I122"/>
    <mergeCell ref="J120:J122"/>
    <mergeCell ref="K120:K122"/>
    <mergeCell ref="L120:L122"/>
    <mergeCell ref="M120:M122"/>
    <mergeCell ref="N120:N122"/>
    <mergeCell ref="O120:O122"/>
    <mergeCell ref="P120:P122"/>
    <mergeCell ref="I126:I128"/>
    <mergeCell ref="J126:J128"/>
    <mergeCell ref="K126:K128"/>
    <mergeCell ref="L126:L128"/>
    <mergeCell ref="M126:M128"/>
    <mergeCell ref="N126:N128"/>
    <mergeCell ref="R129:R131"/>
    <mergeCell ref="S129:S131"/>
    <mergeCell ref="I132:I134"/>
    <mergeCell ref="J132:J134"/>
    <mergeCell ref="K132:K134"/>
    <mergeCell ref="L132:L134"/>
    <mergeCell ref="M132:M134"/>
    <mergeCell ref="N132:N134"/>
    <mergeCell ref="O132:O134"/>
    <mergeCell ref="P132:P134"/>
    <mergeCell ref="Q132:Q134"/>
    <mergeCell ref="R132:R134"/>
    <mergeCell ref="S132:S134"/>
    <mergeCell ref="C135:H135"/>
    <mergeCell ref="I136:I138"/>
    <mergeCell ref="J136:J138"/>
    <mergeCell ref="K136:K138"/>
    <mergeCell ref="L136:L138"/>
    <mergeCell ref="M136:M138"/>
    <mergeCell ref="N136:N138"/>
    <mergeCell ref="H136:H138"/>
    <mergeCell ref="S136:S138"/>
    <mergeCell ref="L145:L147"/>
    <mergeCell ref="M145:M147"/>
    <mergeCell ref="N145:N147"/>
    <mergeCell ref="O145:O147"/>
    <mergeCell ref="R151:R153"/>
    <mergeCell ref="S151:S153"/>
    <mergeCell ref="S148:S150"/>
    <mergeCell ref="I151:I153"/>
    <mergeCell ref="J151:J153"/>
    <mergeCell ref="K151:K153"/>
    <mergeCell ref="L151:L153"/>
    <mergeCell ref="M151:M153"/>
    <mergeCell ref="N151:N153"/>
    <mergeCell ref="O151:O153"/>
    <mergeCell ref="P151:P153"/>
    <mergeCell ref="Q151:Q153"/>
  </mergeCells>
  <dataValidations count="1">
    <dataValidation type="list" allowBlank="1" showInputMessage="1" showErrorMessage="1" sqref="H136:H153 E3:E20 H98:H115 E98:E115 H60:H77 E60:E77 H22:H39 E22:E39 H3:H20 H41:H58 E41:E58 H79:H96 E79:E96 H117:H134 E117:E134 E136:E153" xr:uid="{CF5FE8F6-00FD-D045-A6CD-1C0274F25FDD}">
      <formula1>$E$161:$E$165</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FCB4-F5E5-AB44-82DD-967161AE2157}">
  <sheetPr>
    <tabColor rgb="FFFFC000"/>
  </sheetPr>
  <dimension ref="A2:D65"/>
  <sheetViews>
    <sheetView topLeftCell="A29" zoomScaleNormal="100" workbookViewId="0">
      <selection activeCell="E37" sqref="E37:E38"/>
    </sheetView>
  </sheetViews>
  <sheetFormatPr defaultColWidth="13.28515625" defaultRowHeight="12.75" x14ac:dyDescent="0.2"/>
  <cols>
    <col min="1" max="1" width="18.85546875" style="25" customWidth="1"/>
    <col min="2" max="4" width="27.85546875" style="25" customWidth="1"/>
    <col min="5" max="5" width="70.85546875" style="25" customWidth="1"/>
    <col min="6" max="46" width="12" style="25" customWidth="1"/>
    <col min="47" max="254" width="13.28515625" style="25"/>
    <col min="255" max="255" width="32.28515625" style="25" customWidth="1"/>
    <col min="256" max="256" width="50" style="25" customWidth="1"/>
    <col min="257" max="257" width="48.28515625" style="25" customWidth="1"/>
    <col min="258" max="258" width="64" style="25" customWidth="1"/>
    <col min="259" max="302" width="12" style="25" customWidth="1"/>
    <col min="303" max="510" width="13.28515625" style="25"/>
    <col min="511" max="511" width="32.28515625" style="25" customWidth="1"/>
    <col min="512" max="512" width="50" style="25" customWidth="1"/>
    <col min="513" max="513" width="48.28515625" style="25" customWidth="1"/>
    <col min="514" max="514" width="64" style="25" customWidth="1"/>
    <col min="515" max="558" width="12" style="25" customWidth="1"/>
    <col min="559" max="766" width="13.28515625" style="25"/>
    <col min="767" max="767" width="32.28515625" style="25" customWidth="1"/>
    <col min="768" max="768" width="50" style="25" customWidth="1"/>
    <col min="769" max="769" width="48.28515625" style="25" customWidth="1"/>
    <col min="770" max="770" width="64" style="25" customWidth="1"/>
    <col min="771" max="814" width="12" style="25" customWidth="1"/>
    <col min="815" max="1022" width="13.28515625" style="25"/>
    <col min="1023" max="1023" width="32.28515625" style="25" customWidth="1"/>
    <col min="1024" max="1024" width="50" style="25" customWidth="1"/>
    <col min="1025" max="1025" width="48.28515625" style="25" customWidth="1"/>
    <col min="1026" max="1026" width="64" style="25" customWidth="1"/>
    <col min="1027" max="1070" width="12" style="25" customWidth="1"/>
    <col min="1071" max="1278" width="13.28515625" style="25"/>
    <col min="1279" max="1279" width="32.28515625" style="25" customWidth="1"/>
    <col min="1280" max="1280" width="50" style="25" customWidth="1"/>
    <col min="1281" max="1281" width="48.28515625" style="25" customWidth="1"/>
    <col min="1282" max="1282" width="64" style="25" customWidth="1"/>
    <col min="1283" max="1326" width="12" style="25" customWidth="1"/>
    <col min="1327" max="1534" width="13.28515625" style="25"/>
    <col min="1535" max="1535" width="32.28515625" style="25" customWidth="1"/>
    <col min="1536" max="1536" width="50" style="25" customWidth="1"/>
    <col min="1537" max="1537" width="48.28515625" style="25" customWidth="1"/>
    <col min="1538" max="1538" width="64" style="25" customWidth="1"/>
    <col min="1539" max="1582" width="12" style="25" customWidth="1"/>
    <col min="1583" max="1790" width="13.28515625" style="25"/>
    <col min="1791" max="1791" width="32.28515625" style="25" customWidth="1"/>
    <col min="1792" max="1792" width="50" style="25" customWidth="1"/>
    <col min="1793" max="1793" width="48.28515625" style="25" customWidth="1"/>
    <col min="1794" max="1794" width="64" style="25" customWidth="1"/>
    <col min="1795" max="1838" width="12" style="25" customWidth="1"/>
    <col min="1839" max="2046" width="13.28515625" style="25"/>
    <col min="2047" max="2047" width="32.28515625" style="25" customWidth="1"/>
    <col min="2048" max="2048" width="50" style="25" customWidth="1"/>
    <col min="2049" max="2049" width="48.28515625" style="25" customWidth="1"/>
    <col min="2050" max="2050" width="64" style="25" customWidth="1"/>
    <col min="2051" max="2094" width="12" style="25" customWidth="1"/>
    <col min="2095" max="2302" width="13.28515625" style="25"/>
    <col min="2303" max="2303" width="32.28515625" style="25" customWidth="1"/>
    <col min="2304" max="2304" width="50" style="25" customWidth="1"/>
    <col min="2305" max="2305" width="48.28515625" style="25" customWidth="1"/>
    <col min="2306" max="2306" width="64" style="25" customWidth="1"/>
    <col min="2307" max="2350" width="12" style="25" customWidth="1"/>
    <col min="2351" max="2558" width="13.28515625" style="25"/>
    <col min="2559" max="2559" width="32.28515625" style="25" customWidth="1"/>
    <col min="2560" max="2560" width="50" style="25" customWidth="1"/>
    <col min="2561" max="2561" width="48.28515625" style="25" customWidth="1"/>
    <col min="2562" max="2562" width="64" style="25" customWidth="1"/>
    <col min="2563" max="2606" width="12" style="25" customWidth="1"/>
    <col min="2607" max="2814" width="13.28515625" style="25"/>
    <col min="2815" max="2815" width="32.28515625" style="25" customWidth="1"/>
    <col min="2816" max="2816" width="50" style="25" customWidth="1"/>
    <col min="2817" max="2817" width="48.28515625" style="25" customWidth="1"/>
    <col min="2818" max="2818" width="64" style="25" customWidth="1"/>
    <col min="2819" max="2862" width="12" style="25" customWidth="1"/>
    <col min="2863" max="3070" width="13.28515625" style="25"/>
    <col min="3071" max="3071" width="32.28515625" style="25" customWidth="1"/>
    <col min="3072" max="3072" width="50" style="25" customWidth="1"/>
    <col min="3073" max="3073" width="48.28515625" style="25" customWidth="1"/>
    <col min="3074" max="3074" width="64" style="25" customWidth="1"/>
    <col min="3075" max="3118" width="12" style="25" customWidth="1"/>
    <col min="3119" max="3326" width="13.28515625" style="25"/>
    <col min="3327" max="3327" width="32.28515625" style="25" customWidth="1"/>
    <col min="3328" max="3328" width="50" style="25" customWidth="1"/>
    <col min="3329" max="3329" width="48.28515625" style="25" customWidth="1"/>
    <col min="3330" max="3330" width="64" style="25" customWidth="1"/>
    <col min="3331" max="3374" width="12" style="25" customWidth="1"/>
    <col min="3375" max="3582" width="13.28515625" style="25"/>
    <col min="3583" max="3583" width="32.28515625" style="25" customWidth="1"/>
    <col min="3584" max="3584" width="50" style="25" customWidth="1"/>
    <col min="3585" max="3585" width="48.28515625" style="25" customWidth="1"/>
    <col min="3586" max="3586" width="64" style="25" customWidth="1"/>
    <col min="3587" max="3630" width="12" style="25" customWidth="1"/>
    <col min="3631" max="3838" width="13.28515625" style="25"/>
    <col min="3839" max="3839" width="32.28515625" style="25" customWidth="1"/>
    <col min="3840" max="3840" width="50" style="25" customWidth="1"/>
    <col min="3841" max="3841" width="48.28515625" style="25" customWidth="1"/>
    <col min="3842" max="3842" width="64" style="25" customWidth="1"/>
    <col min="3843" max="3886" width="12" style="25" customWidth="1"/>
    <col min="3887" max="4094" width="13.28515625" style="25"/>
    <col min="4095" max="4095" width="32.28515625" style="25" customWidth="1"/>
    <col min="4096" max="4096" width="50" style="25" customWidth="1"/>
    <col min="4097" max="4097" width="48.28515625" style="25" customWidth="1"/>
    <col min="4098" max="4098" width="64" style="25" customWidth="1"/>
    <col min="4099" max="4142" width="12" style="25" customWidth="1"/>
    <col min="4143" max="4350" width="13.28515625" style="25"/>
    <col min="4351" max="4351" width="32.28515625" style="25" customWidth="1"/>
    <col min="4352" max="4352" width="50" style="25" customWidth="1"/>
    <col min="4353" max="4353" width="48.28515625" style="25" customWidth="1"/>
    <col min="4354" max="4354" width="64" style="25" customWidth="1"/>
    <col min="4355" max="4398" width="12" style="25" customWidth="1"/>
    <col min="4399" max="4606" width="13.28515625" style="25"/>
    <col min="4607" max="4607" width="32.28515625" style="25" customWidth="1"/>
    <col min="4608" max="4608" width="50" style="25" customWidth="1"/>
    <col min="4609" max="4609" width="48.28515625" style="25" customWidth="1"/>
    <col min="4610" max="4610" width="64" style="25" customWidth="1"/>
    <col min="4611" max="4654" width="12" style="25" customWidth="1"/>
    <col min="4655" max="4862" width="13.28515625" style="25"/>
    <col min="4863" max="4863" width="32.28515625" style="25" customWidth="1"/>
    <col min="4864" max="4864" width="50" style="25" customWidth="1"/>
    <col min="4865" max="4865" width="48.28515625" style="25" customWidth="1"/>
    <col min="4866" max="4866" width="64" style="25" customWidth="1"/>
    <col min="4867" max="4910" width="12" style="25" customWidth="1"/>
    <col min="4911" max="5118" width="13.28515625" style="25"/>
    <col min="5119" max="5119" width="32.28515625" style="25" customWidth="1"/>
    <col min="5120" max="5120" width="50" style="25" customWidth="1"/>
    <col min="5121" max="5121" width="48.28515625" style="25" customWidth="1"/>
    <col min="5122" max="5122" width="64" style="25" customWidth="1"/>
    <col min="5123" max="5166" width="12" style="25" customWidth="1"/>
    <col min="5167" max="5374" width="13.28515625" style="25"/>
    <col min="5375" max="5375" width="32.28515625" style="25" customWidth="1"/>
    <col min="5376" max="5376" width="50" style="25" customWidth="1"/>
    <col min="5377" max="5377" width="48.28515625" style="25" customWidth="1"/>
    <col min="5378" max="5378" width="64" style="25" customWidth="1"/>
    <col min="5379" max="5422" width="12" style="25" customWidth="1"/>
    <col min="5423" max="5630" width="13.28515625" style="25"/>
    <col min="5631" max="5631" width="32.28515625" style="25" customWidth="1"/>
    <col min="5632" max="5632" width="50" style="25" customWidth="1"/>
    <col min="5633" max="5633" width="48.28515625" style="25" customWidth="1"/>
    <col min="5634" max="5634" width="64" style="25" customWidth="1"/>
    <col min="5635" max="5678" width="12" style="25" customWidth="1"/>
    <col min="5679" max="5886" width="13.28515625" style="25"/>
    <col min="5887" max="5887" width="32.28515625" style="25" customWidth="1"/>
    <col min="5888" max="5888" width="50" style="25" customWidth="1"/>
    <col min="5889" max="5889" width="48.28515625" style="25" customWidth="1"/>
    <col min="5890" max="5890" width="64" style="25" customWidth="1"/>
    <col min="5891" max="5934" width="12" style="25" customWidth="1"/>
    <col min="5935" max="6142" width="13.28515625" style="25"/>
    <col min="6143" max="6143" width="32.28515625" style="25" customWidth="1"/>
    <col min="6144" max="6144" width="50" style="25" customWidth="1"/>
    <col min="6145" max="6145" width="48.28515625" style="25" customWidth="1"/>
    <col min="6146" max="6146" width="64" style="25" customWidth="1"/>
    <col min="6147" max="6190" width="12" style="25" customWidth="1"/>
    <col min="6191" max="6398" width="13.28515625" style="25"/>
    <col min="6399" max="6399" width="32.28515625" style="25" customWidth="1"/>
    <col min="6400" max="6400" width="50" style="25" customWidth="1"/>
    <col min="6401" max="6401" width="48.28515625" style="25" customWidth="1"/>
    <col min="6402" max="6402" width="64" style="25" customWidth="1"/>
    <col min="6403" max="6446" width="12" style="25" customWidth="1"/>
    <col min="6447" max="6654" width="13.28515625" style="25"/>
    <col min="6655" max="6655" width="32.28515625" style="25" customWidth="1"/>
    <col min="6656" max="6656" width="50" style="25" customWidth="1"/>
    <col min="6657" max="6657" width="48.28515625" style="25" customWidth="1"/>
    <col min="6658" max="6658" width="64" style="25" customWidth="1"/>
    <col min="6659" max="6702" width="12" style="25" customWidth="1"/>
    <col min="6703" max="6910" width="13.28515625" style="25"/>
    <col min="6911" max="6911" width="32.28515625" style="25" customWidth="1"/>
    <col min="6912" max="6912" width="50" style="25" customWidth="1"/>
    <col min="6913" max="6913" width="48.28515625" style="25" customWidth="1"/>
    <col min="6914" max="6914" width="64" style="25" customWidth="1"/>
    <col min="6915" max="6958" width="12" style="25" customWidth="1"/>
    <col min="6959" max="7166" width="13.28515625" style="25"/>
    <col min="7167" max="7167" width="32.28515625" style="25" customWidth="1"/>
    <col min="7168" max="7168" width="50" style="25" customWidth="1"/>
    <col min="7169" max="7169" width="48.28515625" style="25" customWidth="1"/>
    <col min="7170" max="7170" width="64" style="25" customWidth="1"/>
    <col min="7171" max="7214" width="12" style="25" customWidth="1"/>
    <col min="7215" max="7422" width="13.28515625" style="25"/>
    <col min="7423" max="7423" width="32.28515625" style="25" customWidth="1"/>
    <col min="7424" max="7424" width="50" style="25" customWidth="1"/>
    <col min="7425" max="7425" width="48.28515625" style="25" customWidth="1"/>
    <col min="7426" max="7426" width="64" style="25" customWidth="1"/>
    <col min="7427" max="7470" width="12" style="25" customWidth="1"/>
    <col min="7471" max="7678" width="13.28515625" style="25"/>
    <col min="7679" max="7679" width="32.28515625" style="25" customWidth="1"/>
    <col min="7680" max="7680" width="50" style="25" customWidth="1"/>
    <col min="7681" max="7681" width="48.28515625" style="25" customWidth="1"/>
    <col min="7682" max="7682" width="64" style="25" customWidth="1"/>
    <col min="7683" max="7726" width="12" style="25" customWidth="1"/>
    <col min="7727" max="7934" width="13.28515625" style="25"/>
    <col min="7935" max="7935" width="32.28515625" style="25" customWidth="1"/>
    <col min="7936" max="7936" width="50" style="25" customWidth="1"/>
    <col min="7937" max="7937" width="48.28515625" style="25" customWidth="1"/>
    <col min="7938" max="7938" width="64" style="25" customWidth="1"/>
    <col min="7939" max="7982" width="12" style="25" customWidth="1"/>
    <col min="7983" max="8190" width="13.28515625" style="25"/>
    <col min="8191" max="8191" width="32.28515625" style="25" customWidth="1"/>
    <col min="8192" max="8192" width="50" style="25" customWidth="1"/>
    <col min="8193" max="8193" width="48.28515625" style="25" customWidth="1"/>
    <col min="8194" max="8194" width="64" style="25" customWidth="1"/>
    <col min="8195" max="8238" width="12" style="25" customWidth="1"/>
    <col min="8239" max="8446" width="13.28515625" style="25"/>
    <col min="8447" max="8447" width="32.28515625" style="25" customWidth="1"/>
    <col min="8448" max="8448" width="50" style="25" customWidth="1"/>
    <col min="8449" max="8449" width="48.28515625" style="25" customWidth="1"/>
    <col min="8450" max="8450" width="64" style="25" customWidth="1"/>
    <col min="8451" max="8494" width="12" style="25" customWidth="1"/>
    <col min="8495" max="8702" width="13.28515625" style="25"/>
    <col min="8703" max="8703" width="32.28515625" style="25" customWidth="1"/>
    <col min="8704" max="8704" width="50" style="25" customWidth="1"/>
    <col min="8705" max="8705" width="48.28515625" style="25" customWidth="1"/>
    <col min="8706" max="8706" width="64" style="25" customWidth="1"/>
    <col min="8707" max="8750" width="12" style="25" customWidth="1"/>
    <col min="8751" max="8958" width="13.28515625" style="25"/>
    <col min="8959" max="8959" width="32.28515625" style="25" customWidth="1"/>
    <col min="8960" max="8960" width="50" style="25" customWidth="1"/>
    <col min="8961" max="8961" width="48.28515625" style="25" customWidth="1"/>
    <col min="8962" max="8962" width="64" style="25" customWidth="1"/>
    <col min="8963" max="9006" width="12" style="25" customWidth="1"/>
    <col min="9007" max="9214" width="13.28515625" style="25"/>
    <col min="9215" max="9215" width="32.28515625" style="25" customWidth="1"/>
    <col min="9216" max="9216" width="50" style="25" customWidth="1"/>
    <col min="9217" max="9217" width="48.28515625" style="25" customWidth="1"/>
    <col min="9218" max="9218" width="64" style="25" customWidth="1"/>
    <col min="9219" max="9262" width="12" style="25" customWidth="1"/>
    <col min="9263" max="9470" width="13.28515625" style="25"/>
    <col min="9471" max="9471" width="32.28515625" style="25" customWidth="1"/>
    <col min="9472" max="9472" width="50" style="25" customWidth="1"/>
    <col min="9473" max="9473" width="48.28515625" style="25" customWidth="1"/>
    <col min="9474" max="9474" width="64" style="25" customWidth="1"/>
    <col min="9475" max="9518" width="12" style="25" customWidth="1"/>
    <col min="9519" max="9726" width="13.28515625" style="25"/>
    <col min="9727" max="9727" width="32.28515625" style="25" customWidth="1"/>
    <col min="9728" max="9728" width="50" style="25" customWidth="1"/>
    <col min="9729" max="9729" width="48.28515625" style="25" customWidth="1"/>
    <col min="9730" max="9730" width="64" style="25" customWidth="1"/>
    <col min="9731" max="9774" width="12" style="25" customWidth="1"/>
    <col min="9775" max="9982" width="13.28515625" style="25"/>
    <col min="9983" max="9983" width="32.28515625" style="25" customWidth="1"/>
    <col min="9984" max="9984" width="50" style="25" customWidth="1"/>
    <col min="9985" max="9985" width="48.28515625" style="25" customWidth="1"/>
    <col min="9986" max="9986" width="64" style="25" customWidth="1"/>
    <col min="9987" max="10030" width="12" style="25" customWidth="1"/>
    <col min="10031" max="10238" width="13.28515625" style="25"/>
    <col min="10239" max="10239" width="32.28515625" style="25" customWidth="1"/>
    <col min="10240" max="10240" width="50" style="25" customWidth="1"/>
    <col min="10241" max="10241" width="48.28515625" style="25" customWidth="1"/>
    <col min="10242" max="10242" width="64" style="25" customWidth="1"/>
    <col min="10243" max="10286" width="12" style="25" customWidth="1"/>
    <col min="10287" max="10494" width="13.28515625" style="25"/>
    <col min="10495" max="10495" width="32.28515625" style="25" customWidth="1"/>
    <col min="10496" max="10496" width="50" style="25" customWidth="1"/>
    <col min="10497" max="10497" width="48.28515625" style="25" customWidth="1"/>
    <col min="10498" max="10498" width="64" style="25" customWidth="1"/>
    <col min="10499" max="10542" width="12" style="25" customWidth="1"/>
    <col min="10543" max="10750" width="13.28515625" style="25"/>
    <col min="10751" max="10751" width="32.28515625" style="25" customWidth="1"/>
    <col min="10752" max="10752" width="50" style="25" customWidth="1"/>
    <col min="10753" max="10753" width="48.28515625" style="25" customWidth="1"/>
    <col min="10754" max="10754" width="64" style="25" customWidth="1"/>
    <col min="10755" max="10798" width="12" style="25" customWidth="1"/>
    <col min="10799" max="11006" width="13.28515625" style="25"/>
    <col min="11007" max="11007" width="32.28515625" style="25" customWidth="1"/>
    <col min="11008" max="11008" width="50" style="25" customWidth="1"/>
    <col min="11009" max="11009" width="48.28515625" style="25" customWidth="1"/>
    <col min="11010" max="11010" width="64" style="25" customWidth="1"/>
    <col min="11011" max="11054" width="12" style="25" customWidth="1"/>
    <col min="11055" max="11262" width="13.28515625" style="25"/>
    <col min="11263" max="11263" width="32.28515625" style="25" customWidth="1"/>
    <col min="11264" max="11264" width="50" style="25" customWidth="1"/>
    <col min="11265" max="11265" width="48.28515625" style="25" customWidth="1"/>
    <col min="11266" max="11266" width="64" style="25" customWidth="1"/>
    <col min="11267" max="11310" width="12" style="25" customWidth="1"/>
    <col min="11311" max="11518" width="13.28515625" style="25"/>
    <col min="11519" max="11519" width="32.28515625" style="25" customWidth="1"/>
    <col min="11520" max="11520" width="50" style="25" customWidth="1"/>
    <col min="11521" max="11521" width="48.28515625" style="25" customWidth="1"/>
    <col min="11522" max="11522" width="64" style="25" customWidth="1"/>
    <col min="11523" max="11566" width="12" style="25" customWidth="1"/>
    <col min="11567" max="11774" width="13.28515625" style="25"/>
    <col min="11775" max="11775" width="32.28515625" style="25" customWidth="1"/>
    <col min="11776" max="11776" width="50" style="25" customWidth="1"/>
    <col min="11777" max="11777" width="48.28515625" style="25" customWidth="1"/>
    <col min="11778" max="11778" width="64" style="25" customWidth="1"/>
    <col min="11779" max="11822" width="12" style="25" customWidth="1"/>
    <col min="11823" max="12030" width="13.28515625" style="25"/>
    <col min="12031" max="12031" width="32.28515625" style="25" customWidth="1"/>
    <col min="12032" max="12032" width="50" style="25" customWidth="1"/>
    <col min="12033" max="12033" width="48.28515625" style="25" customWidth="1"/>
    <col min="12034" max="12034" width="64" style="25" customWidth="1"/>
    <col min="12035" max="12078" width="12" style="25" customWidth="1"/>
    <col min="12079" max="12286" width="13.28515625" style="25"/>
    <col min="12287" max="12287" width="32.28515625" style="25" customWidth="1"/>
    <col min="12288" max="12288" width="50" style="25" customWidth="1"/>
    <col min="12289" max="12289" width="48.28515625" style="25" customWidth="1"/>
    <col min="12290" max="12290" width="64" style="25" customWidth="1"/>
    <col min="12291" max="12334" width="12" style="25" customWidth="1"/>
    <col min="12335" max="12542" width="13.28515625" style="25"/>
    <col min="12543" max="12543" width="32.28515625" style="25" customWidth="1"/>
    <col min="12544" max="12544" width="50" style="25" customWidth="1"/>
    <col min="12545" max="12545" width="48.28515625" style="25" customWidth="1"/>
    <col min="12546" max="12546" width="64" style="25" customWidth="1"/>
    <col min="12547" max="12590" width="12" style="25" customWidth="1"/>
    <col min="12591" max="12798" width="13.28515625" style="25"/>
    <col min="12799" max="12799" width="32.28515625" style="25" customWidth="1"/>
    <col min="12800" max="12800" width="50" style="25" customWidth="1"/>
    <col min="12801" max="12801" width="48.28515625" style="25" customWidth="1"/>
    <col min="12802" max="12802" width="64" style="25" customWidth="1"/>
    <col min="12803" max="12846" width="12" style="25" customWidth="1"/>
    <col min="12847" max="13054" width="13.28515625" style="25"/>
    <col min="13055" max="13055" width="32.28515625" style="25" customWidth="1"/>
    <col min="13056" max="13056" width="50" style="25" customWidth="1"/>
    <col min="13057" max="13057" width="48.28515625" style="25" customWidth="1"/>
    <col min="13058" max="13058" width="64" style="25" customWidth="1"/>
    <col min="13059" max="13102" width="12" style="25" customWidth="1"/>
    <col min="13103" max="13310" width="13.28515625" style="25"/>
    <col min="13311" max="13311" width="32.28515625" style="25" customWidth="1"/>
    <col min="13312" max="13312" width="50" style="25" customWidth="1"/>
    <col min="13313" max="13313" width="48.28515625" style="25" customWidth="1"/>
    <col min="13314" max="13314" width="64" style="25" customWidth="1"/>
    <col min="13315" max="13358" width="12" style="25" customWidth="1"/>
    <col min="13359" max="13566" width="13.28515625" style="25"/>
    <col min="13567" max="13567" width="32.28515625" style="25" customWidth="1"/>
    <col min="13568" max="13568" width="50" style="25" customWidth="1"/>
    <col min="13569" max="13569" width="48.28515625" style="25" customWidth="1"/>
    <col min="13570" max="13570" width="64" style="25" customWidth="1"/>
    <col min="13571" max="13614" width="12" style="25" customWidth="1"/>
    <col min="13615" max="13822" width="13.28515625" style="25"/>
    <col min="13823" max="13823" width="32.28515625" style="25" customWidth="1"/>
    <col min="13824" max="13824" width="50" style="25" customWidth="1"/>
    <col min="13825" max="13825" width="48.28515625" style="25" customWidth="1"/>
    <col min="13826" max="13826" width="64" style="25" customWidth="1"/>
    <col min="13827" max="13870" width="12" style="25" customWidth="1"/>
    <col min="13871" max="14078" width="13.28515625" style="25"/>
    <col min="14079" max="14079" width="32.28515625" style="25" customWidth="1"/>
    <col min="14080" max="14080" width="50" style="25" customWidth="1"/>
    <col min="14081" max="14081" width="48.28515625" style="25" customWidth="1"/>
    <col min="14082" max="14082" width="64" style="25" customWidth="1"/>
    <col min="14083" max="14126" width="12" style="25" customWidth="1"/>
    <col min="14127" max="14334" width="13.28515625" style="25"/>
    <col min="14335" max="14335" width="32.28515625" style="25" customWidth="1"/>
    <col min="14336" max="14336" width="50" style="25" customWidth="1"/>
    <col min="14337" max="14337" width="48.28515625" style="25" customWidth="1"/>
    <col min="14338" max="14338" width="64" style="25" customWidth="1"/>
    <col min="14339" max="14382" width="12" style="25" customWidth="1"/>
    <col min="14383" max="14590" width="13.28515625" style="25"/>
    <col min="14591" max="14591" width="32.28515625" style="25" customWidth="1"/>
    <col min="14592" max="14592" width="50" style="25" customWidth="1"/>
    <col min="14593" max="14593" width="48.28515625" style="25" customWidth="1"/>
    <col min="14594" max="14594" width="64" style="25" customWidth="1"/>
    <col min="14595" max="14638" width="12" style="25" customWidth="1"/>
    <col min="14639" max="14846" width="13.28515625" style="25"/>
    <col min="14847" max="14847" width="32.28515625" style="25" customWidth="1"/>
    <col min="14848" max="14848" width="50" style="25" customWidth="1"/>
    <col min="14849" max="14849" width="48.28515625" style="25" customWidth="1"/>
    <col min="14850" max="14850" width="64" style="25" customWidth="1"/>
    <col min="14851" max="14894" width="12" style="25" customWidth="1"/>
    <col min="14895" max="15102" width="13.28515625" style="25"/>
    <col min="15103" max="15103" width="32.28515625" style="25" customWidth="1"/>
    <col min="15104" max="15104" width="50" style="25" customWidth="1"/>
    <col min="15105" max="15105" width="48.28515625" style="25" customWidth="1"/>
    <col min="15106" max="15106" width="64" style="25" customWidth="1"/>
    <col min="15107" max="15150" width="12" style="25" customWidth="1"/>
    <col min="15151" max="15358" width="13.28515625" style="25"/>
    <col min="15359" max="15359" width="32.28515625" style="25" customWidth="1"/>
    <col min="15360" max="15360" width="50" style="25" customWidth="1"/>
    <col min="15361" max="15361" width="48.28515625" style="25" customWidth="1"/>
    <col min="15362" max="15362" width="64" style="25" customWidth="1"/>
    <col min="15363" max="15406" width="12" style="25" customWidth="1"/>
    <col min="15407" max="15614" width="13.28515625" style="25"/>
    <col min="15615" max="15615" width="32.28515625" style="25" customWidth="1"/>
    <col min="15616" max="15616" width="50" style="25" customWidth="1"/>
    <col min="15617" max="15617" width="48.28515625" style="25" customWidth="1"/>
    <col min="15618" max="15618" width="64" style="25" customWidth="1"/>
    <col min="15619" max="15662" width="12" style="25" customWidth="1"/>
    <col min="15663" max="15870" width="13.28515625" style="25"/>
    <col min="15871" max="15871" width="32.28515625" style="25" customWidth="1"/>
    <col min="15872" max="15872" width="50" style="25" customWidth="1"/>
    <col min="15873" max="15873" width="48.28515625" style="25" customWidth="1"/>
    <col min="15874" max="15874" width="64" style="25" customWidth="1"/>
    <col min="15875" max="15918" width="12" style="25" customWidth="1"/>
    <col min="15919" max="16126" width="13.28515625" style="25"/>
    <col min="16127" max="16127" width="32.28515625" style="25" customWidth="1"/>
    <col min="16128" max="16128" width="50" style="25" customWidth="1"/>
    <col min="16129" max="16129" width="48.28515625" style="25" customWidth="1"/>
    <col min="16130" max="16130" width="64" style="25" customWidth="1"/>
    <col min="16131" max="16174" width="12" style="25" customWidth="1"/>
    <col min="16175" max="16384" width="13.28515625" style="25"/>
  </cols>
  <sheetData>
    <row r="2" spans="1:4" s="24" customFormat="1" ht="15.75" x14ac:dyDescent="0.2">
      <c r="A2" s="23" t="s">
        <v>4</v>
      </c>
      <c r="B2" s="23" t="s">
        <v>5</v>
      </c>
      <c r="C2" s="23" t="s">
        <v>6</v>
      </c>
      <c r="D2" s="23" t="s">
        <v>8</v>
      </c>
    </row>
    <row r="3" spans="1:4" s="24" customFormat="1" ht="15" x14ac:dyDescent="0.2">
      <c r="A3" s="454" t="s">
        <v>55</v>
      </c>
      <c r="B3" s="378" t="s">
        <v>59</v>
      </c>
      <c r="C3" s="378" t="s">
        <v>133</v>
      </c>
      <c r="D3" s="39" t="s">
        <v>136</v>
      </c>
    </row>
    <row r="4" spans="1:4" s="24" customFormat="1" ht="30" x14ac:dyDescent="0.2">
      <c r="A4" s="454"/>
      <c r="B4" s="379"/>
      <c r="C4" s="379"/>
      <c r="D4" s="39" t="s">
        <v>137</v>
      </c>
    </row>
    <row r="5" spans="1:4" s="24" customFormat="1" ht="30" x14ac:dyDescent="0.2">
      <c r="A5" s="454"/>
      <c r="B5" s="379"/>
      <c r="C5" s="379"/>
      <c r="D5" s="39" t="s">
        <v>138</v>
      </c>
    </row>
    <row r="6" spans="1:4" s="24" customFormat="1" ht="60" x14ac:dyDescent="0.2">
      <c r="A6" s="454"/>
      <c r="B6" s="379"/>
      <c r="C6" s="379"/>
      <c r="D6" s="39" t="s">
        <v>142</v>
      </c>
    </row>
    <row r="7" spans="1:4" s="24" customFormat="1" ht="38.25" x14ac:dyDescent="0.2">
      <c r="A7" s="454"/>
      <c r="B7" s="379"/>
      <c r="C7" s="378" t="s">
        <v>147</v>
      </c>
      <c r="D7" s="38" t="s">
        <v>139</v>
      </c>
    </row>
    <row r="8" spans="1:4" s="24" customFormat="1" ht="15" x14ac:dyDescent="0.2">
      <c r="A8" s="454"/>
      <c r="B8" s="379"/>
      <c r="C8" s="379"/>
      <c r="D8" s="39" t="s">
        <v>134</v>
      </c>
    </row>
    <row r="9" spans="1:4" s="24" customFormat="1" ht="30" x14ac:dyDescent="0.2">
      <c r="A9" s="454"/>
      <c r="B9" s="379"/>
      <c r="C9" s="379"/>
      <c r="D9" s="39" t="s">
        <v>145</v>
      </c>
    </row>
    <row r="10" spans="1:4" s="24" customFormat="1" ht="30" x14ac:dyDescent="0.2">
      <c r="A10" s="454"/>
      <c r="B10" s="379"/>
      <c r="C10" s="379"/>
      <c r="D10" s="39" t="s">
        <v>146</v>
      </c>
    </row>
    <row r="11" spans="1:4" s="24" customFormat="1" ht="25.5" x14ac:dyDescent="0.2">
      <c r="A11" s="454"/>
      <c r="B11" s="379"/>
      <c r="C11" s="378" t="s">
        <v>135</v>
      </c>
      <c r="D11" s="38" t="s">
        <v>144</v>
      </c>
    </row>
    <row r="12" spans="1:4" s="24" customFormat="1" ht="60" x14ac:dyDescent="0.2">
      <c r="A12" s="454"/>
      <c r="B12" s="379"/>
      <c r="C12" s="379"/>
      <c r="D12" s="39" t="s">
        <v>141</v>
      </c>
    </row>
    <row r="13" spans="1:4" s="24" customFormat="1" ht="15" x14ac:dyDescent="0.2">
      <c r="A13" s="454"/>
      <c r="B13" s="379"/>
      <c r="C13" s="379"/>
      <c r="D13" s="39" t="s">
        <v>140</v>
      </c>
    </row>
    <row r="14" spans="1:4" s="24" customFormat="1" ht="15" x14ac:dyDescent="0.2">
      <c r="A14" s="454"/>
      <c r="B14" s="379"/>
      <c r="C14" s="379"/>
      <c r="D14" s="39" t="s">
        <v>143</v>
      </c>
    </row>
    <row r="15" spans="1:4" s="24" customFormat="1" ht="30" x14ac:dyDescent="0.2">
      <c r="A15" s="454"/>
      <c r="B15" s="379"/>
      <c r="C15" s="379"/>
      <c r="D15" s="39" t="s">
        <v>148</v>
      </c>
    </row>
    <row r="16" spans="1:4" s="24" customFormat="1" ht="15.75" x14ac:dyDescent="0.2">
      <c r="A16" s="454"/>
      <c r="B16" s="379"/>
      <c r="C16" s="380"/>
      <c r="D16" s="20"/>
    </row>
    <row r="17" spans="1:4" s="24" customFormat="1" ht="30" x14ac:dyDescent="0.2">
      <c r="A17" s="454"/>
      <c r="B17" s="378" t="s">
        <v>61</v>
      </c>
      <c r="C17" s="378" t="s">
        <v>60</v>
      </c>
      <c r="D17" s="26" t="s">
        <v>62</v>
      </c>
    </row>
    <row r="18" spans="1:4" s="24" customFormat="1" ht="30" x14ac:dyDescent="0.2">
      <c r="A18" s="454"/>
      <c r="B18" s="379"/>
      <c r="C18" s="379"/>
      <c r="D18" s="26" t="s">
        <v>63</v>
      </c>
    </row>
    <row r="19" spans="1:4" s="24" customFormat="1" ht="30" x14ac:dyDescent="0.2">
      <c r="A19" s="454"/>
      <c r="B19" s="379"/>
      <c r="C19" s="379"/>
      <c r="D19" s="26" t="s">
        <v>64</v>
      </c>
    </row>
    <row r="20" spans="1:4" s="24" customFormat="1" ht="45" x14ac:dyDescent="0.2">
      <c r="A20" s="454"/>
      <c r="B20" s="379"/>
      <c r="C20" s="379"/>
      <c r="D20" s="26" t="s">
        <v>65</v>
      </c>
    </row>
    <row r="21" spans="1:4" s="24" customFormat="1" ht="45" x14ac:dyDescent="0.2">
      <c r="A21" s="454"/>
      <c r="B21" s="379"/>
      <c r="C21" s="379"/>
      <c r="D21" s="26" t="s">
        <v>66</v>
      </c>
    </row>
    <row r="22" spans="1:4" s="24" customFormat="1" ht="45" x14ac:dyDescent="0.2">
      <c r="A22" s="454"/>
      <c r="B22" s="379"/>
      <c r="C22" s="379"/>
      <c r="D22" s="26" t="s">
        <v>67</v>
      </c>
    </row>
    <row r="23" spans="1:4" s="24" customFormat="1" ht="45" x14ac:dyDescent="0.2">
      <c r="A23" s="454"/>
      <c r="B23" s="379"/>
      <c r="C23" s="379"/>
      <c r="D23" s="26" t="s">
        <v>68</v>
      </c>
    </row>
    <row r="24" spans="1:4" s="24" customFormat="1" ht="45" x14ac:dyDescent="0.2">
      <c r="A24" s="454"/>
      <c r="B24" s="379"/>
      <c r="C24" s="379"/>
      <c r="D24" s="26" t="s">
        <v>69</v>
      </c>
    </row>
    <row r="25" spans="1:4" s="24" customFormat="1" ht="45" x14ac:dyDescent="0.2">
      <c r="A25" s="454"/>
      <c r="B25" s="379"/>
      <c r="C25" s="379"/>
      <c r="D25" s="26" t="s">
        <v>70</v>
      </c>
    </row>
    <row r="26" spans="1:4" s="24" customFormat="1" ht="30" x14ac:dyDescent="0.2">
      <c r="A26" s="454"/>
      <c r="B26" s="379"/>
      <c r="C26" s="378" t="s">
        <v>71</v>
      </c>
      <c r="D26" s="26" t="s">
        <v>75</v>
      </c>
    </row>
    <row r="27" spans="1:4" s="24" customFormat="1" ht="30" x14ac:dyDescent="0.2">
      <c r="A27" s="454"/>
      <c r="B27" s="379"/>
      <c r="C27" s="379"/>
      <c r="D27" s="26" t="s">
        <v>76</v>
      </c>
    </row>
    <row r="28" spans="1:4" s="24" customFormat="1" ht="30" x14ac:dyDescent="0.2">
      <c r="A28" s="454"/>
      <c r="B28" s="379"/>
      <c r="C28" s="379"/>
      <c r="D28" s="26" t="s">
        <v>77</v>
      </c>
    </row>
    <row r="29" spans="1:4" s="24" customFormat="1" ht="45" x14ac:dyDescent="0.2">
      <c r="A29" s="454"/>
      <c r="B29" s="379"/>
      <c r="C29" s="379"/>
      <c r="D29" s="26" t="s">
        <v>78</v>
      </c>
    </row>
    <row r="30" spans="1:4" s="24" customFormat="1" ht="45" x14ac:dyDescent="0.2">
      <c r="A30" s="454"/>
      <c r="B30" s="379"/>
      <c r="C30" s="379"/>
      <c r="D30" s="26" t="s">
        <v>79</v>
      </c>
    </row>
    <row r="31" spans="1:4" s="24" customFormat="1" ht="30" x14ac:dyDescent="0.2">
      <c r="A31" s="454"/>
      <c r="B31" s="379"/>
      <c r="C31" s="379"/>
      <c r="D31" s="26" t="s">
        <v>80</v>
      </c>
    </row>
    <row r="32" spans="1:4" s="24" customFormat="1" ht="45" x14ac:dyDescent="0.2">
      <c r="A32" s="454"/>
      <c r="B32" s="379"/>
      <c r="C32" s="379"/>
      <c r="D32" s="26" t="s">
        <v>81</v>
      </c>
    </row>
    <row r="33" spans="1:4" s="24" customFormat="1" ht="30" x14ac:dyDescent="0.2">
      <c r="A33" s="454"/>
      <c r="B33" s="379"/>
      <c r="C33" s="379"/>
      <c r="D33" s="26" t="s">
        <v>82</v>
      </c>
    </row>
    <row r="34" spans="1:4" s="24" customFormat="1" ht="15" x14ac:dyDescent="0.2">
      <c r="A34" s="454"/>
      <c r="B34" s="379"/>
      <c r="C34" s="379"/>
      <c r="D34" s="26" t="s">
        <v>83</v>
      </c>
    </row>
    <row r="35" spans="1:4" s="24" customFormat="1" ht="30" x14ac:dyDescent="0.2">
      <c r="A35" s="454"/>
      <c r="B35" s="379"/>
      <c r="C35" s="379"/>
      <c r="D35" s="26" t="s">
        <v>84</v>
      </c>
    </row>
    <row r="36" spans="1:4" s="24" customFormat="1" ht="30" x14ac:dyDescent="0.2">
      <c r="A36" s="454"/>
      <c r="B36" s="379"/>
      <c r="C36" s="380"/>
      <c r="D36" s="26" t="s">
        <v>85</v>
      </c>
    </row>
    <row r="37" spans="1:4" s="24" customFormat="1" ht="30" x14ac:dyDescent="0.2">
      <c r="A37" s="454"/>
      <c r="B37" s="379"/>
      <c r="C37" s="378" t="s">
        <v>72</v>
      </c>
      <c r="D37" s="26" t="s">
        <v>86</v>
      </c>
    </row>
    <row r="38" spans="1:4" s="24" customFormat="1" ht="30" x14ac:dyDescent="0.2">
      <c r="A38" s="454"/>
      <c r="B38" s="379"/>
      <c r="C38" s="379"/>
      <c r="D38" s="26" t="s">
        <v>87</v>
      </c>
    </row>
    <row r="39" spans="1:4" s="24" customFormat="1" ht="30" x14ac:dyDescent="0.2">
      <c r="A39" s="454"/>
      <c r="B39" s="379"/>
      <c r="C39" s="379"/>
      <c r="D39" s="26" t="s">
        <v>90</v>
      </c>
    </row>
    <row r="40" spans="1:4" s="24" customFormat="1" ht="45" x14ac:dyDescent="0.2">
      <c r="A40" s="454"/>
      <c r="B40" s="379"/>
      <c r="C40" s="379"/>
      <c r="D40" s="26" t="s">
        <v>88</v>
      </c>
    </row>
    <row r="41" spans="1:4" s="24" customFormat="1" ht="45" x14ac:dyDescent="0.2">
      <c r="A41" s="454"/>
      <c r="B41" s="379"/>
      <c r="C41" s="379"/>
      <c r="D41" s="26" t="s">
        <v>89</v>
      </c>
    </row>
    <row r="42" spans="1:4" s="24" customFormat="1" ht="45" x14ac:dyDescent="0.2">
      <c r="A42" s="454"/>
      <c r="B42" s="379"/>
      <c r="C42" s="379"/>
      <c r="D42" s="26" t="s">
        <v>91</v>
      </c>
    </row>
    <row r="43" spans="1:4" s="24" customFormat="1" ht="15" x14ac:dyDescent="0.2">
      <c r="A43" s="454"/>
      <c r="B43" s="379"/>
      <c r="C43" s="379"/>
      <c r="D43" s="26" t="s">
        <v>92</v>
      </c>
    </row>
    <row r="44" spans="1:4" s="24" customFormat="1" ht="30" x14ac:dyDescent="0.2">
      <c r="A44" s="454"/>
      <c r="B44" s="379"/>
      <c r="C44" s="379"/>
      <c r="D44" s="26" t="s">
        <v>93</v>
      </c>
    </row>
    <row r="45" spans="1:4" s="24" customFormat="1" ht="30" x14ac:dyDescent="0.2">
      <c r="A45" s="454"/>
      <c r="B45" s="379"/>
      <c r="C45" s="379"/>
      <c r="D45" s="26" t="s">
        <v>94</v>
      </c>
    </row>
    <row r="46" spans="1:4" s="24" customFormat="1" ht="30" x14ac:dyDescent="0.2">
      <c r="A46" s="454"/>
      <c r="B46" s="379"/>
      <c r="C46" s="378" t="s">
        <v>73</v>
      </c>
      <c r="D46" s="26" t="s">
        <v>95</v>
      </c>
    </row>
    <row r="47" spans="1:4" s="24" customFormat="1" ht="30" x14ac:dyDescent="0.2">
      <c r="A47" s="454"/>
      <c r="B47" s="379"/>
      <c r="C47" s="379"/>
      <c r="D47" s="26" t="s">
        <v>96</v>
      </c>
    </row>
    <row r="48" spans="1:4" s="24" customFormat="1" ht="30" x14ac:dyDescent="0.2">
      <c r="A48" s="454"/>
      <c r="B48" s="379"/>
      <c r="C48" s="379"/>
      <c r="D48" s="26" t="s">
        <v>97</v>
      </c>
    </row>
    <row r="49" spans="1:4" s="24" customFormat="1" ht="15" x14ac:dyDescent="0.2">
      <c r="A49" s="454"/>
      <c r="B49" s="379"/>
      <c r="C49" s="379"/>
      <c r="D49" s="26" t="s">
        <v>98</v>
      </c>
    </row>
    <row r="50" spans="1:4" s="24" customFormat="1" ht="30" x14ac:dyDescent="0.2">
      <c r="A50" s="454"/>
      <c r="B50" s="379"/>
      <c r="C50" s="379"/>
      <c r="D50" s="26" t="s">
        <v>99</v>
      </c>
    </row>
    <row r="51" spans="1:4" s="24" customFormat="1" ht="15" x14ac:dyDescent="0.2">
      <c r="A51" s="454"/>
      <c r="B51" s="379"/>
      <c r="C51" s="379"/>
      <c r="D51" s="26" t="s">
        <v>100</v>
      </c>
    </row>
    <row r="52" spans="1:4" s="24" customFormat="1" ht="30" x14ac:dyDescent="0.2">
      <c r="A52" s="454"/>
      <c r="B52" s="379"/>
      <c r="C52" s="379"/>
      <c r="D52" s="26" t="s">
        <v>101</v>
      </c>
    </row>
    <row r="53" spans="1:4" s="24" customFormat="1" ht="30" x14ac:dyDescent="0.2">
      <c r="A53" s="454"/>
      <c r="B53" s="379"/>
      <c r="C53" s="379"/>
      <c r="D53" s="26" t="s">
        <v>102</v>
      </c>
    </row>
    <row r="54" spans="1:4" s="24" customFormat="1" ht="30" x14ac:dyDescent="0.2">
      <c r="A54" s="454"/>
      <c r="B54" s="379"/>
      <c r="C54" s="379"/>
      <c r="D54" s="26" t="s">
        <v>103</v>
      </c>
    </row>
    <row r="55" spans="1:4" s="24" customFormat="1" ht="30" x14ac:dyDescent="0.2">
      <c r="A55" s="454"/>
      <c r="B55" s="379"/>
      <c r="C55" s="379"/>
      <c r="D55" s="26" t="s">
        <v>104</v>
      </c>
    </row>
    <row r="56" spans="1:4" s="24" customFormat="1" ht="15" x14ac:dyDescent="0.2">
      <c r="A56" s="454"/>
      <c r="B56" s="379"/>
      <c r="C56" s="378" t="s">
        <v>74</v>
      </c>
      <c r="D56" s="26" t="s">
        <v>105</v>
      </c>
    </row>
    <row r="57" spans="1:4" s="24" customFormat="1" ht="30" x14ac:dyDescent="0.2">
      <c r="A57" s="454"/>
      <c r="B57" s="379"/>
      <c r="C57" s="379"/>
      <c r="D57" s="26" t="s">
        <v>106</v>
      </c>
    </row>
    <row r="58" spans="1:4" s="24" customFormat="1" ht="30" x14ac:dyDescent="0.2">
      <c r="A58" s="454"/>
      <c r="B58" s="379"/>
      <c r="C58" s="379"/>
      <c r="D58" s="26" t="s">
        <v>107</v>
      </c>
    </row>
    <row r="59" spans="1:4" s="24" customFormat="1" ht="30" x14ac:dyDescent="0.2">
      <c r="A59" s="454"/>
      <c r="B59" s="379"/>
      <c r="C59" s="379"/>
      <c r="D59" s="27" t="s">
        <v>108</v>
      </c>
    </row>
    <row r="60" spans="1:4" s="24" customFormat="1" ht="30" x14ac:dyDescent="0.2">
      <c r="A60" s="454"/>
      <c r="B60" s="379"/>
      <c r="C60" s="379"/>
      <c r="D60" s="26" t="s">
        <v>109</v>
      </c>
    </row>
    <row r="61" spans="1:4" s="24" customFormat="1" ht="15" x14ac:dyDescent="0.2">
      <c r="A61" s="454"/>
      <c r="B61" s="379"/>
      <c r="C61" s="379"/>
      <c r="D61" s="26" t="s">
        <v>110</v>
      </c>
    </row>
    <row r="62" spans="1:4" s="24" customFormat="1" ht="30" x14ac:dyDescent="0.2">
      <c r="A62" s="454"/>
      <c r="B62" s="379"/>
      <c r="C62" s="379"/>
      <c r="D62" s="26" t="s">
        <v>111</v>
      </c>
    </row>
    <row r="63" spans="1:4" s="24" customFormat="1" ht="30" x14ac:dyDescent="0.2">
      <c r="A63" s="454"/>
      <c r="B63" s="379"/>
      <c r="C63" s="378" t="s">
        <v>112</v>
      </c>
      <c r="D63" s="26" t="s">
        <v>113</v>
      </c>
    </row>
    <row r="64" spans="1:4" s="24" customFormat="1" ht="30" x14ac:dyDescent="0.2">
      <c r="A64" s="454"/>
      <c r="B64" s="379"/>
      <c r="C64" s="379"/>
      <c r="D64" s="26" t="s">
        <v>114</v>
      </c>
    </row>
    <row r="65" spans="1:4" s="24" customFormat="1" ht="30" x14ac:dyDescent="0.2">
      <c r="A65" s="454"/>
      <c r="B65" s="379"/>
      <c r="C65" s="380"/>
      <c r="D65" s="26" t="s">
        <v>115</v>
      </c>
    </row>
  </sheetData>
  <mergeCells count="12">
    <mergeCell ref="C63:C65"/>
    <mergeCell ref="A3:A65"/>
    <mergeCell ref="B3:B16"/>
    <mergeCell ref="C3:C6"/>
    <mergeCell ref="C7:C10"/>
    <mergeCell ref="C11:C16"/>
    <mergeCell ref="B17:B65"/>
    <mergeCell ref="C17:C25"/>
    <mergeCell ref="C26:C36"/>
    <mergeCell ref="C37:C45"/>
    <mergeCell ref="C46:C55"/>
    <mergeCell ref="C56:C62"/>
  </mergeCells>
  <phoneticPr fontId="14"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0090-FA9F-D148-BE72-B888F1A864DE}">
  <sheetPr>
    <tabColor theme="9" tint="0.39997558519241921"/>
  </sheetPr>
  <dimension ref="A1:E125"/>
  <sheetViews>
    <sheetView showGridLines="0" workbookViewId="0">
      <selection activeCell="F31" sqref="F31"/>
    </sheetView>
  </sheetViews>
  <sheetFormatPr defaultColWidth="13.28515625" defaultRowHeight="12.75" x14ac:dyDescent="0.2"/>
  <cols>
    <col min="1" max="1" width="18.85546875" style="1" customWidth="1"/>
    <col min="2" max="3" width="27.85546875" style="1" customWidth="1"/>
    <col min="4" max="4" width="27.85546875" style="16" customWidth="1"/>
    <col min="5" max="5" width="111.28515625" style="9" customWidth="1"/>
    <col min="6" max="46" width="12" style="1" customWidth="1"/>
    <col min="47" max="254" width="13.28515625" style="1"/>
    <col min="255" max="255" width="32.28515625" style="1" customWidth="1"/>
    <col min="256" max="256" width="50" style="1" customWidth="1"/>
    <col min="257" max="257" width="48.28515625" style="1" customWidth="1"/>
    <col min="258" max="258" width="64" style="1" customWidth="1"/>
    <col min="259" max="302" width="12" style="1" customWidth="1"/>
    <col min="303" max="510" width="13.28515625" style="1"/>
    <col min="511" max="511" width="32.28515625" style="1" customWidth="1"/>
    <col min="512" max="512" width="50" style="1" customWidth="1"/>
    <col min="513" max="513" width="48.28515625" style="1" customWidth="1"/>
    <col min="514" max="514" width="64" style="1" customWidth="1"/>
    <col min="515" max="558" width="12" style="1" customWidth="1"/>
    <col min="559" max="766" width="13.28515625" style="1"/>
    <col min="767" max="767" width="32.28515625" style="1" customWidth="1"/>
    <col min="768" max="768" width="50" style="1" customWidth="1"/>
    <col min="769" max="769" width="48.28515625" style="1" customWidth="1"/>
    <col min="770" max="770" width="64" style="1" customWidth="1"/>
    <col min="771" max="814" width="12" style="1" customWidth="1"/>
    <col min="815" max="1022" width="13.28515625" style="1"/>
    <col min="1023" max="1023" width="32.28515625" style="1" customWidth="1"/>
    <col min="1024" max="1024" width="50" style="1" customWidth="1"/>
    <col min="1025" max="1025" width="48.28515625" style="1" customWidth="1"/>
    <col min="1026" max="1026" width="64" style="1" customWidth="1"/>
    <col min="1027" max="1070" width="12" style="1" customWidth="1"/>
    <col min="1071" max="1278" width="13.28515625" style="1"/>
    <col min="1279" max="1279" width="32.28515625" style="1" customWidth="1"/>
    <col min="1280" max="1280" width="50" style="1" customWidth="1"/>
    <col min="1281" max="1281" width="48.28515625" style="1" customWidth="1"/>
    <col min="1282" max="1282" width="64" style="1" customWidth="1"/>
    <col min="1283" max="1326" width="12" style="1" customWidth="1"/>
    <col min="1327" max="1534" width="13.28515625" style="1"/>
    <col min="1535" max="1535" width="32.28515625" style="1" customWidth="1"/>
    <col min="1536" max="1536" width="50" style="1" customWidth="1"/>
    <col min="1537" max="1537" width="48.28515625" style="1" customWidth="1"/>
    <col min="1538" max="1538" width="64" style="1" customWidth="1"/>
    <col min="1539" max="1582" width="12" style="1" customWidth="1"/>
    <col min="1583" max="1790" width="13.28515625" style="1"/>
    <col min="1791" max="1791" width="32.28515625" style="1" customWidth="1"/>
    <col min="1792" max="1792" width="50" style="1" customWidth="1"/>
    <col min="1793" max="1793" width="48.28515625" style="1" customWidth="1"/>
    <col min="1794" max="1794" width="64" style="1" customWidth="1"/>
    <col min="1795" max="1838" width="12" style="1" customWidth="1"/>
    <col min="1839" max="2046" width="13.28515625" style="1"/>
    <col min="2047" max="2047" width="32.28515625" style="1" customWidth="1"/>
    <col min="2048" max="2048" width="50" style="1" customWidth="1"/>
    <col min="2049" max="2049" width="48.28515625" style="1" customWidth="1"/>
    <col min="2050" max="2050" width="64" style="1" customWidth="1"/>
    <col min="2051" max="2094" width="12" style="1" customWidth="1"/>
    <col min="2095" max="2302" width="13.28515625" style="1"/>
    <col min="2303" max="2303" width="32.28515625" style="1" customWidth="1"/>
    <col min="2304" max="2304" width="50" style="1" customWidth="1"/>
    <col min="2305" max="2305" width="48.28515625" style="1" customWidth="1"/>
    <col min="2306" max="2306" width="64" style="1" customWidth="1"/>
    <col min="2307" max="2350" width="12" style="1" customWidth="1"/>
    <col min="2351" max="2558" width="13.28515625" style="1"/>
    <col min="2559" max="2559" width="32.28515625" style="1" customWidth="1"/>
    <col min="2560" max="2560" width="50" style="1" customWidth="1"/>
    <col min="2561" max="2561" width="48.28515625" style="1" customWidth="1"/>
    <col min="2562" max="2562" width="64" style="1" customWidth="1"/>
    <col min="2563" max="2606" width="12" style="1" customWidth="1"/>
    <col min="2607" max="2814" width="13.28515625" style="1"/>
    <col min="2815" max="2815" width="32.28515625" style="1" customWidth="1"/>
    <col min="2816" max="2816" width="50" style="1" customWidth="1"/>
    <col min="2817" max="2817" width="48.28515625" style="1" customWidth="1"/>
    <col min="2818" max="2818" width="64" style="1" customWidth="1"/>
    <col min="2819" max="2862" width="12" style="1" customWidth="1"/>
    <col min="2863" max="3070" width="13.28515625" style="1"/>
    <col min="3071" max="3071" width="32.28515625" style="1" customWidth="1"/>
    <col min="3072" max="3072" width="50" style="1" customWidth="1"/>
    <col min="3073" max="3073" width="48.28515625" style="1" customWidth="1"/>
    <col min="3074" max="3074" width="64" style="1" customWidth="1"/>
    <col min="3075" max="3118" width="12" style="1" customWidth="1"/>
    <col min="3119" max="3326" width="13.28515625" style="1"/>
    <col min="3327" max="3327" width="32.28515625" style="1" customWidth="1"/>
    <col min="3328" max="3328" width="50" style="1" customWidth="1"/>
    <col min="3329" max="3329" width="48.28515625" style="1" customWidth="1"/>
    <col min="3330" max="3330" width="64" style="1" customWidth="1"/>
    <col min="3331" max="3374" width="12" style="1" customWidth="1"/>
    <col min="3375" max="3582" width="13.28515625" style="1"/>
    <col min="3583" max="3583" width="32.28515625" style="1" customWidth="1"/>
    <col min="3584" max="3584" width="50" style="1" customWidth="1"/>
    <col min="3585" max="3585" width="48.28515625" style="1" customWidth="1"/>
    <col min="3586" max="3586" width="64" style="1" customWidth="1"/>
    <col min="3587" max="3630" width="12" style="1" customWidth="1"/>
    <col min="3631" max="3838" width="13.28515625" style="1"/>
    <col min="3839" max="3839" width="32.28515625" style="1" customWidth="1"/>
    <col min="3840" max="3840" width="50" style="1" customWidth="1"/>
    <col min="3841" max="3841" width="48.28515625" style="1" customWidth="1"/>
    <col min="3842" max="3842" width="64" style="1" customWidth="1"/>
    <col min="3843" max="3886" width="12" style="1" customWidth="1"/>
    <col min="3887" max="4094" width="13.28515625" style="1"/>
    <col min="4095" max="4095" width="32.28515625" style="1" customWidth="1"/>
    <col min="4096" max="4096" width="50" style="1" customWidth="1"/>
    <col min="4097" max="4097" width="48.28515625" style="1" customWidth="1"/>
    <col min="4098" max="4098" width="64" style="1" customWidth="1"/>
    <col min="4099" max="4142" width="12" style="1" customWidth="1"/>
    <col min="4143" max="4350" width="13.28515625" style="1"/>
    <col min="4351" max="4351" width="32.28515625" style="1" customWidth="1"/>
    <col min="4352" max="4352" width="50" style="1" customWidth="1"/>
    <col min="4353" max="4353" width="48.28515625" style="1" customWidth="1"/>
    <col min="4354" max="4354" width="64" style="1" customWidth="1"/>
    <col min="4355" max="4398" width="12" style="1" customWidth="1"/>
    <col min="4399" max="4606" width="13.28515625" style="1"/>
    <col min="4607" max="4607" width="32.28515625" style="1" customWidth="1"/>
    <col min="4608" max="4608" width="50" style="1" customWidth="1"/>
    <col min="4609" max="4609" width="48.28515625" style="1" customWidth="1"/>
    <col min="4610" max="4610" width="64" style="1" customWidth="1"/>
    <col min="4611" max="4654" width="12" style="1" customWidth="1"/>
    <col min="4655" max="4862" width="13.28515625" style="1"/>
    <col min="4863" max="4863" width="32.28515625" style="1" customWidth="1"/>
    <col min="4864" max="4864" width="50" style="1" customWidth="1"/>
    <col min="4865" max="4865" width="48.28515625" style="1" customWidth="1"/>
    <col min="4866" max="4866" width="64" style="1" customWidth="1"/>
    <col min="4867" max="4910" width="12" style="1" customWidth="1"/>
    <col min="4911" max="5118" width="13.28515625" style="1"/>
    <col min="5119" max="5119" width="32.28515625" style="1" customWidth="1"/>
    <col min="5120" max="5120" width="50" style="1" customWidth="1"/>
    <col min="5121" max="5121" width="48.28515625" style="1" customWidth="1"/>
    <col min="5122" max="5122" width="64" style="1" customWidth="1"/>
    <col min="5123" max="5166" width="12" style="1" customWidth="1"/>
    <col min="5167" max="5374" width="13.28515625" style="1"/>
    <col min="5375" max="5375" width="32.28515625" style="1" customWidth="1"/>
    <col min="5376" max="5376" width="50" style="1" customWidth="1"/>
    <col min="5377" max="5377" width="48.28515625" style="1" customWidth="1"/>
    <col min="5378" max="5378" width="64" style="1" customWidth="1"/>
    <col min="5379" max="5422" width="12" style="1" customWidth="1"/>
    <col min="5423" max="5630" width="13.28515625" style="1"/>
    <col min="5631" max="5631" width="32.28515625" style="1" customWidth="1"/>
    <col min="5632" max="5632" width="50" style="1" customWidth="1"/>
    <col min="5633" max="5633" width="48.28515625" style="1" customWidth="1"/>
    <col min="5634" max="5634" width="64" style="1" customWidth="1"/>
    <col min="5635" max="5678" width="12" style="1" customWidth="1"/>
    <col min="5679" max="5886" width="13.28515625" style="1"/>
    <col min="5887" max="5887" width="32.28515625" style="1" customWidth="1"/>
    <col min="5888" max="5888" width="50" style="1" customWidth="1"/>
    <col min="5889" max="5889" width="48.28515625" style="1" customWidth="1"/>
    <col min="5890" max="5890" width="64" style="1" customWidth="1"/>
    <col min="5891" max="5934" width="12" style="1" customWidth="1"/>
    <col min="5935" max="6142" width="13.28515625" style="1"/>
    <col min="6143" max="6143" width="32.28515625" style="1" customWidth="1"/>
    <col min="6144" max="6144" width="50" style="1" customWidth="1"/>
    <col min="6145" max="6145" width="48.28515625" style="1" customWidth="1"/>
    <col min="6146" max="6146" width="64" style="1" customWidth="1"/>
    <col min="6147" max="6190" width="12" style="1" customWidth="1"/>
    <col min="6191" max="6398" width="13.28515625" style="1"/>
    <col min="6399" max="6399" width="32.28515625" style="1" customWidth="1"/>
    <col min="6400" max="6400" width="50" style="1" customWidth="1"/>
    <col min="6401" max="6401" width="48.28515625" style="1" customWidth="1"/>
    <col min="6402" max="6402" width="64" style="1" customWidth="1"/>
    <col min="6403" max="6446" width="12" style="1" customWidth="1"/>
    <col min="6447" max="6654" width="13.28515625" style="1"/>
    <col min="6655" max="6655" width="32.28515625" style="1" customWidth="1"/>
    <col min="6656" max="6656" width="50" style="1" customWidth="1"/>
    <col min="6657" max="6657" width="48.28515625" style="1" customWidth="1"/>
    <col min="6658" max="6658" width="64" style="1" customWidth="1"/>
    <col min="6659" max="6702" width="12" style="1" customWidth="1"/>
    <col min="6703" max="6910" width="13.28515625" style="1"/>
    <col min="6911" max="6911" width="32.28515625" style="1" customWidth="1"/>
    <col min="6912" max="6912" width="50" style="1" customWidth="1"/>
    <col min="6913" max="6913" width="48.28515625" style="1" customWidth="1"/>
    <col min="6914" max="6914" width="64" style="1" customWidth="1"/>
    <col min="6915" max="6958" width="12" style="1" customWidth="1"/>
    <col min="6959" max="7166" width="13.28515625" style="1"/>
    <col min="7167" max="7167" width="32.28515625" style="1" customWidth="1"/>
    <col min="7168" max="7168" width="50" style="1" customWidth="1"/>
    <col min="7169" max="7169" width="48.28515625" style="1" customWidth="1"/>
    <col min="7170" max="7170" width="64" style="1" customWidth="1"/>
    <col min="7171" max="7214" width="12" style="1" customWidth="1"/>
    <col min="7215" max="7422" width="13.28515625" style="1"/>
    <col min="7423" max="7423" width="32.28515625" style="1" customWidth="1"/>
    <col min="7424" max="7424" width="50" style="1" customWidth="1"/>
    <col min="7425" max="7425" width="48.28515625" style="1" customWidth="1"/>
    <col min="7426" max="7426" width="64" style="1" customWidth="1"/>
    <col min="7427" max="7470" width="12" style="1" customWidth="1"/>
    <col min="7471" max="7678" width="13.28515625" style="1"/>
    <col min="7679" max="7679" width="32.28515625" style="1" customWidth="1"/>
    <col min="7680" max="7680" width="50" style="1" customWidth="1"/>
    <col min="7681" max="7681" width="48.28515625" style="1" customWidth="1"/>
    <col min="7682" max="7682" width="64" style="1" customWidth="1"/>
    <col min="7683" max="7726" width="12" style="1" customWidth="1"/>
    <col min="7727" max="7934" width="13.28515625" style="1"/>
    <col min="7935" max="7935" width="32.28515625" style="1" customWidth="1"/>
    <col min="7936" max="7936" width="50" style="1" customWidth="1"/>
    <col min="7937" max="7937" width="48.28515625" style="1" customWidth="1"/>
    <col min="7938" max="7938" width="64" style="1" customWidth="1"/>
    <col min="7939" max="7982" width="12" style="1" customWidth="1"/>
    <col min="7983" max="8190" width="13.28515625" style="1"/>
    <col min="8191" max="8191" width="32.28515625" style="1" customWidth="1"/>
    <col min="8192" max="8192" width="50" style="1" customWidth="1"/>
    <col min="8193" max="8193" width="48.28515625" style="1" customWidth="1"/>
    <col min="8194" max="8194" width="64" style="1" customWidth="1"/>
    <col min="8195" max="8238" width="12" style="1" customWidth="1"/>
    <col min="8239" max="8446" width="13.28515625" style="1"/>
    <col min="8447" max="8447" width="32.28515625" style="1" customWidth="1"/>
    <col min="8448" max="8448" width="50" style="1" customWidth="1"/>
    <col min="8449" max="8449" width="48.28515625" style="1" customWidth="1"/>
    <col min="8450" max="8450" width="64" style="1" customWidth="1"/>
    <col min="8451" max="8494" width="12" style="1" customWidth="1"/>
    <col min="8495" max="8702" width="13.28515625" style="1"/>
    <col min="8703" max="8703" width="32.28515625" style="1" customWidth="1"/>
    <col min="8704" max="8704" width="50" style="1" customWidth="1"/>
    <col min="8705" max="8705" width="48.28515625" style="1" customWidth="1"/>
    <col min="8706" max="8706" width="64" style="1" customWidth="1"/>
    <col min="8707" max="8750" width="12" style="1" customWidth="1"/>
    <col min="8751" max="8958" width="13.28515625" style="1"/>
    <col min="8959" max="8959" width="32.28515625" style="1" customWidth="1"/>
    <col min="8960" max="8960" width="50" style="1" customWidth="1"/>
    <col min="8961" max="8961" width="48.28515625" style="1" customWidth="1"/>
    <col min="8962" max="8962" width="64" style="1" customWidth="1"/>
    <col min="8963" max="9006" width="12" style="1" customWidth="1"/>
    <col min="9007" max="9214" width="13.28515625" style="1"/>
    <col min="9215" max="9215" width="32.28515625" style="1" customWidth="1"/>
    <col min="9216" max="9216" width="50" style="1" customWidth="1"/>
    <col min="9217" max="9217" width="48.28515625" style="1" customWidth="1"/>
    <col min="9218" max="9218" width="64" style="1" customWidth="1"/>
    <col min="9219" max="9262" width="12" style="1" customWidth="1"/>
    <col min="9263" max="9470" width="13.28515625" style="1"/>
    <col min="9471" max="9471" width="32.28515625" style="1" customWidth="1"/>
    <col min="9472" max="9472" width="50" style="1" customWidth="1"/>
    <col min="9473" max="9473" width="48.28515625" style="1" customWidth="1"/>
    <col min="9474" max="9474" width="64" style="1" customWidth="1"/>
    <col min="9475" max="9518" width="12" style="1" customWidth="1"/>
    <col min="9519" max="9726" width="13.28515625" style="1"/>
    <col min="9727" max="9727" width="32.28515625" style="1" customWidth="1"/>
    <col min="9728" max="9728" width="50" style="1" customWidth="1"/>
    <col min="9729" max="9729" width="48.28515625" style="1" customWidth="1"/>
    <col min="9730" max="9730" width="64" style="1" customWidth="1"/>
    <col min="9731" max="9774" width="12" style="1" customWidth="1"/>
    <col min="9775" max="9982" width="13.28515625" style="1"/>
    <col min="9983" max="9983" width="32.28515625" style="1" customWidth="1"/>
    <col min="9984" max="9984" width="50" style="1" customWidth="1"/>
    <col min="9985" max="9985" width="48.28515625" style="1" customWidth="1"/>
    <col min="9986" max="9986" width="64" style="1" customWidth="1"/>
    <col min="9987" max="10030" width="12" style="1" customWidth="1"/>
    <col min="10031" max="10238" width="13.28515625" style="1"/>
    <col min="10239" max="10239" width="32.28515625" style="1" customWidth="1"/>
    <col min="10240" max="10240" width="50" style="1" customWidth="1"/>
    <col min="10241" max="10241" width="48.28515625" style="1" customWidth="1"/>
    <col min="10242" max="10242" width="64" style="1" customWidth="1"/>
    <col min="10243" max="10286" width="12" style="1" customWidth="1"/>
    <col min="10287" max="10494" width="13.28515625" style="1"/>
    <col min="10495" max="10495" width="32.28515625" style="1" customWidth="1"/>
    <col min="10496" max="10496" width="50" style="1" customWidth="1"/>
    <col min="10497" max="10497" width="48.28515625" style="1" customWidth="1"/>
    <col min="10498" max="10498" width="64" style="1" customWidth="1"/>
    <col min="10499" max="10542" width="12" style="1" customWidth="1"/>
    <col min="10543" max="10750" width="13.28515625" style="1"/>
    <col min="10751" max="10751" width="32.28515625" style="1" customWidth="1"/>
    <col min="10752" max="10752" width="50" style="1" customWidth="1"/>
    <col min="10753" max="10753" width="48.28515625" style="1" customWidth="1"/>
    <col min="10754" max="10754" width="64" style="1" customWidth="1"/>
    <col min="10755" max="10798" width="12" style="1" customWidth="1"/>
    <col min="10799" max="11006" width="13.28515625" style="1"/>
    <col min="11007" max="11007" width="32.28515625" style="1" customWidth="1"/>
    <col min="11008" max="11008" width="50" style="1" customWidth="1"/>
    <col min="11009" max="11009" width="48.28515625" style="1" customWidth="1"/>
    <col min="11010" max="11010" width="64" style="1" customWidth="1"/>
    <col min="11011" max="11054" width="12" style="1" customWidth="1"/>
    <col min="11055" max="11262" width="13.28515625" style="1"/>
    <col min="11263" max="11263" width="32.28515625" style="1" customWidth="1"/>
    <col min="11264" max="11264" width="50" style="1" customWidth="1"/>
    <col min="11265" max="11265" width="48.28515625" style="1" customWidth="1"/>
    <col min="11266" max="11266" width="64" style="1" customWidth="1"/>
    <col min="11267" max="11310" width="12" style="1" customWidth="1"/>
    <col min="11311" max="11518" width="13.28515625" style="1"/>
    <col min="11519" max="11519" width="32.28515625" style="1" customWidth="1"/>
    <col min="11520" max="11520" width="50" style="1" customWidth="1"/>
    <col min="11521" max="11521" width="48.28515625" style="1" customWidth="1"/>
    <col min="11522" max="11522" width="64" style="1" customWidth="1"/>
    <col min="11523" max="11566" width="12" style="1" customWidth="1"/>
    <col min="11567" max="11774" width="13.28515625" style="1"/>
    <col min="11775" max="11775" width="32.28515625" style="1" customWidth="1"/>
    <col min="11776" max="11776" width="50" style="1" customWidth="1"/>
    <col min="11777" max="11777" width="48.28515625" style="1" customWidth="1"/>
    <col min="11778" max="11778" width="64" style="1" customWidth="1"/>
    <col min="11779" max="11822" width="12" style="1" customWidth="1"/>
    <col min="11823" max="12030" width="13.28515625" style="1"/>
    <col min="12031" max="12031" width="32.28515625" style="1" customWidth="1"/>
    <col min="12032" max="12032" width="50" style="1" customWidth="1"/>
    <col min="12033" max="12033" width="48.28515625" style="1" customWidth="1"/>
    <col min="12034" max="12034" width="64" style="1" customWidth="1"/>
    <col min="12035" max="12078" width="12" style="1" customWidth="1"/>
    <col min="12079" max="12286" width="13.28515625" style="1"/>
    <col min="12287" max="12287" width="32.28515625" style="1" customWidth="1"/>
    <col min="12288" max="12288" width="50" style="1" customWidth="1"/>
    <col min="12289" max="12289" width="48.28515625" style="1" customWidth="1"/>
    <col min="12290" max="12290" width="64" style="1" customWidth="1"/>
    <col min="12291" max="12334" width="12" style="1" customWidth="1"/>
    <col min="12335" max="12542" width="13.28515625" style="1"/>
    <col min="12543" max="12543" width="32.28515625" style="1" customWidth="1"/>
    <col min="12544" max="12544" width="50" style="1" customWidth="1"/>
    <col min="12545" max="12545" width="48.28515625" style="1" customWidth="1"/>
    <col min="12546" max="12546" width="64" style="1" customWidth="1"/>
    <col min="12547" max="12590" width="12" style="1" customWidth="1"/>
    <col min="12591" max="12798" width="13.28515625" style="1"/>
    <col min="12799" max="12799" width="32.28515625" style="1" customWidth="1"/>
    <col min="12800" max="12800" width="50" style="1" customWidth="1"/>
    <col min="12801" max="12801" width="48.28515625" style="1" customWidth="1"/>
    <col min="12802" max="12802" width="64" style="1" customWidth="1"/>
    <col min="12803" max="12846" width="12" style="1" customWidth="1"/>
    <col min="12847" max="13054" width="13.28515625" style="1"/>
    <col min="13055" max="13055" width="32.28515625" style="1" customWidth="1"/>
    <col min="13056" max="13056" width="50" style="1" customWidth="1"/>
    <col min="13057" max="13057" width="48.28515625" style="1" customWidth="1"/>
    <col min="13058" max="13058" width="64" style="1" customWidth="1"/>
    <col min="13059" max="13102" width="12" style="1" customWidth="1"/>
    <col min="13103" max="13310" width="13.28515625" style="1"/>
    <col min="13311" max="13311" width="32.28515625" style="1" customWidth="1"/>
    <col min="13312" max="13312" width="50" style="1" customWidth="1"/>
    <col min="13313" max="13313" width="48.28515625" style="1" customWidth="1"/>
    <col min="13314" max="13314" width="64" style="1" customWidth="1"/>
    <col min="13315" max="13358" width="12" style="1" customWidth="1"/>
    <col min="13359" max="13566" width="13.28515625" style="1"/>
    <col min="13567" max="13567" width="32.28515625" style="1" customWidth="1"/>
    <col min="13568" max="13568" width="50" style="1" customWidth="1"/>
    <col min="13569" max="13569" width="48.28515625" style="1" customWidth="1"/>
    <col min="13570" max="13570" width="64" style="1" customWidth="1"/>
    <col min="13571" max="13614" width="12" style="1" customWidth="1"/>
    <col min="13615" max="13822" width="13.28515625" style="1"/>
    <col min="13823" max="13823" width="32.28515625" style="1" customWidth="1"/>
    <col min="13824" max="13824" width="50" style="1" customWidth="1"/>
    <col min="13825" max="13825" width="48.28515625" style="1" customWidth="1"/>
    <col min="13826" max="13826" width="64" style="1" customWidth="1"/>
    <col min="13827" max="13870" width="12" style="1" customWidth="1"/>
    <col min="13871" max="14078" width="13.28515625" style="1"/>
    <col min="14079" max="14079" width="32.28515625" style="1" customWidth="1"/>
    <col min="14080" max="14080" width="50" style="1" customWidth="1"/>
    <col min="14081" max="14081" width="48.28515625" style="1" customWidth="1"/>
    <col min="14082" max="14082" width="64" style="1" customWidth="1"/>
    <col min="14083" max="14126" width="12" style="1" customWidth="1"/>
    <col min="14127" max="14334" width="13.28515625" style="1"/>
    <col min="14335" max="14335" width="32.28515625" style="1" customWidth="1"/>
    <col min="14336" max="14336" width="50" style="1" customWidth="1"/>
    <col min="14337" max="14337" width="48.28515625" style="1" customWidth="1"/>
    <col min="14338" max="14338" width="64" style="1" customWidth="1"/>
    <col min="14339" max="14382" width="12" style="1" customWidth="1"/>
    <col min="14383" max="14590" width="13.28515625" style="1"/>
    <col min="14591" max="14591" width="32.28515625" style="1" customWidth="1"/>
    <col min="14592" max="14592" width="50" style="1" customWidth="1"/>
    <col min="14593" max="14593" width="48.28515625" style="1" customWidth="1"/>
    <col min="14594" max="14594" width="64" style="1" customWidth="1"/>
    <col min="14595" max="14638" width="12" style="1" customWidth="1"/>
    <col min="14639" max="14846" width="13.28515625" style="1"/>
    <col min="14847" max="14847" width="32.28515625" style="1" customWidth="1"/>
    <col min="14848" max="14848" width="50" style="1" customWidth="1"/>
    <col min="14849" max="14849" width="48.28515625" style="1" customWidth="1"/>
    <col min="14850" max="14850" width="64" style="1" customWidth="1"/>
    <col min="14851" max="14894" width="12" style="1" customWidth="1"/>
    <col min="14895" max="15102" width="13.28515625" style="1"/>
    <col min="15103" max="15103" width="32.28515625" style="1" customWidth="1"/>
    <col min="15104" max="15104" width="50" style="1" customWidth="1"/>
    <col min="15105" max="15105" width="48.28515625" style="1" customWidth="1"/>
    <col min="15106" max="15106" width="64" style="1" customWidth="1"/>
    <col min="15107" max="15150" width="12" style="1" customWidth="1"/>
    <col min="15151" max="15358" width="13.28515625" style="1"/>
    <col min="15359" max="15359" width="32.28515625" style="1" customWidth="1"/>
    <col min="15360" max="15360" width="50" style="1" customWidth="1"/>
    <col min="15361" max="15361" width="48.28515625" style="1" customWidth="1"/>
    <col min="15362" max="15362" width="64" style="1" customWidth="1"/>
    <col min="15363" max="15406" width="12" style="1" customWidth="1"/>
    <col min="15407" max="15614" width="13.28515625" style="1"/>
    <col min="15615" max="15615" width="32.28515625" style="1" customWidth="1"/>
    <col min="15616" max="15616" width="50" style="1" customWidth="1"/>
    <col min="15617" max="15617" width="48.28515625" style="1" customWidth="1"/>
    <col min="15618" max="15618" width="64" style="1" customWidth="1"/>
    <col min="15619" max="15662" width="12" style="1" customWidth="1"/>
    <col min="15663" max="15870" width="13.28515625" style="1"/>
    <col min="15871" max="15871" width="32.28515625" style="1" customWidth="1"/>
    <col min="15872" max="15872" width="50" style="1" customWidth="1"/>
    <col min="15873" max="15873" width="48.28515625" style="1" customWidth="1"/>
    <col min="15874" max="15874" width="64" style="1" customWidth="1"/>
    <col min="15875" max="15918" width="12" style="1" customWidth="1"/>
    <col min="15919" max="16126" width="13.28515625" style="1"/>
    <col min="16127" max="16127" width="32.28515625" style="1" customWidth="1"/>
    <col min="16128" max="16128" width="50" style="1" customWidth="1"/>
    <col min="16129" max="16129" width="48.28515625" style="1" customWidth="1"/>
    <col min="16130" max="16130" width="64" style="1" customWidth="1"/>
    <col min="16131" max="16174" width="12" style="1" customWidth="1"/>
    <col min="16175" max="16384" width="13.28515625" style="1"/>
  </cols>
  <sheetData>
    <row r="1" spans="1:4" ht="20.100000000000001" customHeight="1" x14ac:dyDescent="0.2"/>
    <row r="2" spans="1:4" x14ac:dyDescent="0.2">
      <c r="A2" s="2" t="s">
        <v>4</v>
      </c>
      <c r="B2" s="2" t="s">
        <v>5</v>
      </c>
      <c r="C2" s="2" t="s">
        <v>6</v>
      </c>
      <c r="D2" s="2"/>
    </row>
    <row r="3" spans="1:4" ht="16.350000000000001" customHeight="1" x14ac:dyDescent="0.25">
      <c r="A3" s="456" t="s">
        <v>24</v>
      </c>
      <c r="B3" s="456" t="s">
        <v>18</v>
      </c>
      <c r="C3" s="402" t="s">
        <v>47</v>
      </c>
      <c r="D3" s="21"/>
    </row>
    <row r="4" spans="1:4" ht="15.75" x14ac:dyDescent="0.25">
      <c r="A4" s="456"/>
      <c r="B4" s="456"/>
      <c r="C4" s="402"/>
      <c r="D4" s="21"/>
    </row>
    <row r="5" spans="1:4" ht="15.75" x14ac:dyDescent="0.25">
      <c r="A5" s="456"/>
      <c r="B5" s="456"/>
      <c r="C5" s="402"/>
      <c r="D5" s="21"/>
    </row>
    <row r="6" spans="1:4" ht="16.350000000000001" customHeight="1" x14ac:dyDescent="0.25">
      <c r="A6" s="456"/>
      <c r="B6" s="456"/>
      <c r="C6" s="402" t="s">
        <v>116</v>
      </c>
      <c r="D6" s="21"/>
    </row>
    <row r="7" spans="1:4" ht="15.75" x14ac:dyDescent="0.25">
      <c r="A7" s="456"/>
      <c r="B7" s="456"/>
      <c r="C7" s="402"/>
      <c r="D7" s="21"/>
    </row>
    <row r="8" spans="1:4" ht="15.75" x14ac:dyDescent="0.25">
      <c r="A8" s="456"/>
      <c r="B8" s="456"/>
      <c r="C8" s="402"/>
      <c r="D8" s="21"/>
    </row>
    <row r="9" spans="1:4" ht="16.350000000000001" customHeight="1" x14ac:dyDescent="0.25">
      <c r="A9" s="456"/>
      <c r="B9" s="456"/>
      <c r="C9" s="402" t="s">
        <v>117</v>
      </c>
      <c r="D9" s="21"/>
    </row>
    <row r="10" spans="1:4" ht="15.75" x14ac:dyDescent="0.25">
      <c r="A10" s="456"/>
      <c r="B10" s="456"/>
      <c r="C10" s="402"/>
      <c r="D10" s="21"/>
    </row>
    <row r="11" spans="1:4" ht="15.75" x14ac:dyDescent="0.25">
      <c r="A11" s="456"/>
      <c r="B11" s="456"/>
      <c r="C11" s="402"/>
      <c r="D11" s="21"/>
    </row>
    <row r="12" spans="1:4" ht="16.350000000000001" customHeight="1" x14ac:dyDescent="0.25">
      <c r="A12" s="456"/>
      <c r="B12" s="456"/>
      <c r="C12" s="402" t="s">
        <v>118</v>
      </c>
      <c r="D12" s="21"/>
    </row>
    <row r="13" spans="1:4" ht="15.75" x14ac:dyDescent="0.25">
      <c r="A13" s="456"/>
      <c r="B13" s="456"/>
      <c r="C13" s="402"/>
      <c r="D13" s="21"/>
    </row>
    <row r="14" spans="1:4" ht="15.75" x14ac:dyDescent="0.25">
      <c r="A14" s="456"/>
      <c r="B14" s="456"/>
      <c r="C14" s="402"/>
      <c r="D14" s="21"/>
    </row>
    <row r="15" spans="1:4" ht="16.350000000000001" customHeight="1" x14ac:dyDescent="0.25">
      <c r="A15" s="456"/>
      <c r="B15" s="456"/>
      <c r="C15" s="402" t="s">
        <v>119</v>
      </c>
      <c r="D15" s="21"/>
    </row>
    <row r="16" spans="1:4" ht="15.75" x14ac:dyDescent="0.25">
      <c r="A16" s="456"/>
      <c r="B16" s="456"/>
      <c r="C16" s="402"/>
      <c r="D16" s="21"/>
    </row>
    <row r="17" spans="1:4" ht="15.75" x14ac:dyDescent="0.25">
      <c r="A17" s="456"/>
      <c r="B17" s="456"/>
      <c r="C17" s="402"/>
      <c r="D17" s="21"/>
    </row>
    <row r="18" spans="1:4" ht="16.350000000000001" customHeight="1" x14ac:dyDescent="0.25">
      <c r="A18" s="456"/>
      <c r="B18" s="456"/>
      <c r="C18" s="402" t="s">
        <v>120</v>
      </c>
      <c r="D18" s="21"/>
    </row>
    <row r="19" spans="1:4" ht="15.75" x14ac:dyDescent="0.25">
      <c r="A19" s="456"/>
      <c r="B19" s="456"/>
      <c r="C19" s="402"/>
      <c r="D19" s="21"/>
    </row>
    <row r="20" spans="1:4" ht="15.75" x14ac:dyDescent="0.25">
      <c r="A20" s="456"/>
      <c r="B20" s="456"/>
      <c r="C20" s="402"/>
      <c r="D20" s="21"/>
    </row>
    <row r="21" spans="1:4" ht="16.350000000000001" customHeight="1" x14ac:dyDescent="0.25">
      <c r="A21" s="456"/>
      <c r="B21" s="456"/>
      <c r="C21" s="402" t="s">
        <v>121</v>
      </c>
      <c r="D21" s="21"/>
    </row>
    <row r="22" spans="1:4" ht="15.75" x14ac:dyDescent="0.25">
      <c r="A22" s="456"/>
      <c r="B22" s="456"/>
      <c r="C22" s="402"/>
      <c r="D22" s="21"/>
    </row>
    <row r="23" spans="1:4" ht="15.75" x14ac:dyDescent="0.25">
      <c r="A23" s="456"/>
      <c r="B23" s="456"/>
      <c r="C23" s="402"/>
      <c r="D23" s="21"/>
    </row>
    <row r="24" spans="1:4" ht="16.350000000000001" customHeight="1" x14ac:dyDescent="0.25">
      <c r="A24" s="456"/>
      <c r="B24" s="456" t="s">
        <v>19</v>
      </c>
      <c r="C24" s="402" t="s">
        <v>30</v>
      </c>
      <c r="D24" s="21"/>
    </row>
    <row r="25" spans="1:4" ht="15.75" x14ac:dyDescent="0.25">
      <c r="A25" s="456"/>
      <c r="B25" s="456"/>
      <c r="C25" s="402"/>
      <c r="D25" s="21"/>
    </row>
    <row r="26" spans="1:4" ht="15.75" x14ac:dyDescent="0.25">
      <c r="A26" s="456"/>
      <c r="B26" s="456"/>
      <c r="C26" s="402"/>
      <c r="D26" s="21"/>
    </row>
    <row r="27" spans="1:4" ht="16.350000000000001" customHeight="1" x14ac:dyDescent="0.25">
      <c r="A27" s="456"/>
      <c r="B27" s="456"/>
      <c r="C27" s="402" t="s">
        <v>31</v>
      </c>
      <c r="D27" s="21"/>
    </row>
    <row r="28" spans="1:4" ht="15.75" x14ac:dyDescent="0.25">
      <c r="A28" s="456"/>
      <c r="B28" s="456"/>
      <c r="C28" s="402"/>
      <c r="D28" s="21"/>
    </row>
    <row r="29" spans="1:4" ht="15.75" x14ac:dyDescent="0.25">
      <c r="A29" s="456"/>
      <c r="B29" s="456"/>
      <c r="C29" s="402"/>
      <c r="D29" s="21"/>
    </row>
    <row r="30" spans="1:4" ht="16.350000000000001" customHeight="1" x14ac:dyDescent="0.25">
      <c r="A30" s="456"/>
      <c r="B30" s="456"/>
      <c r="C30" s="402" t="s">
        <v>32</v>
      </c>
      <c r="D30" s="21"/>
    </row>
    <row r="31" spans="1:4" ht="15.75" x14ac:dyDescent="0.25">
      <c r="A31" s="456"/>
      <c r="B31" s="456"/>
      <c r="C31" s="402"/>
      <c r="D31" s="21"/>
    </row>
    <row r="32" spans="1:4" ht="15.75" x14ac:dyDescent="0.25">
      <c r="A32" s="456"/>
      <c r="B32" s="456"/>
      <c r="C32" s="402"/>
      <c r="D32" s="21"/>
    </row>
    <row r="33" spans="1:4" ht="16.350000000000001" customHeight="1" x14ac:dyDescent="0.25">
      <c r="A33" s="456"/>
      <c r="B33" s="456"/>
      <c r="C33" s="402" t="s">
        <v>33</v>
      </c>
      <c r="D33" s="21"/>
    </row>
    <row r="34" spans="1:4" ht="15.75" x14ac:dyDescent="0.25">
      <c r="A34" s="456"/>
      <c r="B34" s="456"/>
      <c r="C34" s="402"/>
      <c r="D34" s="21"/>
    </row>
    <row r="35" spans="1:4" ht="15.75" x14ac:dyDescent="0.25">
      <c r="A35" s="456"/>
      <c r="B35" s="456"/>
      <c r="C35" s="402"/>
      <c r="D35" s="21"/>
    </row>
    <row r="36" spans="1:4" ht="16.350000000000001" customHeight="1" x14ac:dyDescent="0.25">
      <c r="A36" s="456"/>
      <c r="B36" s="456"/>
      <c r="C36" s="402" t="s">
        <v>150</v>
      </c>
      <c r="D36" s="21"/>
    </row>
    <row r="37" spans="1:4" ht="15.75" x14ac:dyDescent="0.25">
      <c r="A37" s="456"/>
      <c r="B37" s="456"/>
      <c r="C37" s="402"/>
      <c r="D37" s="21"/>
    </row>
    <row r="38" spans="1:4" ht="15.75" x14ac:dyDescent="0.25">
      <c r="A38" s="456"/>
      <c r="B38" s="456"/>
      <c r="C38" s="402"/>
      <c r="D38" s="21"/>
    </row>
    <row r="39" spans="1:4" ht="16.350000000000001" customHeight="1" x14ac:dyDescent="0.25">
      <c r="A39" s="456"/>
      <c r="B39" s="456"/>
      <c r="C39" s="402" t="s">
        <v>34</v>
      </c>
      <c r="D39" s="21"/>
    </row>
    <row r="40" spans="1:4" ht="15.75" x14ac:dyDescent="0.25">
      <c r="A40" s="456"/>
      <c r="B40" s="456"/>
      <c r="C40" s="402"/>
      <c r="D40" s="21"/>
    </row>
    <row r="41" spans="1:4" ht="15.75" x14ac:dyDescent="0.25">
      <c r="A41" s="456"/>
      <c r="B41" s="456"/>
      <c r="C41" s="402"/>
      <c r="D41" s="21"/>
    </row>
    <row r="42" spans="1:4" ht="16.350000000000001" customHeight="1" x14ac:dyDescent="0.25">
      <c r="A42" s="456"/>
      <c r="B42" s="456"/>
      <c r="C42" s="402" t="s">
        <v>35</v>
      </c>
      <c r="D42" s="21"/>
    </row>
    <row r="43" spans="1:4" ht="15.75" x14ac:dyDescent="0.25">
      <c r="A43" s="456"/>
      <c r="B43" s="456"/>
      <c r="C43" s="402"/>
      <c r="D43" s="21"/>
    </row>
    <row r="44" spans="1:4" ht="15.75" x14ac:dyDescent="0.25">
      <c r="A44" s="456"/>
      <c r="B44" s="456"/>
      <c r="C44" s="402"/>
      <c r="D44" s="21"/>
    </row>
    <row r="45" spans="1:4" ht="16.350000000000001" customHeight="1" x14ac:dyDescent="0.25">
      <c r="A45" s="456"/>
      <c r="B45" s="456"/>
      <c r="C45" s="402" t="s">
        <v>36</v>
      </c>
      <c r="D45" s="21"/>
    </row>
    <row r="46" spans="1:4" ht="15.75" x14ac:dyDescent="0.25">
      <c r="A46" s="456"/>
      <c r="B46" s="456"/>
      <c r="C46" s="402"/>
      <c r="D46" s="21"/>
    </row>
    <row r="47" spans="1:4" ht="15.75" x14ac:dyDescent="0.25">
      <c r="A47" s="456"/>
      <c r="B47" s="456"/>
      <c r="C47" s="402"/>
      <c r="D47" s="21"/>
    </row>
    <row r="48" spans="1:4" ht="16.350000000000001" customHeight="1" x14ac:dyDescent="0.25">
      <c r="A48" s="456"/>
      <c r="B48" s="456" t="s">
        <v>20</v>
      </c>
      <c r="C48" s="402" t="s">
        <v>41</v>
      </c>
      <c r="D48" s="21"/>
    </row>
    <row r="49" spans="1:4" ht="15.75" x14ac:dyDescent="0.25">
      <c r="A49" s="456"/>
      <c r="B49" s="456"/>
      <c r="C49" s="402"/>
      <c r="D49" s="21"/>
    </row>
    <row r="50" spans="1:4" ht="15.75" x14ac:dyDescent="0.25">
      <c r="A50" s="456"/>
      <c r="B50" s="456"/>
      <c r="C50" s="402"/>
      <c r="D50" s="21"/>
    </row>
    <row r="51" spans="1:4" ht="16.350000000000001" customHeight="1" x14ac:dyDescent="0.25">
      <c r="A51" s="456"/>
      <c r="B51" s="456"/>
      <c r="C51" s="402" t="s">
        <v>42</v>
      </c>
      <c r="D51" s="21"/>
    </row>
    <row r="52" spans="1:4" ht="15.75" x14ac:dyDescent="0.25">
      <c r="A52" s="456"/>
      <c r="B52" s="456"/>
      <c r="C52" s="402"/>
      <c r="D52" s="21"/>
    </row>
    <row r="53" spans="1:4" ht="15.75" x14ac:dyDescent="0.25">
      <c r="A53" s="456"/>
      <c r="B53" s="456"/>
      <c r="C53" s="402"/>
      <c r="D53" s="21"/>
    </row>
    <row r="54" spans="1:4" ht="16.350000000000001" customHeight="1" x14ac:dyDescent="0.25">
      <c r="A54" s="456"/>
      <c r="B54" s="456"/>
      <c r="C54" s="402" t="s">
        <v>43</v>
      </c>
      <c r="D54" s="21"/>
    </row>
    <row r="55" spans="1:4" ht="15.75" x14ac:dyDescent="0.25">
      <c r="A55" s="456"/>
      <c r="B55" s="456"/>
      <c r="C55" s="402"/>
      <c r="D55" s="21"/>
    </row>
    <row r="56" spans="1:4" ht="15.75" x14ac:dyDescent="0.25">
      <c r="A56" s="456"/>
      <c r="B56" s="456"/>
      <c r="C56" s="402"/>
      <c r="D56" s="21"/>
    </row>
    <row r="57" spans="1:4" ht="16.350000000000001" customHeight="1" x14ac:dyDescent="0.25">
      <c r="A57" s="456"/>
      <c r="B57" s="456"/>
      <c r="C57" s="402" t="s">
        <v>44</v>
      </c>
      <c r="D57" s="21"/>
    </row>
    <row r="58" spans="1:4" ht="15.75" x14ac:dyDescent="0.25">
      <c r="A58" s="456"/>
      <c r="B58" s="456"/>
      <c r="C58" s="402"/>
      <c r="D58" s="21"/>
    </row>
    <row r="59" spans="1:4" ht="15.75" x14ac:dyDescent="0.25">
      <c r="A59" s="456"/>
      <c r="B59" s="456"/>
      <c r="C59" s="402"/>
      <c r="D59" s="21"/>
    </row>
    <row r="60" spans="1:4" ht="16.350000000000001" customHeight="1" x14ac:dyDescent="0.25">
      <c r="A60" s="456"/>
      <c r="B60" s="456"/>
      <c r="C60" s="402" t="s">
        <v>45</v>
      </c>
      <c r="D60" s="21"/>
    </row>
    <row r="61" spans="1:4" ht="15.75" x14ac:dyDescent="0.25">
      <c r="A61" s="456"/>
      <c r="B61" s="456"/>
      <c r="C61" s="402"/>
      <c r="D61" s="21"/>
    </row>
    <row r="62" spans="1:4" ht="15.75" x14ac:dyDescent="0.25">
      <c r="A62" s="456"/>
      <c r="B62" s="456"/>
      <c r="C62" s="402"/>
      <c r="D62" s="21"/>
    </row>
    <row r="63" spans="1:4" ht="16.350000000000001" customHeight="1" x14ac:dyDescent="0.25">
      <c r="A63" s="456"/>
      <c r="B63" s="456"/>
      <c r="C63" s="402" t="s">
        <v>46</v>
      </c>
      <c r="D63" s="21"/>
    </row>
    <row r="64" spans="1:4" ht="15.75" x14ac:dyDescent="0.25">
      <c r="A64" s="456"/>
      <c r="B64" s="456"/>
      <c r="C64" s="402"/>
      <c r="D64" s="21"/>
    </row>
    <row r="65" spans="1:4" ht="15.75" x14ac:dyDescent="0.25">
      <c r="A65" s="456"/>
      <c r="B65" s="456"/>
      <c r="C65" s="402"/>
      <c r="D65" s="21"/>
    </row>
    <row r="66" spans="1:4" ht="16.350000000000001" customHeight="1" x14ac:dyDescent="0.25">
      <c r="A66" s="456"/>
      <c r="B66" s="402" t="s">
        <v>21</v>
      </c>
      <c r="C66" s="402" t="s">
        <v>122</v>
      </c>
      <c r="D66" s="21"/>
    </row>
    <row r="67" spans="1:4" ht="15.75" x14ac:dyDescent="0.25">
      <c r="A67" s="456"/>
      <c r="B67" s="402"/>
      <c r="C67" s="402"/>
      <c r="D67" s="21"/>
    </row>
    <row r="68" spans="1:4" ht="15.75" x14ac:dyDescent="0.25">
      <c r="A68" s="456"/>
      <c r="B68" s="402"/>
      <c r="C68" s="402"/>
      <c r="D68" s="21"/>
    </row>
    <row r="69" spans="1:4" ht="16.350000000000001" customHeight="1" x14ac:dyDescent="0.25">
      <c r="A69" s="456"/>
      <c r="B69" s="402"/>
      <c r="C69" s="402" t="s">
        <v>123</v>
      </c>
      <c r="D69" s="21"/>
    </row>
    <row r="70" spans="1:4" ht="15.75" x14ac:dyDescent="0.25">
      <c r="A70" s="456"/>
      <c r="B70" s="402"/>
      <c r="C70" s="402"/>
      <c r="D70" s="21"/>
    </row>
    <row r="71" spans="1:4" ht="15.75" x14ac:dyDescent="0.25">
      <c r="A71" s="456"/>
      <c r="B71" s="402"/>
      <c r="C71" s="402"/>
      <c r="D71" s="21"/>
    </row>
    <row r="72" spans="1:4" ht="16.350000000000001" customHeight="1" x14ac:dyDescent="0.25">
      <c r="A72" s="456"/>
      <c r="B72" s="402"/>
      <c r="C72" s="402" t="s">
        <v>124</v>
      </c>
      <c r="D72" s="21"/>
    </row>
    <row r="73" spans="1:4" ht="15.75" x14ac:dyDescent="0.25">
      <c r="A73" s="456"/>
      <c r="B73" s="402"/>
      <c r="C73" s="402"/>
      <c r="D73" s="21"/>
    </row>
    <row r="74" spans="1:4" ht="15.75" x14ac:dyDescent="0.25">
      <c r="A74" s="456"/>
      <c r="B74" s="402"/>
      <c r="C74" s="402"/>
      <c r="D74" s="21"/>
    </row>
    <row r="75" spans="1:4" ht="16.350000000000001" customHeight="1" x14ac:dyDescent="0.25">
      <c r="A75" s="456"/>
      <c r="B75" s="402"/>
      <c r="C75" s="402" t="s">
        <v>125</v>
      </c>
      <c r="D75" s="21"/>
    </row>
    <row r="76" spans="1:4" ht="15.75" x14ac:dyDescent="0.25">
      <c r="A76" s="456"/>
      <c r="B76" s="402"/>
      <c r="C76" s="402"/>
      <c r="D76" s="21"/>
    </row>
    <row r="77" spans="1:4" ht="15.75" x14ac:dyDescent="0.25">
      <c r="A77" s="456"/>
      <c r="B77" s="402"/>
      <c r="C77" s="402"/>
      <c r="D77" s="21"/>
    </row>
    <row r="78" spans="1:4" ht="16.350000000000001" customHeight="1" x14ac:dyDescent="0.25">
      <c r="A78" s="456"/>
      <c r="B78" s="402"/>
      <c r="C78" s="402" t="s">
        <v>126</v>
      </c>
      <c r="D78" s="21"/>
    </row>
    <row r="79" spans="1:4" ht="15.75" x14ac:dyDescent="0.25">
      <c r="A79" s="456"/>
      <c r="B79" s="402"/>
      <c r="C79" s="402"/>
      <c r="D79" s="21"/>
    </row>
    <row r="80" spans="1:4" ht="15.75" x14ac:dyDescent="0.25">
      <c r="A80" s="456"/>
      <c r="B80" s="402"/>
      <c r="C80" s="402"/>
      <c r="D80" s="21"/>
    </row>
    <row r="81" spans="1:4" ht="16.350000000000001" customHeight="1" x14ac:dyDescent="0.25">
      <c r="A81" s="456"/>
      <c r="B81" s="402" t="s">
        <v>37</v>
      </c>
      <c r="C81" s="402" t="s">
        <v>25</v>
      </c>
      <c r="D81" s="21"/>
    </row>
    <row r="82" spans="1:4" ht="15.75" x14ac:dyDescent="0.25">
      <c r="A82" s="456"/>
      <c r="B82" s="402"/>
      <c r="C82" s="402"/>
      <c r="D82" s="21"/>
    </row>
    <row r="83" spans="1:4" ht="15.75" x14ac:dyDescent="0.25">
      <c r="A83" s="456"/>
      <c r="B83" s="402"/>
      <c r="C83" s="402"/>
      <c r="D83" s="21"/>
    </row>
    <row r="84" spans="1:4" ht="16.350000000000001" customHeight="1" x14ac:dyDescent="0.25">
      <c r="A84" s="456"/>
      <c r="B84" s="402"/>
      <c r="C84" s="402" t="s">
        <v>26</v>
      </c>
      <c r="D84" s="21"/>
    </row>
    <row r="85" spans="1:4" ht="15.75" x14ac:dyDescent="0.25">
      <c r="A85" s="456"/>
      <c r="B85" s="402"/>
      <c r="C85" s="402"/>
      <c r="D85" s="21"/>
    </row>
    <row r="86" spans="1:4" ht="15.75" x14ac:dyDescent="0.25">
      <c r="A86" s="456"/>
      <c r="B86" s="402"/>
      <c r="C86" s="402"/>
      <c r="D86" s="21"/>
    </row>
    <row r="87" spans="1:4" ht="16.350000000000001" customHeight="1" x14ac:dyDescent="0.25">
      <c r="A87" s="456"/>
      <c r="B87" s="402"/>
      <c r="C87" s="402" t="s">
        <v>27</v>
      </c>
      <c r="D87" s="21"/>
    </row>
    <row r="88" spans="1:4" ht="15.75" x14ac:dyDescent="0.25">
      <c r="A88" s="456"/>
      <c r="B88" s="402"/>
      <c r="C88" s="402"/>
      <c r="D88" s="21"/>
    </row>
    <row r="89" spans="1:4" ht="15.75" x14ac:dyDescent="0.25">
      <c r="A89" s="456"/>
      <c r="B89" s="402"/>
      <c r="C89" s="402"/>
      <c r="D89" s="21"/>
    </row>
    <row r="90" spans="1:4" ht="16.350000000000001" customHeight="1" x14ac:dyDescent="0.25">
      <c r="A90" s="456"/>
      <c r="B90" s="402"/>
      <c r="C90" s="402" t="s">
        <v>28</v>
      </c>
      <c r="D90" s="21"/>
    </row>
    <row r="91" spans="1:4" ht="15.75" x14ac:dyDescent="0.25">
      <c r="A91" s="456"/>
      <c r="B91" s="402"/>
      <c r="C91" s="402"/>
      <c r="D91" s="21"/>
    </row>
    <row r="92" spans="1:4" ht="15.75" x14ac:dyDescent="0.25">
      <c r="A92" s="456"/>
      <c r="B92" s="402"/>
      <c r="C92" s="402"/>
      <c r="D92" s="21"/>
    </row>
    <row r="93" spans="1:4" ht="16.350000000000001" customHeight="1" x14ac:dyDescent="0.25">
      <c r="A93" s="456"/>
      <c r="B93" s="402"/>
      <c r="C93" s="402" t="s">
        <v>151</v>
      </c>
      <c r="D93" s="21"/>
    </row>
    <row r="94" spans="1:4" ht="15.75" x14ac:dyDescent="0.25">
      <c r="A94" s="456"/>
      <c r="B94" s="402"/>
      <c r="C94" s="402"/>
      <c r="D94" s="21"/>
    </row>
    <row r="95" spans="1:4" ht="15.75" x14ac:dyDescent="0.25">
      <c r="A95" s="456"/>
      <c r="B95" s="402"/>
      <c r="C95" s="402"/>
      <c r="D95" s="21"/>
    </row>
    <row r="96" spans="1:4" ht="16.350000000000001" customHeight="1" x14ac:dyDescent="0.25">
      <c r="A96" s="456"/>
      <c r="B96" s="402"/>
      <c r="C96" s="402" t="s">
        <v>29</v>
      </c>
      <c r="D96" s="21"/>
    </row>
    <row r="97" spans="1:4" ht="15.75" x14ac:dyDescent="0.25">
      <c r="A97" s="456"/>
      <c r="B97" s="402"/>
      <c r="C97" s="402"/>
      <c r="D97" s="21"/>
    </row>
    <row r="98" spans="1:4" ht="15.75" x14ac:dyDescent="0.25">
      <c r="A98" s="456"/>
      <c r="B98" s="402"/>
      <c r="C98" s="402"/>
      <c r="D98" s="21"/>
    </row>
    <row r="99" spans="1:4" ht="16.350000000000001" customHeight="1" x14ac:dyDescent="0.25">
      <c r="A99" s="456"/>
      <c r="B99" s="402" t="s">
        <v>22</v>
      </c>
      <c r="C99" s="402" t="s">
        <v>48</v>
      </c>
      <c r="D99" s="21"/>
    </row>
    <row r="100" spans="1:4" ht="15.75" x14ac:dyDescent="0.25">
      <c r="A100" s="456"/>
      <c r="B100" s="402"/>
      <c r="C100" s="402"/>
      <c r="D100" s="21"/>
    </row>
    <row r="101" spans="1:4" ht="15.75" x14ac:dyDescent="0.25">
      <c r="A101" s="456"/>
      <c r="B101" s="402"/>
      <c r="C101" s="402"/>
      <c r="D101" s="21"/>
    </row>
    <row r="102" spans="1:4" ht="16.350000000000001" customHeight="1" x14ac:dyDescent="0.25">
      <c r="A102" s="456"/>
      <c r="B102" s="402"/>
      <c r="C102" s="402" t="s">
        <v>49</v>
      </c>
      <c r="D102" s="21"/>
    </row>
    <row r="103" spans="1:4" ht="15.75" x14ac:dyDescent="0.25">
      <c r="A103" s="456"/>
      <c r="B103" s="402"/>
      <c r="C103" s="402"/>
      <c r="D103" s="21"/>
    </row>
    <row r="104" spans="1:4" ht="15.75" x14ac:dyDescent="0.25">
      <c r="A104" s="456"/>
      <c r="B104" s="402"/>
      <c r="C104" s="402"/>
      <c r="D104" s="21"/>
    </row>
    <row r="105" spans="1:4" ht="16.350000000000001" customHeight="1" x14ac:dyDescent="0.25">
      <c r="A105" s="456"/>
      <c r="B105" s="402"/>
      <c r="C105" s="402" t="s">
        <v>50</v>
      </c>
      <c r="D105" s="21"/>
    </row>
    <row r="106" spans="1:4" ht="15.75" x14ac:dyDescent="0.25">
      <c r="A106" s="456"/>
      <c r="B106" s="402"/>
      <c r="C106" s="402"/>
      <c r="D106" s="21"/>
    </row>
    <row r="107" spans="1:4" ht="15.75" x14ac:dyDescent="0.25">
      <c r="A107" s="456"/>
      <c r="B107" s="402"/>
      <c r="C107" s="402"/>
      <c r="D107" s="21"/>
    </row>
    <row r="108" spans="1:4" ht="16.350000000000001" customHeight="1" x14ac:dyDescent="0.25">
      <c r="A108" s="456"/>
      <c r="B108" s="402"/>
      <c r="C108" s="402" t="s">
        <v>51</v>
      </c>
      <c r="D108" s="21"/>
    </row>
    <row r="109" spans="1:4" ht="15.75" x14ac:dyDescent="0.25">
      <c r="A109" s="456"/>
      <c r="B109" s="402"/>
      <c r="C109" s="402"/>
      <c r="D109" s="21"/>
    </row>
    <row r="110" spans="1:4" ht="15.75" x14ac:dyDescent="0.25">
      <c r="A110" s="456"/>
      <c r="B110" s="402"/>
      <c r="C110" s="402"/>
      <c r="D110" s="21"/>
    </row>
    <row r="111" spans="1:4" ht="16.350000000000001" customHeight="1" x14ac:dyDescent="0.25">
      <c r="A111" s="456"/>
      <c r="B111" s="402"/>
      <c r="C111" s="402" t="s">
        <v>52</v>
      </c>
      <c r="D111" s="21"/>
    </row>
    <row r="112" spans="1:4" ht="15.75" x14ac:dyDescent="0.25">
      <c r="A112" s="456"/>
      <c r="B112" s="402"/>
      <c r="C112" s="402"/>
      <c r="D112" s="21"/>
    </row>
    <row r="113" spans="1:4" ht="15.75" x14ac:dyDescent="0.25">
      <c r="A113" s="456"/>
      <c r="B113" s="402"/>
      <c r="C113" s="402"/>
      <c r="D113" s="21"/>
    </row>
    <row r="114" spans="1:4" ht="16.350000000000001" customHeight="1" x14ac:dyDescent="0.25">
      <c r="A114" s="456"/>
      <c r="B114" s="455" t="s">
        <v>23</v>
      </c>
      <c r="C114" s="402" t="s">
        <v>53</v>
      </c>
      <c r="D114" s="21"/>
    </row>
    <row r="115" spans="1:4" ht="15.75" x14ac:dyDescent="0.25">
      <c r="A115" s="456"/>
      <c r="B115" s="455"/>
      <c r="C115" s="402"/>
      <c r="D115" s="21"/>
    </row>
    <row r="116" spans="1:4" ht="15.75" x14ac:dyDescent="0.25">
      <c r="A116" s="456"/>
      <c r="B116" s="455"/>
      <c r="C116" s="402"/>
      <c r="D116" s="21"/>
    </row>
    <row r="117" spans="1:4" ht="16.350000000000001" customHeight="1" x14ac:dyDescent="0.25">
      <c r="A117" s="456"/>
      <c r="B117" s="455" t="s">
        <v>38</v>
      </c>
      <c r="C117" s="402" t="s">
        <v>39</v>
      </c>
      <c r="D117" s="21"/>
    </row>
    <row r="118" spans="1:4" ht="15.75" x14ac:dyDescent="0.25">
      <c r="A118" s="456"/>
      <c r="B118" s="455"/>
      <c r="C118" s="402"/>
      <c r="D118" s="21"/>
    </row>
    <row r="119" spans="1:4" ht="15.75" x14ac:dyDescent="0.25">
      <c r="A119" s="456"/>
      <c r="B119" s="455"/>
      <c r="C119" s="402"/>
      <c r="D119" s="21"/>
    </row>
    <row r="120" spans="1:4" ht="16.350000000000001" customHeight="1" x14ac:dyDescent="0.25">
      <c r="A120" s="456"/>
      <c r="B120" s="455"/>
      <c r="C120" s="402" t="s">
        <v>149</v>
      </c>
      <c r="D120" s="21"/>
    </row>
    <row r="121" spans="1:4" ht="15.75" x14ac:dyDescent="0.25">
      <c r="A121" s="456"/>
      <c r="B121" s="455"/>
      <c r="C121" s="402"/>
      <c r="D121" s="21"/>
    </row>
    <row r="122" spans="1:4" ht="15.75" x14ac:dyDescent="0.25">
      <c r="A122" s="456"/>
      <c r="B122" s="455"/>
      <c r="C122" s="402"/>
      <c r="D122" s="21"/>
    </row>
    <row r="123" spans="1:4" ht="16.350000000000001" customHeight="1" x14ac:dyDescent="0.25">
      <c r="A123" s="456"/>
      <c r="B123" s="455"/>
      <c r="C123" s="402" t="s">
        <v>40</v>
      </c>
      <c r="D123" s="21"/>
    </row>
    <row r="124" spans="1:4" ht="15.75" x14ac:dyDescent="0.25">
      <c r="A124" s="456"/>
      <c r="B124" s="455"/>
      <c r="C124" s="402"/>
      <c r="D124" s="21"/>
    </row>
    <row r="125" spans="1:4" ht="15.75" x14ac:dyDescent="0.25">
      <c r="A125" s="456"/>
      <c r="B125" s="455"/>
      <c r="C125" s="402"/>
      <c r="D125" s="21"/>
    </row>
  </sheetData>
  <mergeCells count="50">
    <mergeCell ref="B99:B113"/>
    <mergeCell ref="C99:C101"/>
    <mergeCell ref="C102:C104"/>
    <mergeCell ref="C105:C107"/>
    <mergeCell ref="C108:C110"/>
    <mergeCell ref="C111:C113"/>
    <mergeCell ref="B81:B98"/>
    <mergeCell ref="C81:C83"/>
    <mergeCell ref="C84:C86"/>
    <mergeCell ref="C87:C89"/>
    <mergeCell ref="C90:C92"/>
    <mergeCell ref="C93:C95"/>
    <mergeCell ref="C96:C98"/>
    <mergeCell ref="A3:A125"/>
    <mergeCell ref="B3:B23"/>
    <mergeCell ref="C3:C5"/>
    <mergeCell ref="C6:C8"/>
    <mergeCell ref="C9:C11"/>
    <mergeCell ref="C12:C14"/>
    <mergeCell ref="C15:C17"/>
    <mergeCell ref="C18:C20"/>
    <mergeCell ref="C21:C23"/>
    <mergeCell ref="B24:B47"/>
    <mergeCell ref="C24:C26"/>
    <mergeCell ref="C27:C29"/>
    <mergeCell ref="C30:C32"/>
    <mergeCell ref="C39:C41"/>
    <mergeCell ref="C33:C35"/>
    <mergeCell ref="C36:C38"/>
    <mergeCell ref="C42:C44"/>
    <mergeCell ref="C45:C47"/>
    <mergeCell ref="B66:B80"/>
    <mergeCell ref="C66:C68"/>
    <mergeCell ref="C69:C71"/>
    <mergeCell ref="C72:C74"/>
    <mergeCell ref="C75:C77"/>
    <mergeCell ref="C78:C80"/>
    <mergeCell ref="C60:C62"/>
    <mergeCell ref="C63:C65"/>
    <mergeCell ref="B48:B65"/>
    <mergeCell ref="C48:C50"/>
    <mergeCell ref="C51:C53"/>
    <mergeCell ref="C54:C56"/>
    <mergeCell ref="C57:C59"/>
    <mergeCell ref="B117:B125"/>
    <mergeCell ref="C117:C119"/>
    <mergeCell ref="C120:C122"/>
    <mergeCell ref="C123:C125"/>
    <mergeCell ref="B114:B116"/>
    <mergeCell ref="C114:C11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BD48-5B8E-4A95-8893-D96C06EB80B7}">
  <sheetPr>
    <tabColor theme="4"/>
  </sheetPr>
  <dimension ref="A1:XFD281"/>
  <sheetViews>
    <sheetView showGridLines="0" topLeftCell="B2" zoomScale="90" workbookViewId="0">
      <pane xSplit="2" ySplit="1" topLeftCell="D3" activePane="bottomRight" state="frozen"/>
      <selection activeCell="B2" sqref="B2"/>
      <selection pane="topRight" activeCell="D2" sqref="D2"/>
      <selection pane="bottomLeft" activeCell="B3" sqref="B3"/>
      <selection pane="bottomRight" activeCell="B3" sqref="B3:B23"/>
    </sheetView>
  </sheetViews>
  <sheetFormatPr defaultColWidth="13.28515625" defaultRowHeight="15" x14ac:dyDescent="0.2"/>
  <cols>
    <col min="1" max="1" width="16.85546875" style="200" customWidth="1"/>
    <col min="2" max="2" width="7" style="200" customWidth="1"/>
    <col min="3" max="3" width="20.7109375" style="201" customWidth="1"/>
    <col min="4" max="4" width="20.7109375" style="198" customWidth="1"/>
    <col min="5" max="5" width="28.28515625" style="201" customWidth="1"/>
    <col min="6" max="6" width="17.7109375" style="201" customWidth="1"/>
    <col min="7" max="7" width="7.85546875" style="201" customWidth="1"/>
    <col min="8" max="8" width="46.140625" style="201" customWidth="1"/>
    <col min="9" max="10" width="46.140625" style="198" customWidth="1"/>
    <col min="11" max="11" width="21.7109375" style="201" customWidth="1"/>
    <col min="12" max="12" width="70.28515625" style="201" customWidth="1"/>
    <col min="13" max="13" width="9.7109375" style="201" customWidth="1"/>
    <col min="14" max="14" width="34.28515625" style="3" customWidth="1"/>
    <col min="15" max="50" width="12" style="200" customWidth="1"/>
    <col min="51" max="258" width="13.28515625" style="200"/>
    <col min="259" max="259" width="40.28515625" style="200" customWidth="1"/>
    <col min="260" max="260" width="48.85546875" style="200" customWidth="1"/>
    <col min="261" max="261" width="53.28515625" style="200" customWidth="1"/>
    <col min="262" max="262" width="56.28515625" style="200" customWidth="1"/>
    <col min="263" max="306" width="12" style="200" customWidth="1"/>
    <col min="307" max="514" width="13.28515625" style="200"/>
    <col min="515" max="515" width="40.28515625" style="200" customWidth="1"/>
    <col min="516" max="516" width="48.85546875" style="200" customWidth="1"/>
    <col min="517" max="517" width="53.28515625" style="200" customWidth="1"/>
    <col min="518" max="518" width="56.28515625" style="200" customWidth="1"/>
    <col min="519" max="562" width="12" style="200" customWidth="1"/>
    <col min="563" max="770" width="13.28515625" style="200"/>
    <col min="771" max="771" width="40.28515625" style="200" customWidth="1"/>
    <col min="772" max="772" width="48.85546875" style="200" customWidth="1"/>
    <col min="773" max="773" width="53.28515625" style="200" customWidth="1"/>
    <col min="774" max="774" width="56.28515625" style="200" customWidth="1"/>
    <col min="775" max="818" width="12" style="200" customWidth="1"/>
    <col min="819" max="1026" width="13.28515625" style="200"/>
    <col min="1027" max="1027" width="40.28515625" style="200" customWidth="1"/>
    <col min="1028" max="1028" width="48.85546875" style="200" customWidth="1"/>
    <col min="1029" max="1029" width="53.28515625" style="200" customWidth="1"/>
    <col min="1030" max="1030" width="56.28515625" style="200" customWidth="1"/>
    <col min="1031" max="1074" width="12" style="200" customWidth="1"/>
    <col min="1075" max="1282" width="13.28515625" style="200"/>
    <col min="1283" max="1283" width="40.28515625" style="200" customWidth="1"/>
    <col min="1284" max="1284" width="48.85546875" style="200" customWidth="1"/>
    <col min="1285" max="1285" width="53.28515625" style="200" customWidth="1"/>
    <col min="1286" max="1286" width="56.28515625" style="200" customWidth="1"/>
    <col min="1287" max="1330" width="12" style="200" customWidth="1"/>
    <col min="1331" max="1538" width="13.28515625" style="200"/>
    <col min="1539" max="1539" width="40.28515625" style="200" customWidth="1"/>
    <col min="1540" max="1540" width="48.85546875" style="200" customWidth="1"/>
    <col min="1541" max="1541" width="53.28515625" style="200" customWidth="1"/>
    <col min="1542" max="1542" width="56.28515625" style="200" customWidth="1"/>
    <col min="1543" max="1586" width="12" style="200" customWidth="1"/>
    <col min="1587" max="1794" width="13.28515625" style="200"/>
    <col min="1795" max="1795" width="40.28515625" style="200" customWidth="1"/>
    <col min="1796" max="1796" width="48.85546875" style="200" customWidth="1"/>
    <col min="1797" max="1797" width="53.28515625" style="200" customWidth="1"/>
    <col min="1798" max="1798" width="56.28515625" style="200" customWidth="1"/>
    <col min="1799" max="1842" width="12" style="200" customWidth="1"/>
    <col min="1843" max="2050" width="13.28515625" style="200"/>
    <col min="2051" max="2051" width="40.28515625" style="200" customWidth="1"/>
    <col min="2052" max="2052" width="48.85546875" style="200" customWidth="1"/>
    <col min="2053" max="2053" width="53.28515625" style="200" customWidth="1"/>
    <col min="2054" max="2054" width="56.28515625" style="200" customWidth="1"/>
    <col min="2055" max="2098" width="12" style="200" customWidth="1"/>
    <col min="2099" max="2306" width="13.28515625" style="200"/>
    <col min="2307" max="2307" width="40.28515625" style="200" customWidth="1"/>
    <col min="2308" max="2308" width="48.85546875" style="200" customWidth="1"/>
    <col min="2309" max="2309" width="53.28515625" style="200" customWidth="1"/>
    <col min="2310" max="2310" width="56.28515625" style="200" customWidth="1"/>
    <col min="2311" max="2354" width="12" style="200" customWidth="1"/>
    <col min="2355" max="2562" width="13.28515625" style="200"/>
    <col min="2563" max="2563" width="40.28515625" style="200" customWidth="1"/>
    <col min="2564" max="2564" width="48.85546875" style="200" customWidth="1"/>
    <col min="2565" max="2565" width="53.28515625" style="200" customWidth="1"/>
    <col min="2566" max="2566" width="56.28515625" style="200" customWidth="1"/>
    <col min="2567" max="2610" width="12" style="200" customWidth="1"/>
    <col min="2611" max="2818" width="13.28515625" style="200"/>
    <col min="2819" max="2819" width="40.28515625" style="200" customWidth="1"/>
    <col min="2820" max="2820" width="48.85546875" style="200" customWidth="1"/>
    <col min="2821" max="2821" width="53.28515625" style="200" customWidth="1"/>
    <col min="2822" max="2822" width="56.28515625" style="200" customWidth="1"/>
    <col min="2823" max="2866" width="12" style="200" customWidth="1"/>
    <col min="2867" max="3074" width="13.28515625" style="200"/>
    <col min="3075" max="3075" width="40.28515625" style="200" customWidth="1"/>
    <col min="3076" max="3076" width="48.85546875" style="200" customWidth="1"/>
    <col min="3077" max="3077" width="53.28515625" style="200" customWidth="1"/>
    <col min="3078" max="3078" width="56.28515625" style="200" customWidth="1"/>
    <col min="3079" max="3122" width="12" style="200" customWidth="1"/>
    <col min="3123" max="3330" width="13.28515625" style="200"/>
    <col min="3331" max="3331" width="40.28515625" style="200" customWidth="1"/>
    <col min="3332" max="3332" width="48.85546875" style="200" customWidth="1"/>
    <col min="3333" max="3333" width="53.28515625" style="200" customWidth="1"/>
    <col min="3334" max="3334" width="56.28515625" style="200" customWidth="1"/>
    <col min="3335" max="3378" width="12" style="200" customWidth="1"/>
    <col min="3379" max="3586" width="13.28515625" style="200"/>
    <col min="3587" max="3587" width="40.28515625" style="200" customWidth="1"/>
    <col min="3588" max="3588" width="48.85546875" style="200" customWidth="1"/>
    <col min="3589" max="3589" width="53.28515625" style="200" customWidth="1"/>
    <col min="3590" max="3590" width="56.28515625" style="200" customWidth="1"/>
    <col min="3591" max="3634" width="12" style="200" customWidth="1"/>
    <col min="3635" max="3842" width="13.28515625" style="200"/>
    <col min="3843" max="3843" width="40.28515625" style="200" customWidth="1"/>
    <col min="3844" max="3844" width="48.85546875" style="200" customWidth="1"/>
    <col min="3845" max="3845" width="53.28515625" style="200" customWidth="1"/>
    <col min="3846" max="3846" width="56.28515625" style="200" customWidth="1"/>
    <col min="3847" max="3890" width="12" style="200" customWidth="1"/>
    <col min="3891" max="4098" width="13.28515625" style="200"/>
    <col min="4099" max="4099" width="40.28515625" style="200" customWidth="1"/>
    <col min="4100" max="4100" width="48.85546875" style="200" customWidth="1"/>
    <col min="4101" max="4101" width="53.28515625" style="200" customWidth="1"/>
    <col min="4102" max="4102" width="56.28515625" style="200" customWidth="1"/>
    <col min="4103" max="4146" width="12" style="200" customWidth="1"/>
    <col min="4147" max="4354" width="13.28515625" style="200"/>
    <col min="4355" max="4355" width="40.28515625" style="200" customWidth="1"/>
    <col min="4356" max="4356" width="48.85546875" style="200" customWidth="1"/>
    <col min="4357" max="4357" width="53.28515625" style="200" customWidth="1"/>
    <col min="4358" max="4358" width="56.28515625" style="200" customWidth="1"/>
    <col min="4359" max="4402" width="12" style="200" customWidth="1"/>
    <col min="4403" max="4610" width="13.28515625" style="200"/>
    <col min="4611" max="4611" width="40.28515625" style="200" customWidth="1"/>
    <col min="4612" max="4612" width="48.85546875" style="200" customWidth="1"/>
    <col min="4613" max="4613" width="53.28515625" style="200" customWidth="1"/>
    <col min="4614" max="4614" width="56.28515625" style="200" customWidth="1"/>
    <col min="4615" max="4658" width="12" style="200" customWidth="1"/>
    <col min="4659" max="4866" width="13.28515625" style="200"/>
    <col min="4867" max="4867" width="40.28515625" style="200" customWidth="1"/>
    <col min="4868" max="4868" width="48.85546875" style="200" customWidth="1"/>
    <col min="4869" max="4869" width="53.28515625" style="200" customWidth="1"/>
    <col min="4870" max="4870" width="56.28515625" style="200" customWidth="1"/>
    <col min="4871" max="4914" width="12" style="200" customWidth="1"/>
    <col min="4915" max="5122" width="13.28515625" style="200"/>
    <col min="5123" max="5123" width="40.28515625" style="200" customWidth="1"/>
    <col min="5124" max="5124" width="48.85546875" style="200" customWidth="1"/>
    <col min="5125" max="5125" width="53.28515625" style="200" customWidth="1"/>
    <col min="5126" max="5126" width="56.28515625" style="200" customWidth="1"/>
    <col min="5127" max="5170" width="12" style="200" customWidth="1"/>
    <col min="5171" max="5378" width="13.28515625" style="200"/>
    <col min="5379" max="5379" width="40.28515625" style="200" customWidth="1"/>
    <col min="5380" max="5380" width="48.85546875" style="200" customWidth="1"/>
    <col min="5381" max="5381" width="53.28515625" style="200" customWidth="1"/>
    <col min="5382" max="5382" width="56.28515625" style="200" customWidth="1"/>
    <col min="5383" max="5426" width="12" style="200" customWidth="1"/>
    <col min="5427" max="5634" width="13.28515625" style="200"/>
    <col min="5635" max="5635" width="40.28515625" style="200" customWidth="1"/>
    <col min="5636" max="5636" width="48.85546875" style="200" customWidth="1"/>
    <col min="5637" max="5637" width="53.28515625" style="200" customWidth="1"/>
    <col min="5638" max="5638" width="56.28515625" style="200" customWidth="1"/>
    <col min="5639" max="5682" width="12" style="200" customWidth="1"/>
    <col min="5683" max="5890" width="13.28515625" style="200"/>
    <col min="5891" max="5891" width="40.28515625" style="200" customWidth="1"/>
    <col min="5892" max="5892" width="48.85546875" style="200" customWidth="1"/>
    <col min="5893" max="5893" width="53.28515625" style="200" customWidth="1"/>
    <col min="5894" max="5894" width="56.28515625" style="200" customWidth="1"/>
    <col min="5895" max="5938" width="12" style="200" customWidth="1"/>
    <col min="5939" max="6146" width="13.28515625" style="200"/>
    <col min="6147" max="6147" width="40.28515625" style="200" customWidth="1"/>
    <col min="6148" max="6148" width="48.85546875" style="200" customWidth="1"/>
    <col min="6149" max="6149" width="53.28515625" style="200" customWidth="1"/>
    <col min="6150" max="6150" width="56.28515625" style="200" customWidth="1"/>
    <col min="6151" max="6194" width="12" style="200" customWidth="1"/>
    <col min="6195" max="6402" width="13.28515625" style="200"/>
    <col min="6403" max="6403" width="40.28515625" style="200" customWidth="1"/>
    <col min="6404" max="6404" width="48.85546875" style="200" customWidth="1"/>
    <col min="6405" max="6405" width="53.28515625" style="200" customWidth="1"/>
    <col min="6406" max="6406" width="56.28515625" style="200" customWidth="1"/>
    <col min="6407" max="6450" width="12" style="200" customWidth="1"/>
    <col min="6451" max="6658" width="13.28515625" style="200"/>
    <col min="6659" max="6659" width="40.28515625" style="200" customWidth="1"/>
    <col min="6660" max="6660" width="48.85546875" style="200" customWidth="1"/>
    <col min="6661" max="6661" width="53.28515625" style="200" customWidth="1"/>
    <col min="6662" max="6662" width="56.28515625" style="200" customWidth="1"/>
    <col min="6663" max="6706" width="12" style="200" customWidth="1"/>
    <col min="6707" max="6914" width="13.28515625" style="200"/>
    <col min="6915" max="6915" width="40.28515625" style="200" customWidth="1"/>
    <col min="6916" max="6916" width="48.85546875" style="200" customWidth="1"/>
    <col min="6917" max="6917" width="53.28515625" style="200" customWidth="1"/>
    <col min="6918" max="6918" width="56.28515625" style="200" customWidth="1"/>
    <col min="6919" max="6962" width="12" style="200" customWidth="1"/>
    <col min="6963" max="7170" width="13.28515625" style="200"/>
    <col min="7171" max="7171" width="40.28515625" style="200" customWidth="1"/>
    <col min="7172" max="7172" width="48.85546875" style="200" customWidth="1"/>
    <col min="7173" max="7173" width="53.28515625" style="200" customWidth="1"/>
    <col min="7174" max="7174" width="56.28515625" style="200" customWidth="1"/>
    <col min="7175" max="7218" width="12" style="200" customWidth="1"/>
    <col min="7219" max="7426" width="13.28515625" style="200"/>
    <col min="7427" max="7427" width="40.28515625" style="200" customWidth="1"/>
    <col min="7428" max="7428" width="48.85546875" style="200" customWidth="1"/>
    <col min="7429" max="7429" width="53.28515625" style="200" customWidth="1"/>
    <col min="7430" max="7430" width="56.28515625" style="200" customWidth="1"/>
    <col min="7431" max="7474" width="12" style="200" customWidth="1"/>
    <col min="7475" max="7682" width="13.28515625" style="200"/>
    <col min="7683" max="7683" width="40.28515625" style="200" customWidth="1"/>
    <col min="7684" max="7684" width="48.85546875" style="200" customWidth="1"/>
    <col min="7685" max="7685" width="53.28515625" style="200" customWidth="1"/>
    <col min="7686" max="7686" width="56.28515625" style="200" customWidth="1"/>
    <col min="7687" max="7730" width="12" style="200" customWidth="1"/>
    <col min="7731" max="7938" width="13.28515625" style="200"/>
    <col min="7939" max="7939" width="40.28515625" style="200" customWidth="1"/>
    <col min="7940" max="7940" width="48.85546875" style="200" customWidth="1"/>
    <col min="7941" max="7941" width="53.28515625" style="200" customWidth="1"/>
    <col min="7942" max="7942" width="56.28515625" style="200" customWidth="1"/>
    <col min="7943" max="7986" width="12" style="200" customWidth="1"/>
    <col min="7987" max="8194" width="13.28515625" style="200"/>
    <col min="8195" max="8195" width="40.28515625" style="200" customWidth="1"/>
    <col min="8196" max="8196" width="48.85546875" style="200" customWidth="1"/>
    <col min="8197" max="8197" width="53.28515625" style="200" customWidth="1"/>
    <col min="8198" max="8198" width="56.28515625" style="200" customWidth="1"/>
    <col min="8199" max="8242" width="12" style="200" customWidth="1"/>
    <col min="8243" max="8450" width="13.28515625" style="200"/>
    <col min="8451" max="8451" width="40.28515625" style="200" customWidth="1"/>
    <col min="8452" max="8452" width="48.85546875" style="200" customWidth="1"/>
    <col min="8453" max="8453" width="53.28515625" style="200" customWidth="1"/>
    <col min="8454" max="8454" width="56.28515625" style="200" customWidth="1"/>
    <col min="8455" max="8498" width="12" style="200" customWidth="1"/>
    <col min="8499" max="8706" width="13.28515625" style="200"/>
    <col min="8707" max="8707" width="40.28515625" style="200" customWidth="1"/>
    <col min="8708" max="8708" width="48.85546875" style="200" customWidth="1"/>
    <col min="8709" max="8709" width="53.28515625" style="200" customWidth="1"/>
    <col min="8710" max="8710" width="56.28515625" style="200" customWidth="1"/>
    <col min="8711" max="8754" width="12" style="200" customWidth="1"/>
    <col min="8755" max="8962" width="13.28515625" style="200"/>
    <col min="8963" max="8963" width="40.28515625" style="200" customWidth="1"/>
    <col min="8964" max="8964" width="48.85546875" style="200" customWidth="1"/>
    <col min="8965" max="8965" width="53.28515625" style="200" customWidth="1"/>
    <col min="8966" max="8966" width="56.28515625" style="200" customWidth="1"/>
    <col min="8967" max="9010" width="12" style="200" customWidth="1"/>
    <col min="9011" max="9218" width="13.28515625" style="200"/>
    <col min="9219" max="9219" width="40.28515625" style="200" customWidth="1"/>
    <col min="9220" max="9220" width="48.85546875" style="200" customWidth="1"/>
    <col min="9221" max="9221" width="53.28515625" style="200" customWidth="1"/>
    <col min="9222" max="9222" width="56.28515625" style="200" customWidth="1"/>
    <col min="9223" max="9266" width="12" style="200" customWidth="1"/>
    <col min="9267" max="9474" width="13.28515625" style="200"/>
    <col min="9475" max="9475" width="40.28515625" style="200" customWidth="1"/>
    <col min="9476" max="9476" width="48.85546875" style="200" customWidth="1"/>
    <col min="9477" max="9477" width="53.28515625" style="200" customWidth="1"/>
    <col min="9478" max="9478" width="56.28515625" style="200" customWidth="1"/>
    <col min="9479" max="9522" width="12" style="200" customWidth="1"/>
    <col min="9523" max="9730" width="13.28515625" style="200"/>
    <col min="9731" max="9731" width="40.28515625" style="200" customWidth="1"/>
    <col min="9732" max="9732" width="48.85546875" style="200" customWidth="1"/>
    <col min="9733" max="9733" width="53.28515625" style="200" customWidth="1"/>
    <col min="9734" max="9734" width="56.28515625" style="200" customWidth="1"/>
    <col min="9735" max="9778" width="12" style="200" customWidth="1"/>
    <col min="9779" max="9986" width="13.28515625" style="200"/>
    <col min="9987" max="9987" width="40.28515625" style="200" customWidth="1"/>
    <col min="9988" max="9988" width="48.85546875" style="200" customWidth="1"/>
    <col min="9989" max="9989" width="53.28515625" style="200" customWidth="1"/>
    <col min="9990" max="9990" width="56.28515625" style="200" customWidth="1"/>
    <col min="9991" max="10034" width="12" style="200" customWidth="1"/>
    <col min="10035" max="10242" width="13.28515625" style="200"/>
    <col min="10243" max="10243" width="40.28515625" style="200" customWidth="1"/>
    <col min="10244" max="10244" width="48.85546875" style="200" customWidth="1"/>
    <col min="10245" max="10245" width="53.28515625" style="200" customWidth="1"/>
    <col min="10246" max="10246" width="56.28515625" style="200" customWidth="1"/>
    <col min="10247" max="10290" width="12" style="200" customWidth="1"/>
    <col min="10291" max="10498" width="13.28515625" style="200"/>
    <col min="10499" max="10499" width="40.28515625" style="200" customWidth="1"/>
    <col min="10500" max="10500" width="48.85546875" style="200" customWidth="1"/>
    <col min="10501" max="10501" width="53.28515625" style="200" customWidth="1"/>
    <col min="10502" max="10502" width="56.28515625" style="200" customWidth="1"/>
    <col min="10503" max="10546" width="12" style="200" customWidth="1"/>
    <col min="10547" max="10754" width="13.28515625" style="200"/>
    <col min="10755" max="10755" width="40.28515625" style="200" customWidth="1"/>
    <col min="10756" max="10756" width="48.85546875" style="200" customWidth="1"/>
    <col min="10757" max="10757" width="53.28515625" style="200" customWidth="1"/>
    <col min="10758" max="10758" width="56.28515625" style="200" customWidth="1"/>
    <col min="10759" max="10802" width="12" style="200" customWidth="1"/>
    <col min="10803" max="11010" width="13.28515625" style="200"/>
    <col min="11011" max="11011" width="40.28515625" style="200" customWidth="1"/>
    <col min="11012" max="11012" width="48.85546875" style="200" customWidth="1"/>
    <col min="11013" max="11013" width="53.28515625" style="200" customWidth="1"/>
    <col min="11014" max="11014" width="56.28515625" style="200" customWidth="1"/>
    <col min="11015" max="11058" width="12" style="200" customWidth="1"/>
    <col min="11059" max="11266" width="13.28515625" style="200"/>
    <col min="11267" max="11267" width="40.28515625" style="200" customWidth="1"/>
    <col min="11268" max="11268" width="48.85546875" style="200" customWidth="1"/>
    <col min="11269" max="11269" width="53.28515625" style="200" customWidth="1"/>
    <col min="11270" max="11270" width="56.28515625" style="200" customWidth="1"/>
    <col min="11271" max="11314" width="12" style="200" customWidth="1"/>
    <col min="11315" max="11522" width="13.28515625" style="200"/>
    <col min="11523" max="11523" width="40.28515625" style="200" customWidth="1"/>
    <col min="11524" max="11524" width="48.85546875" style="200" customWidth="1"/>
    <col min="11525" max="11525" width="53.28515625" style="200" customWidth="1"/>
    <col min="11526" max="11526" width="56.28515625" style="200" customWidth="1"/>
    <col min="11527" max="11570" width="12" style="200" customWidth="1"/>
    <col min="11571" max="11778" width="13.28515625" style="200"/>
    <col min="11779" max="11779" width="40.28515625" style="200" customWidth="1"/>
    <col min="11780" max="11780" width="48.85546875" style="200" customWidth="1"/>
    <col min="11781" max="11781" width="53.28515625" style="200" customWidth="1"/>
    <col min="11782" max="11782" width="56.28515625" style="200" customWidth="1"/>
    <col min="11783" max="11826" width="12" style="200" customWidth="1"/>
    <col min="11827" max="12034" width="13.28515625" style="200"/>
    <col min="12035" max="12035" width="40.28515625" style="200" customWidth="1"/>
    <col min="12036" max="12036" width="48.85546875" style="200" customWidth="1"/>
    <col min="12037" max="12037" width="53.28515625" style="200" customWidth="1"/>
    <col min="12038" max="12038" width="56.28515625" style="200" customWidth="1"/>
    <col min="12039" max="12082" width="12" style="200" customWidth="1"/>
    <col min="12083" max="12290" width="13.28515625" style="200"/>
    <col min="12291" max="12291" width="40.28515625" style="200" customWidth="1"/>
    <col min="12292" max="12292" width="48.85546875" style="200" customWidth="1"/>
    <col min="12293" max="12293" width="53.28515625" style="200" customWidth="1"/>
    <col min="12294" max="12294" width="56.28515625" style="200" customWidth="1"/>
    <col min="12295" max="12338" width="12" style="200" customWidth="1"/>
    <col min="12339" max="12546" width="13.28515625" style="200"/>
    <col min="12547" max="12547" width="40.28515625" style="200" customWidth="1"/>
    <col min="12548" max="12548" width="48.85546875" style="200" customWidth="1"/>
    <col min="12549" max="12549" width="53.28515625" style="200" customWidth="1"/>
    <col min="12550" max="12550" width="56.28515625" style="200" customWidth="1"/>
    <col min="12551" max="12594" width="12" style="200" customWidth="1"/>
    <col min="12595" max="12802" width="13.28515625" style="200"/>
    <col min="12803" max="12803" width="40.28515625" style="200" customWidth="1"/>
    <col min="12804" max="12804" width="48.85546875" style="200" customWidth="1"/>
    <col min="12805" max="12805" width="53.28515625" style="200" customWidth="1"/>
    <col min="12806" max="12806" width="56.28515625" style="200" customWidth="1"/>
    <col min="12807" max="12850" width="12" style="200" customWidth="1"/>
    <col min="12851" max="13058" width="13.28515625" style="200"/>
    <col min="13059" max="13059" width="40.28515625" style="200" customWidth="1"/>
    <col min="13060" max="13060" width="48.85546875" style="200" customWidth="1"/>
    <col min="13061" max="13061" width="53.28515625" style="200" customWidth="1"/>
    <col min="13062" max="13062" width="56.28515625" style="200" customWidth="1"/>
    <col min="13063" max="13106" width="12" style="200" customWidth="1"/>
    <col min="13107" max="13314" width="13.28515625" style="200"/>
    <col min="13315" max="13315" width="40.28515625" style="200" customWidth="1"/>
    <col min="13316" max="13316" width="48.85546875" style="200" customWidth="1"/>
    <col min="13317" max="13317" width="53.28515625" style="200" customWidth="1"/>
    <col min="13318" max="13318" width="56.28515625" style="200" customWidth="1"/>
    <col min="13319" max="13362" width="12" style="200" customWidth="1"/>
    <col min="13363" max="13570" width="13.28515625" style="200"/>
    <col min="13571" max="13571" width="40.28515625" style="200" customWidth="1"/>
    <col min="13572" max="13572" width="48.85546875" style="200" customWidth="1"/>
    <col min="13573" max="13573" width="53.28515625" style="200" customWidth="1"/>
    <col min="13574" max="13574" width="56.28515625" style="200" customWidth="1"/>
    <col min="13575" max="13618" width="12" style="200" customWidth="1"/>
    <col min="13619" max="13826" width="13.28515625" style="200"/>
    <col min="13827" max="13827" width="40.28515625" style="200" customWidth="1"/>
    <col min="13828" max="13828" width="48.85546875" style="200" customWidth="1"/>
    <col min="13829" max="13829" width="53.28515625" style="200" customWidth="1"/>
    <col min="13830" max="13830" width="56.28515625" style="200" customWidth="1"/>
    <col min="13831" max="13874" width="12" style="200" customWidth="1"/>
    <col min="13875" max="14082" width="13.28515625" style="200"/>
    <col min="14083" max="14083" width="40.28515625" style="200" customWidth="1"/>
    <col min="14084" max="14084" width="48.85546875" style="200" customWidth="1"/>
    <col min="14085" max="14085" width="53.28515625" style="200" customWidth="1"/>
    <col min="14086" max="14086" width="56.28515625" style="200" customWidth="1"/>
    <col min="14087" max="14130" width="12" style="200" customWidth="1"/>
    <col min="14131" max="14338" width="13.28515625" style="200"/>
    <col min="14339" max="14339" width="40.28515625" style="200" customWidth="1"/>
    <col min="14340" max="14340" width="48.85546875" style="200" customWidth="1"/>
    <col min="14341" max="14341" width="53.28515625" style="200" customWidth="1"/>
    <col min="14342" max="14342" width="56.28515625" style="200" customWidth="1"/>
    <col min="14343" max="14386" width="12" style="200" customWidth="1"/>
    <col min="14387" max="14594" width="13.28515625" style="200"/>
    <col min="14595" max="14595" width="40.28515625" style="200" customWidth="1"/>
    <col min="14596" max="14596" width="48.85546875" style="200" customWidth="1"/>
    <col min="14597" max="14597" width="53.28515625" style="200" customWidth="1"/>
    <col min="14598" max="14598" width="56.28515625" style="200" customWidth="1"/>
    <col min="14599" max="14642" width="12" style="200" customWidth="1"/>
    <col min="14643" max="14850" width="13.28515625" style="200"/>
    <col min="14851" max="14851" width="40.28515625" style="200" customWidth="1"/>
    <col min="14852" max="14852" width="48.85546875" style="200" customWidth="1"/>
    <col min="14853" max="14853" width="53.28515625" style="200" customWidth="1"/>
    <col min="14854" max="14854" width="56.28515625" style="200" customWidth="1"/>
    <col min="14855" max="14898" width="12" style="200" customWidth="1"/>
    <col min="14899" max="15106" width="13.28515625" style="200"/>
    <col min="15107" max="15107" width="40.28515625" style="200" customWidth="1"/>
    <col min="15108" max="15108" width="48.85546875" style="200" customWidth="1"/>
    <col min="15109" max="15109" width="53.28515625" style="200" customWidth="1"/>
    <col min="15110" max="15110" width="56.28515625" style="200" customWidth="1"/>
    <col min="15111" max="15154" width="12" style="200" customWidth="1"/>
    <col min="15155" max="15362" width="13.28515625" style="200"/>
    <col min="15363" max="15363" width="40.28515625" style="200" customWidth="1"/>
    <col min="15364" max="15364" width="48.85546875" style="200" customWidth="1"/>
    <col min="15365" max="15365" width="53.28515625" style="200" customWidth="1"/>
    <col min="15366" max="15366" width="56.28515625" style="200" customWidth="1"/>
    <col min="15367" max="15410" width="12" style="200" customWidth="1"/>
    <col min="15411" max="15618" width="13.28515625" style="200"/>
    <col min="15619" max="15619" width="40.28515625" style="200" customWidth="1"/>
    <col min="15620" max="15620" width="48.85546875" style="200" customWidth="1"/>
    <col min="15621" max="15621" width="53.28515625" style="200" customWidth="1"/>
    <col min="15622" max="15622" width="56.28515625" style="200" customWidth="1"/>
    <col min="15623" max="15666" width="12" style="200" customWidth="1"/>
    <col min="15667" max="15874" width="13.28515625" style="200"/>
    <col min="15875" max="15875" width="40.28515625" style="200" customWidth="1"/>
    <col min="15876" max="15876" width="48.85546875" style="200" customWidth="1"/>
    <col min="15877" max="15877" width="53.28515625" style="200" customWidth="1"/>
    <col min="15878" max="15878" width="56.28515625" style="200" customWidth="1"/>
    <col min="15879" max="15922" width="12" style="200" customWidth="1"/>
    <col min="15923" max="16130" width="13.28515625" style="200"/>
    <col min="16131" max="16131" width="40.28515625" style="200" customWidth="1"/>
    <col min="16132" max="16132" width="48.85546875" style="200" customWidth="1"/>
    <col min="16133" max="16133" width="53.28515625" style="200" customWidth="1"/>
    <col min="16134" max="16134" width="56.28515625" style="200" customWidth="1"/>
    <col min="16135" max="16178" width="12" style="200" customWidth="1"/>
    <col min="16179" max="16384" width="13.28515625" style="200"/>
  </cols>
  <sheetData>
    <row r="1" spans="1:14" ht="30" customHeight="1" x14ac:dyDescent="0.2"/>
    <row r="2" spans="1:14" s="13" customFormat="1" ht="30" x14ac:dyDescent="0.2">
      <c r="A2" s="170" t="s">
        <v>1042</v>
      </c>
      <c r="B2" s="170" t="s">
        <v>1050</v>
      </c>
      <c r="C2" s="170" t="s">
        <v>1041</v>
      </c>
      <c r="D2" s="199" t="s">
        <v>4502</v>
      </c>
      <c r="E2" s="170" t="s">
        <v>4218</v>
      </c>
      <c r="F2" s="170" t="s">
        <v>1038</v>
      </c>
      <c r="G2" s="170" t="s">
        <v>1049</v>
      </c>
      <c r="H2" s="170" t="s">
        <v>1040</v>
      </c>
      <c r="I2" s="199" t="s">
        <v>4503</v>
      </c>
      <c r="J2" s="199" t="s">
        <v>4620</v>
      </c>
      <c r="K2" s="170" t="s">
        <v>1038</v>
      </c>
      <c r="L2" s="170" t="s">
        <v>1039</v>
      </c>
      <c r="M2" s="11" t="s">
        <v>1051</v>
      </c>
      <c r="N2" s="4" t="s">
        <v>7</v>
      </c>
    </row>
    <row r="3" spans="1:14" x14ac:dyDescent="0.2">
      <c r="A3" s="338" t="s">
        <v>4217</v>
      </c>
      <c r="B3" s="464" t="s">
        <v>3717</v>
      </c>
      <c r="C3" s="464" t="s">
        <v>1542</v>
      </c>
      <c r="D3" s="466" t="s">
        <v>4504</v>
      </c>
      <c r="E3" s="464"/>
      <c r="F3" s="464"/>
      <c r="G3" s="338" t="s">
        <v>3718</v>
      </c>
      <c r="H3" s="338" t="s">
        <v>3794</v>
      </c>
      <c r="I3" s="463" t="s">
        <v>4505</v>
      </c>
      <c r="J3" s="463" t="s">
        <v>4505</v>
      </c>
      <c r="K3" s="338" t="s">
        <v>511</v>
      </c>
      <c r="L3" s="338" t="s">
        <v>4621</v>
      </c>
      <c r="M3" s="202" t="s">
        <v>3719</v>
      </c>
      <c r="N3" s="7"/>
    </row>
    <row r="4" spans="1:14" x14ac:dyDescent="0.2">
      <c r="A4" s="338"/>
      <c r="B4" s="464"/>
      <c r="C4" s="464"/>
      <c r="D4" s="466"/>
      <c r="E4" s="464"/>
      <c r="F4" s="464"/>
      <c r="G4" s="338"/>
      <c r="H4" s="338"/>
      <c r="I4" s="463"/>
      <c r="J4" s="463"/>
      <c r="K4" s="338"/>
      <c r="L4" s="338"/>
      <c r="M4" s="202" t="s">
        <v>3720</v>
      </c>
      <c r="N4" s="7"/>
    </row>
    <row r="5" spans="1:14" ht="66.75" customHeight="1" x14ac:dyDescent="0.2">
      <c r="A5" s="338"/>
      <c r="B5" s="464"/>
      <c r="C5" s="464"/>
      <c r="D5" s="466"/>
      <c r="E5" s="464"/>
      <c r="F5" s="464"/>
      <c r="G5" s="338"/>
      <c r="H5" s="338"/>
      <c r="I5" s="463"/>
      <c r="J5" s="463"/>
      <c r="K5" s="338"/>
      <c r="L5" s="338"/>
      <c r="M5" s="202" t="s">
        <v>3721</v>
      </c>
      <c r="N5" s="7"/>
    </row>
    <row r="6" spans="1:14" ht="15" customHeight="1" x14ac:dyDescent="0.2">
      <c r="A6" s="338"/>
      <c r="B6" s="464"/>
      <c r="C6" s="464"/>
      <c r="D6" s="466"/>
      <c r="E6" s="464"/>
      <c r="F6" s="464"/>
      <c r="G6" s="338" t="s">
        <v>3722</v>
      </c>
      <c r="H6" s="338" t="s">
        <v>4222</v>
      </c>
      <c r="I6" s="463" t="s">
        <v>4506</v>
      </c>
      <c r="J6" s="340" t="s">
        <v>4622</v>
      </c>
      <c r="K6" s="338" t="s">
        <v>505</v>
      </c>
      <c r="L6" s="308" t="s">
        <v>4623</v>
      </c>
      <c r="M6" s="202" t="s">
        <v>3723</v>
      </c>
      <c r="N6" s="7"/>
    </row>
    <row r="7" spans="1:14" ht="15" customHeight="1" x14ac:dyDescent="0.2">
      <c r="A7" s="338"/>
      <c r="B7" s="464"/>
      <c r="C7" s="464"/>
      <c r="D7" s="466"/>
      <c r="E7" s="464"/>
      <c r="F7" s="464"/>
      <c r="G7" s="338"/>
      <c r="H7" s="338"/>
      <c r="I7" s="463"/>
      <c r="J7" s="340"/>
      <c r="K7" s="338"/>
      <c r="L7" s="308"/>
      <c r="M7" s="202" t="s">
        <v>3724</v>
      </c>
      <c r="N7" s="7"/>
    </row>
    <row r="8" spans="1:14" x14ac:dyDescent="0.2">
      <c r="A8" s="338"/>
      <c r="B8" s="464"/>
      <c r="C8" s="464"/>
      <c r="D8" s="466"/>
      <c r="E8" s="464"/>
      <c r="F8" s="464"/>
      <c r="G8" s="338"/>
      <c r="H8" s="338"/>
      <c r="I8" s="463"/>
      <c r="J8" s="340"/>
      <c r="K8" s="338"/>
      <c r="L8" s="308"/>
      <c r="M8" s="202" t="s">
        <v>3725</v>
      </c>
      <c r="N8" s="7"/>
    </row>
    <row r="9" spans="1:14" ht="15" customHeight="1" x14ac:dyDescent="0.2">
      <c r="A9" s="338"/>
      <c r="B9" s="464"/>
      <c r="C9" s="464"/>
      <c r="D9" s="466"/>
      <c r="E9" s="464"/>
      <c r="F9" s="464"/>
      <c r="G9" s="338" t="s">
        <v>3726</v>
      </c>
      <c r="H9" s="338" t="s">
        <v>3795</v>
      </c>
      <c r="I9" s="463" t="s">
        <v>4507</v>
      </c>
      <c r="J9" s="340" t="s">
        <v>4624</v>
      </c>
      <c r="K9" s="338" t="s">
        <v>511</v>
      </c>
      <c r="L9" s="338" t="s">
        <v>4625</v>
      </c>
      <c r="M9" s="202"/>
      <c r="N9" s="7"/>
    </row>
    <row r="10" spans="1:14" ht="15" customHeight="1" x14ac:dyDescent="0.2">
      <c r="A10" s="338"/>
      <c r="B10" s="464"/>
      <c r="C10" s="464"/>
      <c r="D10" s="466"/>
      <c r="E10" s="464"/>
      <c r="F10" s="464"/>
      <c r="G10" s="338"/>
      <c r="H10" s="338"/>
      <c r="I10" s="463"/>
      <c r="J10" s="340"/>
      <c r="K10" s="338"/>
      <c r="L10" s="338"/>
      <c r="M10" s="202"/>
      <c r="N10" s="7"/>
    </row>
    <row r="11" spans="1:14" x14ac:dyDescent="0.2">
      <c r="A11" s="338"/>
      <c r="B11" s="464"/>
      <c r="C11" s="464"/>
      <c r="D11" s="466"/>
      <c r="E11" s="464"/>
      <c r="F11" s="464"/>
      <c r="G11" s="338"/>
      <c r="H11" s="338"/>
      <c r="I11" s="463"/>
      <c r="J11" s="340"/>
      <c r="K11" s="338"/>
      <c r="L11" s="338"/>
      <c r="M11" s="202"/>
      <c r="N11" s="7"/>
    </row>
    <row r="12" spans="1:14" ht="15" customHeight="1" x14ac:dyDescent="0.2">
      <c r="A12" s="338"/>
      <c r="B12" s="464"/>
      <c r="C12" s="464"/>
      <c r="D12" s="466"/>
      <c r="E12" s="464"/>
      <c r="F12" s="464"/>
      <c r="G12" s="338" t="s">
        <v>3727</v>
      </c>
      <c r="H12" s="338" t="s">
        <v>4508</v>
      </c>
      <c r="I12" s="463"/>
      <c r="J12" s="340" t="s">
        <v>4626</v>
      </c>
      <c r="K12" s="338" t="s">
        <v>511</v>
      </c>
      <c r="L12" s="338" t="s">
        <v>4627</v>
      </c>
      <c r="M12" s="202"/>
      <c r="N12" s="7"/>
    </row>
    <row r="13" spans="1:14" ht="15" customHeight="1" x14ac:dyDescent="0.2">
      <c r="A13" s="338"/>
      <c r="B13" s="464"/>
      <c r="C13" s="464"/>
      <c r="D13" s="466"/>
      <c r="E13" s="464"/>
      <c r="F13" s="464"/>
      <c r="G13" s="338"/>
      <c r="H13" s="338"/>
      <c r="I13" s="463"/>
      <c r="J13" s="340"/>
      <c r="K13" s="338"/>
      <c r="L13" s="338"/>
      <c r="M13" s="202"/>
      <c r="N13" s="7"/>
    </row>
    <row r="14" spans="1:14" ht="70.5" customHeight="1" x14ac:dyDescent="0.2">
      <c r="A14" s="338"/>
      <c r="B14" s="464"/>
      <c r="C14" s="464"/>
      <c r="D14" s="466"/>
      <c r="E14" s="464"/>
      <c r="F14" s="464"/>
      <c r="G14" s="338"/>
      <c r="H14" s="338"/>
      <c r="I14" s="463"/>
      <c r="J14" s="340"/>
      <c r="K14" s="338"/>
      <c r="L14" s="338"/>
      <c r="M14" s="202"/>
      <c r="N14" s="7"/>
    </row>
    <row r="15" spans="1:14" ht="15" customHeight="1" x14ac:dyDescent="0.2">
      <c r="A15" s="338"/>
      <c r="B15" s="464"/>
      <c r="C15" s="464"/>
      <c r="D15" s="466"/>
      <c r="E15" s="464"/>
      <c r="F15" s="464"/>
      <c r="G15" s="338" t="s">
        <v>3728</v>
      </c>
      <c r="H15" s="338" t="s">
        <v>3841</v>
      </c>
      <c r="I15" s="463"/>
      <c r="J15" s="497"/>
      <c r="K15" s="474"/>
      <c r="L15" s="338" t="s">
        <v>4628</v>
      </c>
      <c r="M15" s="202"/>
      <c r="N15" s="7"/>
    </row>
    <row r="16" spans="1:14" ht="15" customHeight="1" x14ac:dyDescent="0.2">
      <c r="A16" s="338"/>
      <c r="B16" s="464"/>
      <c r="C16" s="464"/>
      <c r="D16" s="466"/>
      <c r="E16" s="464"/>
      <c r="F16" s="464"/>
      <c r="G16" s="338"/>
      <c r="H16" s="338"/>
      <c r="I16" s="463"/>
      <c r="J16" s="497"/>
      <c r="K16" s="474"/>
      <c r="L16" s="338"/>
      <c r="M16" s="202"/>
      <c r="N16" s="7"/>
    </row>
    <row r="17" spans="1:14" x14ac:dyDescent="0.2">
      <c r="A17" s="338"/>
      <c r="B17" s="464"/>
      <c r="C17" s="464"/>
      <c r="D17" s="466"/>
      <c r="E17" s="464"/>
      <c r="F17" s="464"/>
      <c r="G17" s="338"/>
      <c r="H17" s="338"/>
      <c r="I17" s="463"/>
      <c r="J17" s="497"/>
      <c r="K17" s="474"/>
      <c r="L17" s="338"/>
      <c r="M17" s="202"/>
      <c r="N17" s="7"/>
    </row>
    <row r="18" spans="1:14" ht="15" customHeight="1" x14ac:dyDescent="0.2">
      <c r="A18" s="338"/>
      <c r="B18" s="464"/>
      <c r="C18" s="464"/>
      <c r="D18" s="466"/>
      <c r="E18" s="464"/>
      <c r="F18" s="464"/>
      <c r="G18" s="338" t="s">
        <v>3729</v>
      </c>
      <c r="H18" s="338" t="s">
        <v>3796</v>
      </c>
      <c r="I18" s="463"/>
      <c r="J18" s="340" t="s">
        <v>3796</v>
      </c>
      <c r="K18" s="338" t="s">
        <v>511</v>
      </c>
      <c r="L18" s="338" t="s">
        <v>4629</v>
      </c>
      <c r="M18" s="202"/>
      <c r="N18" s="7"/>
    </row>
    <row r="19" spans="1:14" ht="15" customHeight="1" x14ac:dyDescent="0.2">
      <c r="A19" s="338"/>
      <c r="B19" s="464"/>
      <c r="C19" s="464"/>
      <c r="D19" s="466"/>
      <c r="E19" s="464"/>
      <c r="F19" s="464"/>
      <c r="G19" s="338"/>
      <c r="H19" s="338"/>
      <c r="I19" s="463"/>
      <c r="J19" s="340"/>
      <c r="K19" s="338"/>
      <c r="L19" s="338"/>
      <c r="M19" s="202"/>
      <c r="N19" s="7"/>
    </row>
    <row r="20" spans="1:14" x14ac:dyDescent="0.2">
      <c r="A20" s="338"/>
      <c r="B20" s="464"/>
      <c r="C20" s="464"/>
      <c r="D20" s="466"/>
      <c r="E20" s="464"/>
      <c r="F20" s="464"/>
      <c r="G20" s="338"/>
      <c r="H20" s="338"/>
      <c r="I20" s="463"/>
      <c r="J20" s="340"/>
      <c r="K20" s="338"/>
      <c r="L20" s="338"/>
      <c r="M20" s="202"/>
      <c r="N20" s="7"/>
    </row>
    <row r="21" spans="1:14" ht="15" customHeight="1" x14ac:dyDescent="0.2">
      <c r="A21" s="338"/>
      <c r="B21" s="464"/>
      <c r="C21" s="464"/>
      <c r="D21" s="466"/>
      <c r="E21" s="464"/>
      <c r="F21" s="464"/>
      <c r="G21" s="338" t="s">
        <v>3842</v>
      </c>
      <c r="H21" s="338" t="s">
        <v>3797</v>
      </c>
      <c r="I21" s="463" t="s">
        <v>4509</v>
      </c>
      <c r="J21" s="463" t="s">
        <v>4509</v>
      </c>
      <c r="K21" s="338" t="s">
        <v>511</v>
      </c>
      <c r="L21" s="308" t="s">
        <v>4630</v>
      </c>
      <c r="M21" s="202"/>
      <c r="N21" s="7"/>
    </row>
    <row r="22" spans="1:14" ht="15" customHeight="1" x14ac:dyDescent="0.2">
      <c r="A22" s="338"/>
      <c r="B22" s="464"/>
      <c r="C22" s="464"/>
      <c r="D22" s="466"/>
      <c r="E22" s="464"/>
      <c r="F22" s="464"/>
      <c r="G22" s="338"/>
      <c r="H22" s="338"/>
      <c r="I22" s="463"/>
      <c r="J22" s="463"/>
      <c r="K22" s="338"/>
      <c r="L22" s="308"/>
      <c r="M22" s="202"/>
      <c r="N22" s="7"/>
    </row>
    <row r="23" spans="1:14" x14ac:dyDescent="0.2">
      <c r="A23" s="338"/>
      <c r="B23" s="464"/>
      <c r="C23" s="464"/>
      <c r="D23" s="466"/>
      <c r="E23" s="464"/>
      <c r="F23" s="464"/>
      <c r="G23" s="338"/>
      <c r="H23" s="338"/>
      <c r="I23" s="463"/>
      <c r="J23" s="463"/>
      <c r="K23" s="338"/>
      <c r="L23" s="308"/>
      <c r="M23" s="202"/>
      <c r="N23" s="7"/>
    </row>
    <row r="24" spans="1:14" x14ac:dyDescent="0.2">
      <c r="A24" s="338"/>
      <c r="B24" s="495" t="s">
        <v>3730</v>
      </c>
      <c r="C24" s="495" t="s">
        <v>3802</v>
      </c>
      <c r="D24" s="498" t="s">
        <v>4219</v>
      </c>
      <c r="E24" s="495"/>
      <c r="F24" s="495"/>
      <c r="G24" s="338" t="s">
        <v>3731</v>
      </c>
      <c r="H24" s="338" t="s">
        <v>3798</v>
      </c>
      <c r="I24" s="463" t="s">
        <v>4510</v>
      </c>
      <c r="J24" s="340" t="s">
        <v>4631</v>
      </c>
      <c r="K24" s="338" t="s">
        <v>515</v>
      </c>
      <c r="L24" s="338" t="s">
        <v>4632</v>
      </c>
      <c r="M24" s="202"/>
      <c r="N24" s="7"/>
    </row>
    <row r="25" spans="1:14" x14ac:dyDescent="0.2">
      <c r="A25" s="338"/>
      <c r="B25" s="496"/>
      <c r="C25" s="496"/>
      <c r="D25" s="499"/>
      <c r="E25" s="496"/>
      <c r="F25" s="496"/>
      <c r="G25" s="338"/>
      <c r="H25" s="338"/>
      <c r="I25" s="463"/>
      <c r="J25" s="340"/>
      <c r="K25" s="338"/>
      <c r="L25" s="338"/>
      <c r="M25" s="202"/>
      <c r="N25" s="7"/>
    </row>
    <row r="26" spans="1:14" x14ac:dyDescent="0.2">
      <c r="A26" s="338"/>
      <c r="B26" s="496"/>
      <c r="C26" s="496"/>
      <c r="D26" s="499"/>
      <c r="E26" s="496"/>
      <c r="F26" s="496"/>
      <c r="G26" s="338"/>
      <c r="H26" s="338"/>
      <c r="I26" s="463"/>
      <c r="J26" s="340"/>
      <c r="K26" s="338"/>
      <c r="L26" s="338"/>
      <c r="M26" s="202"/>
      <c r="N26" s="7"/>
    </row>
    <row r="27" spans="1:14" ht="15" customHeight="1" x14ac:dyDescent="0.2">
      <c r="A27" s="338"/>
      <c r="B27" s="496"/>
      <c r="C27" s="496"/>
      <c r="D27" s="499"/>
      <c r="E27" s="496"/>
      <c r="F27" s="496"/>
      <c r="G27" s="338" t="s">
        <v>3732</v>
      </c>
      <c r="H27" s="338" t="s">
        <v>3800</v>
      </c>
      <c r="I27" s="463" t="s">
        <v>4511</v>
      </c>
      <c r="J27" s="473"/>
      <c r="K27" s="474"/>
      <c r="L27" s="338" t="s">
        <v>4633</v>
      </c>
      <c r="M27" s="202"/>
      <c r="N27" s="7"/>
    </row>
    <row r="28" spans="1:14" ht="15" customHeight="1" x14ac:dyDescent="0.2">
      <c r="A28" s="338"/>
      <c r="B28" s="496"/>
      <c r="C28" s="496"/>
      <c r="D28" s="499"/>
      <c r="E28" s="496"/>
      <c r="F28" s="496"/>
      <c r="G28" s="338"/>
      <c r="H28" s="338"/>
      <c r="I28" s="463"/>
      <c r="J28" s="473"/>
      <c r="K28" s="474"/>
      <c r="L28" s="338"/>
      <c r="M28" s="202"/>
      <c r="N28" s="7"/>
    </row>
    <row r="29" spans="1:14" x14ac:dyDescent="0.2">
      <c r="A29" s="338"/>
      <c r="B29" s="496"/>
      <c r="C29" s="496"/>
      <c r="D29" s="499"/>
      <c r="E29" s="496"/>
      <c r="F29" s="496"/>
      <c r="G29" s="338"/>
      <c r="H29" s="338"/>
      <c r="I29" s="463"/>
      <c r="J29" s="473"/>
      <c r="K29" s="474"/>
      <c r="L29" s="338"/>
      <c r="M29" s="202"/>
      <c r="N29" s="7"/>
    </row>
    <row r="30" spans="1:14" x14ac:dyDescent="0.2">
      <c r="A30" s="338"/>
      <c r="B30" s="496"/>
      <c r="C30" s="496"/>
      <c r="D30" s="499"/>
      <c r="E30" s="496"/>
      <c r="F30" s="496"/>
      <c r="G30" s="338" t="s">
        <v>3733</v>
      </c>
      <c r="H30" s="338" t="s">
        <v>3801</v>
      </c>
      <c r="I30" s="463" t="s">
        <v>4512</v>
      </c>
      <c r="J30" s="463" t="s">
        <v>4512</v>
      </c>
      <c r="K30" s="338" t="s">
        <v>511</v>
      </c>
      <c r="L30" s="338" t="s">
        <v>4634</v>
      </c>
      <c r="M30" s="202"/>
      <c r="N30" s="7"/>
    </row>
    <row r="31" spans="1:14" x14ac:dyDescent="0.2">
      <c r="A31" s="338"/>
      <c r="B31" s="496"/>
      <c r="C31" s="496"/>
      <c r="D31" s="499"/>
      <c r="E31" s="496"/>
      <c r="F31" s="496"/>
      <c r="G31" s="338"/>
      <c r="H31" s="338"/>
      <c r="I31" s="463"/>
      <c r="J31" s="463"/>
      <c r="K31" s="338"/>
      <c r="L31" s="338"/>
      <c r="M31" s="202"/>
      <c r="N31" s="7"/>
    </row>
    <row r="32" spans="1:14" x14ac:dyDescent="0.2">
      <c r="A32" s="338"/>
      <c r="B32" s="496"/>
      <c r="C32" s="496"/>
      <c r="D32" s="499"/>
      <c r="E32" s="496"/>
      <c r="F32" s="496"/>
      <c r="G32" s="338"/>
      <c r="H32" s="338"/>
      <c r="I32" s="463"/>
      <c r="J32" s="463"/>
      <c r="K32" s="338"/>
      <c r="L32" s="338"/>
      <c r="M32" s="202"/>
      <c r="N32" s="7"/>
    </row>
    <row r="33" spans="1:14" x14ac:dyDescent="0.2">
      <c r="A33" s="338"/>
      <c r="B33" s="496"/>
      <c r="C33" s="496"/>
      <c r="D33" s="499"/>
      <c r="E33" s="496"/>
      <c r="F33" s="496"/>
      <c r="G33" s="338" t="s">
        <v>3734</v>
      </c>
      <c r="H33" s="338"/>
      <c r="I33" s="463" t="s">
        <v>4513</v>
      </c>
      <c r="J33" s="340" t="s">
        <v>4635</v>
      </c>
      <c r="K33" s="338" t="s">
        <v>511</v>
      </c>
      <c r="L33" s="338" t="s">
        <v>4636</v>
      </c>
      <c r="M33" s="202"/>
      <c r="N33" s="7"/>
    </row>
    <row r="34" spans="1:14" x14ac:dyDescent="0.2">
      <c r="A34" s="338"/>
      <c r="B34" s="496"/>
      <c r="C34" s="496"/>
      <c r="D34" s="499"/>
      <c r="E34" s="496"/>
      <c r="F34" s="496"/>
      <c r="G34" s="338"/>
      <c r="H34" s="338"/>
      <c r="I34" s="463"/>
      <c r="J34" s="340"/>
      <c r="K34" s="338"/>
      <c r="L34" s="338"/>
      <c r="M34" s="202"/>
      <c r="N34" s="7"/>
    </row>
    <row r="35" spans="1:14" x14ac:dyDescent="0.2">
      <c r="A35" s="338"/>
      <c r="B35" s="496"/>
      <c r="C35" s="496"/>
      <c r="D35" s="499"/>
      <c r="E35" s="496"/>
      <c r="F35" s="496"/>
      <c r="G35" s="338"/>
      <c r="H35" s="338"/>
      <c r="I35" s="463"/>
      <c r="J35" s="340"/>
      <c r="K35" s="338"/>
      <c r="L35" s="338"/>
      <c r="M35" s="202"/>
      <c r="N35" s="37"/>
    </row>
    <row r="36" spans="1:14" x14ac:dyDescent="0.2">
      <c r="A36" s="338"/>
      <c r="B36" s="496"/>
      <c r="C36" s="496"/>
      <c r="D36" s="499"/>
      <c r="E36" s="496"/>
      <c r="F36" s="496"/>
      <c r="G36" s="338" t="s">
        <v>3735</v>
      </c>
      <c r="H36" s="338"/>
      <c r="I36" s="463" t="s">
        <v>4514</v>
      </c>
      <c r="J36" s="463" t="s">
        <v>4514</v>
      </c>
      <c r="K36" s="338" t="s">
        <v>511</v>
      </c>
      <c r="L36" s="338" t="s">
        <v>4637</v>
      </c>
      <c r="M36" s="202"/>
      <c r="N36" s="37"/>
    </row>
    <row r="37" spans="1:14" x14ac:dyDescent="0.2">
      <c r="A37" s="338"/>
      <c r="B37" s="496"/>
      <c r="C37" s="496"/>
      <c r="D37" s="499"/>
      <c r="E37" s="496"/>
      <c r="F37" s="496"/>
      <c r="G37" s="338"/>
      <c r="H37" s="338"/>
      <c r="I37" s="463"/>
      <c r="J37" s="463"/>
      <c r="K37" s="338"/>
      <c r="L37" s="338"/>
      <c r="M37" s="202"/>
      <c r="N37" s="37"/>
    </row>
    <row r="38" spans="1:14" x14ac:dyDescent="0.2">
      <c r="A38" s="338"/>
      <c r="B38" s="496"/>
      <c r="C38" s="496"/>
      <c r="D38" s="499"/>
      <c r="E38" s="496"/>
      <c r="F38" s="496"/>
      <c r="G38" s="338"/>
      <c r="H38" s="338"/>
      <c r="I38" s="463"/>
      <c r="J38" s="463"/>
      <c r="K38" s="338"/>
      <c r="L38" s="338"/>
      <c r="M38" s="202"/>
      <c r="N38" s="37"/>
    </row>
    <row r="39" spans="1:14" ht="15" customHeight="1" x14ac:dyDescent="0.25">
      <c r="A39" s="338"/>
      <c r="B39" s="496"/>
      <c r="C39" s="496"/>
      <c r="D39" s="499"/>
      <c r="E39" s="496"/>
      <c r="F39" s="496"/>
      <c r="G39" s="338" t="s">
        <v>3736</v>
      </c>
      <c r="H39" s="338"/>
      <c r="I39" s="463"/>
      <c r="J39" s="340"/>
      <c r="K39" s="338"/>
      <c r="L39" s="338"/>
      <c r="M39" s="202"/>
      <c r="N39" s="104"/>
    </row>
    <row r="40" spans="1:14" ht="15" customHeight="1" x14ac:dyDescent="0.25">
      <c r="A40" s="338"/>
      <c r="B40" s="496"/>
      <c r="C40" s="496"/>
      <c r="D40" s="499"/>
      <c r="E40" s="496"/>
      <c r="F40" s="496"/>
      <c r="G40" s="338"/>
      <c r="H40" s="338"/>
      <c r="I40" s="463"/>
      <c r="J40" s="340"/>
      <c r="K40" s="338"/>
      <c r="L40" s="338"/>
      <c r="M40" s="202"/>
      <c r="N40" s="104"/>
    </row>
    <row r="41" spans="1:14" x14ac:dyDescent="0.25">
      <c r="A41" s="338"/>
      <c r="B41" s="496"/>
      <c r="C41" s="496"/>
      <c r="D41" s="499"/>
      <c r="E41" s="496"/>
      <c r="F41" s="496"/>
      <c r="G41" s="338"/>
      <c r="H41" s="338"/>
      <c r="I41" s="463"/>
      <c r="J41" s="340"/>
      <c r="K41" s="338"/>
      <c r="L41" s="338"/>
      <c r="M41" s="202"/>
      <c r="N41" s="33"/>
    </row>
    <row r="42" spans="1:14" x14ac:dyDescent="0.25">
      <c r="A42" s="464"/>
      <c r="B42" s="493" t="s">
        <v>3737</v>
      </c>
      <c r="C42" s="493" t="s">
        <v>3803</v>
      </c>
      <c r="D42" s="494" t="s">
        <v>1391</v>
      </c>
      <c r="E42" s="493"/>
      <c r="F42" s="493"/>
      <c r="G42" s="338" t="s">
        <v>3738</v>
      </c>
      <c r="H42" s="338" t="s">
        <v>3804</v>
      </c>
      <c r="I42" s="463" t="s">
        <v>4515</v>
      </c>
      <c r="J42" s="340" t="s">
        <v>4638</v>
      </c>
      <c r="K42" s="492" t="s">
        <v>505</v>
      </c>
      <c r="L42" s="338" t="s">
        <v>4639</v>
      </c>
      <c r="M42" s="202"/>
      <c r="N42" s="33"/>
    </row>
    <row r="43" spans="1:14" x14ac:dyDescent="0.25">
      <c r="A43" s="464"/>
      <c r="B43" s="493"/>
      <c r="C43" s="493"/>
      <c r="D43" s="494"/>
      <c r="E43" s="493"/>
      <c r="F43" s="493"/>
      <c r="G43" s="338"/>
      <c r="H43" s="338"/>
      <c r="I43" s="463"/>
      <c r="J43" s="340"/>
      <c r="K43" s="492"/>
      <c r="L43" s="338"/>
      <c r="M43" s="202"/>
      <c r="N43" s="33"/>
    </row>
    <row r="44" spans="1:14" ht="31.5" customHeight="1" x14ac:dyDescent="0.25">
      <c r="A44" s="464"/>
      <c r="B44" s="493"/>
      <c r="C44" s="493"/>
      <c r="D44" s="494"/>
      <c r="E44" s="493"/>
      <c r="F44" s="493"/>
      <c r="G44" s="338"/>
      <c r="H44" s="338"/>
      <c r="I44" s="463"/>
      <c r="J44" s="340"/>
      <c r="K44" s="492"/>
      <c r="L44" s="338"/>
      <c r="M44" s="202"/>
      <c r="N44" s="33"/>
    </row>
    <row r="45" spans="1:14" ht="15" customHeight="1" x14ac:dyDescent="0.25">
      <c r="A45" s="464"/>
      <c r="B45" s="493"/>
      <c r="C45" s="493"/>
      <c r="D45" s="494"/>
      <c r="E45" s="493"/>
      <c r="F45" s="493"/>
      <c r="G45" s="338" t="s">
        <v>3739</v>
      </c>
      <c r="H45" s="338" t="s">
        <v>3805</v>
      </c>
      <c r="I45" s="463" t="s">
        <v>4516</v>
      </c>
      <c r="J45" s="463" t="s">
        <v>4516</v>
      </c>
      <c r="K45" s="338" t="s">
        <v>511</v>
      </c>
      <c r="L45" s="338" t="s">
        <v>4640</v>
      </c>
      <c r="M45" s="202"/>
      <c r="N45" s="33"/>
    </row>
    <row r="46" spans="1:14" ht="15" customHeight="1" x14ac:dyDescent="0.25">
      <c r="A46" s="464"/>
      <c r="B46" s="493"/>
      <c r="C46" s="493"/>
      <c r="D46" s="494"/>
      <c r="E46" s="493"/>
      <c r="F46" s="493"/>
      <c r="G46" s="338"/>
      <c r="H46" s="338"/>
      <c r="I46" s="463"/>
      <c r="J46" s="463"/>
      <c r="K46" s="338"/>
      <c r="L46" s="338"/>
      <c r="M46" s="202"/>
      <c r="N46" s="33"/>
    </row>
    <row r="47" spans="1:14" x14ac:dyDescent="0.25">
      <c r="A47" s="464"/>
      <c r="B47" s="493"/>
      <c r="C47" s="493"/>
      <c r="D47" s="494"/>
      <c r="E47" s="493"/>
      <c r="F47" s="493"/>
      <c r="G47" s="338"/>
      <c r="H47" s="338"/>
      <c r="I47" s="463"/>
      <c r="J47" s="463"/>
      <c r="K47" s="338"/>
      <c r="L47" s="338"/>
      <c r="M47" s="202"/>
      <c r="N47" s="33"/>
    </row>
    <row r="48" spans="1:14" ht="15" customHeight="1" x14ac:dyDescent="0.25">
      <c r="A48" s="464"/>
      <c r="B48" s="493"/>
      <c r="C48" s="493"/>
      <c r="D48" s="494"/>
      <c r="E48" s="493"/>
      <c r="F48" s="493"/>
      <c r="G48" s="338" t="s">
        <v>3740</v>
      </c>
      <c r="H48" s="338" t="s">
        <v>3806</v>
      </c>
      <c r="I48" s="463" t="s">
        <v>4517</v>
      </c>
      <c r="J48" s="463" t="s">
        <v>4517</v>
      </c>
      <c r="K48" s="338" t="s">
        <v>511</v>
      </c>
      <c r="L48" s="338" t="s">
        <v>4641</v>
      </c>
      <c r="M48" s="202"/>
      <c r="N48" s="33"/>
    </row>
    <row r="49" spans="1:14 16384:16384" ht="15" customHeight="1" x14ac:dyDescent="0.25">
      <c r="A49" s="464"/>
      <c r="B49" s="493"/>
      <c r="C49" s="493"/>
      <c r="D49" s="494"/>
      <c r="E49" s="493"/>
      <c r="F49" s="493"/>
      <c r="G49" s="338"/>
      <c r="H49" s="338"/>
      <c r="I49" s="463"/>
      <c r="J49" s="463"/>
      <c r="K49" s="338"/>
      <c r="L49" s="338"/>
      <c r="M49" s="202"/>
      <c r="N49" s="33"/>
    </row>
    <row r="50" spans="1:14 16384:16384" x14ac:dyDescent="0.25">
      <c r="A50" s="464"/>
      <c r="B50" s="493"/>
      <c r="C50" s="493"/>
      <c r="D50" s="494"/>
      <c r="E50" s="493"/>
      <c r="F50" s="493"/>
      <c r="G50" s="338"/>
      <c r="H50" s="338"/>
      <c r="I50" s="463"/>
      <c r="J50" s="463"/>
      <c r="K50" s="338"/>
      <c r="L50" s="338"/>
      <c r="M50" s="202"/>
      <c r="N50" s="33"/>
    </row>
    <row r="51" spans="1:14 16384:16384" x14ac:dyDescent="0.25">
      <c r="A51" s="464"/>
      <c r="B51" s="493"/>
      <c r="C51" s="493"/>
      <c r="D51" s="494"/>
      <c r="E51" s="493"/>
      <c r="F51" s="493"/>
      <c r="G51" s="338" t="s">
        <v>3741</v>
      </c>
      <c r="H51" s="338" t="s">
        <v>3807</v>
      </c>
      <c r="I51" s="463" t="s">
        <v>4518</v>
      </c>
      <c r="J51" s="463" t="s">
        <v>4518</v>
      </c>
      <c r="K51" s="338" t="s">
        <v>515</v>
      </c>
      <c r="L51" s="338" t="s">
        <v>4642</v>
      </c>
      <c r="M51" s="202"/>
      <c r="N51" s="33"/>
    </row>
    <row r="52" spans="1:14 16384:16384" x14ac:dyDescent="0.25">
      <c r="A52" s="464"/>
      <c r="B52" s="493"/>
      <c r="C52" s="493"/>
      <c r="D52" s="494"/>
      <c r="E52" s="493"/>
      <c r="F52" s="493"/>
      <c r="G52" s="338"/>
      <c r="H52" s="338"/>
      <c r="I52" s="463"/>
      <c r="J52" s="463"/>
      <c r="K52" s="338"/>
      <c r="L52" s="338"/>
      <c r="M52" s="202"/>
      <c r="N52" s="33"/>
    </row>
    <row r="53" spans="1:14 16384:16384" x14ac:dyDescent="0.25">
      <c r="A53" s="464"/>
      <c r="B53" s="493"/>
      <c r="C53" s="493"/>
      <c r="D53" s="494"/>
      <c r="E53" s="493"/>
      <c r="F53" s="493"/>
      <c r="G53" s="338"/>
      <c r="H53" s="338"/>
      <c r="I53" s="463"/>
      <c r="J53" s="463"/>
      <c r="K53" s="338"/>
      <c r="L53" s="338"/>
      <c r="M53" s="202"/>
      <c r="N53" s="33"/>
    </row>
    <row r="54" spans="1:14 16384:16384" x14ac:dyDescent="0.25">
      <c r="A54" s="464"/>
      <c r="B54" s="493"/>
      <c r="C54" s="493"/>
      <c r="D54" s="494"/>
      <c r="E54" s="493"/>
      <c r="F54" s="493"/>
      <c r="G54" s="338" t="s">
        <v>3742</v>
      </c>
      <c r="H54" s="338" t="s">
        <v>3808</v>
      </c>
      <c r="I54" s="463" t="s">
        <v>4519</v>
      </c>
      <c r="J54" s="473"/>
      <c r="K54" s="474"/>
      <c r="L54" s="338" t="s">
        <v>4643</v>
      </c>
      <c r="M54" s="202"/>
      <c r="N54" s="33"/>
    </row>
    <row r="55" spans="1:14 16384:16384" x14ac:dyDescent="0.25">
      <c r="A55" s="464"/>
      <c r="B55" s="493"/>
      <c r="C55" s="493"/>
      <c r="D55" s="494"/>
      <c r="E55" s="493"/>
      <c r="F55" s="493"/>
      <c r="G55" s="338"/>
      <c r="H55" s="338"/>
      <c r="I55" s="463"/>
      <c r="J55" s="473"/>
      <c r="K55" s="474"/>
      <c r="L55" s="338"/>
      <c r="M55" s="202"/>
      <c r="N55" s="33"/>
    </row>
    <row r="56" spans="1:14 16384:16384" x14ac:dyDescent="0.25">
      <c r="A56" s="464"/>
      <c r="B56" s="493"/>
      <c r="C56" s="493"/>
      <c r="D56" s="494"/>
      <c r="E56" s="493"/>
      <c r="F56" s="493"/>
      <c r="G56" s="338"/>
      <c r="H56" s="338"/>
      <c r="I56" s="463"/>
      <c r="J56" s="473"/>
      <c r="K56" s="474"/>
      <c r="L56" s="338"/>
      <c r="M56" s="202"/>
      <c r="N56" s="33"/>
    </row>
    <row r="57" spans="1:14 16384:16384" ht="15" customHeight="1" x14ac:dyDescent="0.25">
      <c r="A57" s="464"/>
      <c r="B57" s="493"/>
      <c r="C57" s="493"/>
      <c r="D57" s="494"/>
      <c r="E57" s="493"/>
      <c r="F57" s="493"/>
      <c r="G57" s="338" t="s">
        <v>3743</v>
      </c>
      <c r="H57" s="338" t="s">
        <v>3812</v>
      </c>
      <c r="I57" s="463" t="s">
        <v>4520</v>
      </c>
      <c r="J57" s="473"/>
      <c r="K57" s="474"/>
      <c r="L57" s="338" t="s">
        <v>4644</v>
      </c>
      <c r="M57" s="202"/>
      <c r="N57" s="33"/>
      <c r="XFD57" s="463" t="s">
        <v>4520</v>
      </c>
    </row>
    <row r="58" spans="1:14 16384:16384" ht="15" customHeight="1" x14ac:dyDescent="0.25">
      <c r="A58" s="464"/>
      <c r="B58" s="493"/>
      <c r="C58" s="493"/>
      <c r="D58" s="494"/>
      <c r="E58" s="493"/>
      <c r="F58" s="493"/>
      <c r="G58" s="338"/>
      <c r="H58" s="338"/>
      <c r="I58" s="463"/>
      <c r="J58" s="473"/>
      <c r="K58" s="474"/>
      <c r="L58" s="338"/>
      <c r="M58" s="202"/>
      <c r="N58" s="33"/>
      <c r="XFD58" s="463"/>
    </row>
    <row r="59" spans="1:14 16384:16384" x14ac:dyDescent="0.25">
      <c r="A59" s="464"/>
      <c r="B59" s="493"/>
      <c r="C59" s="493"/>
      <c r="D59" s="494"/>
      <c r="E59" s="493"/>
      <c r="F59" s="493"/>
      <c r="G59" s="338"/>
      <c r="H59" s="338"/>
      <c r="I59" s="463"/>
      <c r="J59" s="473"/>
      <c r="K59" s="474"/>
      <c r="L59" s="338"/>
      <c r="M59" s="202"/>
      <c r="N59" s="33"/>
      <c r="XFD59" s="463"/>
    </row>
    <row r="60" spans="1:14 16384:16384" ht="15" customHeight="1" x14ac:dyDescent="0.25">
      <c r="A60" s="464"/>
      <c r="B60" s="493"/>
      <c r="C60" s="493"/>
      <c r="D60" s="494"/>
      <c r="E60" s="493"/>
      <c r="F60" s="493"/>
      <c r="G60" s="338" t="s">
        <v>3809</v>
      </c>
      <c r="H60" s="338" t="s">
        <v>3813</v>
      </c>
      <c r="I60" s="463" t="s">
        <v>4521</v>
      </c>
      <c r="J60" s="463" t="s">
        <v>4521</v>
      </c>
      <c r="K60" s="338" t="s">
        <v>511</v>
      </c>
      <c r="L60" s="338" t="s">
        <v>4645</v>
      </c>
      <c r="M60" s="202"/>
      <c r="N60" s="33"/>
    </row>
    <row r="61" spans="1:14 16384:16384" ht="15" customHeight="1" x14ac:dyDescent="0.25">
      <c r="A61" s="464"/>
      <c r="B61" s="493"/>
      <c r="C61" s="493"/>
      <c r="D61" s="494"/>
      <c r="E61" s="493"/>
      <c r="F61" s="493"/>
      <c r="G61" s="338"/>
      <c r="H61" s="338"/>
      <c r="I61" s="463"/>
      <c r="J61" s="463"/>
      <c r="K61" s="338"/>
      <c r="L61" s="338"/>
      <c r="M61" s="202"/>
      <c r="N61" s="33"/>
    </row>
    <row r="62" spans="1:14 16384:16384" x14ac:dyDescent="0.25">
      <c r="A62" s="464"/>
      <c r="B62" s="493"/>
      <c r="C62" s="493"/>
      <c r="D62" s="494"/>
      <c r="E62" s="493"/>
      <c r="F62" s="493"/>
      <c r="G62" s="338"/>
      <c r="H62" s="338"/>
      <c r="I62" s="463"/>
      <c r="J62" s="463"/>
      <c r="K62" s="338"/>
      <c r="L62" s="338"/>
      <c r="M62" s="202"/>
      <c r="N62" s="33"/>
    </row>
    <row r="63" spans="1:14 16384:16384" ht="15" customHeight="1" x14ac:dyDescent="0.25">
      <c r="A63" s="464"/>
      <c r="B63" s="493"/>
      <c r="C63" s="493"/>
      <c r="D63" s="494"/>
      <c r="E63" s="493"/>
      <c r="F63" s="493"/>
      <c r="G63" s="338" t="s">
        <v>3810</v>
      </c>
      <c r="H63" s="338" t="s">
        <v>3814</v>
      </c>
      <c r="I63" s="463" t="s">
        <v>4522</v>
      </c>
      <c r="J63" s="473"/>
      <c r="K63" s="474"/>
      <c r="L63" s="338" t="s">
        <v>4646</v>
      </c>
      <c r="M63" s="202"/>
      <c r="N63" s="33"/>
    </row>
    <row r="64" spans="1:14 16384:16384" ht="15" customHeight="1" x14ac:dyDescent="0.25">
      <c r="A64" s="464"/>
      <c r="B64" s="493"/>
      <c r="C64" s="493"/>
      <c r="D64" s="494"/>
      <c r="E64" s="493"/>
      <c r="F64" s="493"/>
      <c r="G64" s="338"/>
      <c r="H64" s="338"/>
      <c r="I64" s="463"/>
      <c r="J64" s="473"/>
      <c r="K64" s="474"/>
      <c r="L64" s="338"/>
      <c r="M64" s="202"/>
      <c r="N64" s="33"/>
    </row>
    <row r="65" spans="1:14" x14ac:dyDescent="0.25">
      <c r="A65" s="464"/>
      <c r="B65" s="493"/>
      <c r="C65" s="493"/>
      <c r="D65" s="494"/>
      <c r="E65" s="493"/>
      <c r="F65" s="493"/>
      <c r="G65" s="338"/>
      <c r="H65" s="338"/>
      <c r="I65" s="463"/>
      <c r="J65" s="473"/>
      <c r="K65" s="474"/>
      <c r="L65" s="338"/>
      <c r="M65" s="202"/>
      <c r="N65" s="33"/>
    </row>
    <row r="66" spans="1:14" ht="15" customHeight="1" x14ac:dyDescent="0.25">
      <c r="A66" s="464"/>
      <c r="B66" s="493"/>
      <c r="C66" s="493"/>
      <c r="D66" s="494"/>
      <c r="E66" s="493"/>
      <c r="F66" s="493"/>
      <c r="G66" s="338" t="s">
        <v>3811</v>
      </c>
      <c r="H66" s="338"/>
      <c r="I66" s="463"/>
      <c r="J66" s="463"/>
      <c r="K66" s="338"/>
      <c r="L66" s="338"/>
      <c r="M66" s="202"/>
      <c r="N66" s="33"/>
    </row>
    <row r="67" spans="1:14" ht="15" customHeight="1" x14ac:dyDescent="0.25">
      <c r="A67" s="464"/>
      <c r="B67" s="493"/>
      <c r="C67" s="493"/>
      <c r="D67" s="494"/>
      <c r="E67" s="493"/>
      <c r="F67" s="493"/>
      <c r="G67" s="338"/>
      <c r="H67" s="338"/>
      <c r="I67" s="463"/>
      <c r="J67" s="463"/>
      <c r="K67" s="338"/>
      <c r="L67" s="338"/>
      <c r="M67" s="202"/>
      <c r="N67" s="33"/>
    </row>
    <row r="68" spans="1:14" x14ac:dyDescent="0.25">
      <c r="A68" s="464"/>
      <c r="B68" s="493"/>
      <c r="C68" s="493"/>
      <c r="D68" s="494"/>
      <c r="E68" s="493"/>
      <c r="F68" s="493"/>
      <c r="G68" s="338"/>
      <c r="H68" s="338"/>
      <c r="I68" s="463"/>
      <c r="J68" s="463"/>
      <c r="K68" s="338"/>
      <c r="L68" s="338"/>
      <c r="M68" s="202"/>
      <c r="N68" s="33"/>
    </row>
    <row r="69" spans="1:14" x14ac:dyDescent="0.25">
      <c r="A69" s="464"/>
      <c r="B69" s="479" t="s">
        <v>3744</v>
      </c>
      <c r="C69" s="479" t="s">
        <v>1543</v>
      </c>
      <c r="D69" s="490" t="s">
        <v>4523</v>
      </c>
      <c r="E69" s="479"/>
      <c r="F69" s="479"/>
      <c r="G69" s="338" t="s">
        <v>3745</v>
      </c>
      <c r="H69" s="338" t="s">
        <v>3817</v>
      </c>
      <c r="I69" s="463" t="s">
        <v>4524</v>
      </c>
      <c r="J69" s="463" t="s">
        <v>4524</v>
      </c>
      <c r="K69" s="338" t="s">
        <v>511</v>
      </c>
      <c r="L69" s="338" t="s">
        <v>4647</v>
      </c>
      <c r="M69" s="202"/>
      <c r="N69" s="33"/>
    </row>
    <row r="70" spans="1:14" x14ac:dyDescent="0.25">
      <c r="A70" s="464"/>
      <c r="B70" s="480"/>
      <c r="C70" s="480"/>
      <c r="D70" s="491"/>
      <c r="E70" s="480"/>
      <c r="F70" s="480"/>
      <c r="G70" s="338"/>
      <c r="H70" s="338"/>
      <c r="I70" s="463"/>
      <c r="J70" s="463"/>
      <c r="K70" s="338"/>
      <c r="L70" s="338"/>
      <c r="M70" s="202"/>
      <c r="N70" s="33"/>
    </row>
    <row r="71" spans="1:14" x14ac:dyDescent="0.2">
      <c r="A71" s="464"/>
      <c r="B71" s="480"/>
      <c r="C71" s="480"/>
      <c r="D71" s="491"/>
      <c r="E71" s="480"/>
      <c r="F71" s="480"/>
      <c r="G71" s="338"/>
      <c r="H71" s="338"/>
      <c r="I71" s="463"/>
      <c r="J71" s="463"/>
      <c r="K71" s="338"/>
      <c r="L71" s="338"/>
      <c r="M71" s="202"/>
      <c r="N71" s="34"/>
    </row>
    <row r="72" spans="1:14" x14ac:dyDescent="0.2">
      <c r="A72" s="464"/>
      <c r="B72" s="480"/>
      <c r="C72" s="480"/>
      <c r="D72" s="491"/>
      <c r="E72" s="480"/>
      <c r="F72" s="480"/>
      <c r="G72" s="338" t="s">
        <v>3746</v>
      </c>
      <c r="H72" s="338" t="s">
        <v>3818</v>
      </c>
      <c r="I72" s="463" t="s">
        <v>4525</v>
      </c>
      <c r="J72" s="463" t="s">
        <v>4525</v>
      </c>
      <c r="K72" s="338" t="s">
        <v>505</v>
      </c>
      <c r="L72" s="338" t="s">
        <v>4648</v>
      </c>
      <c r="M72" s="202"/>
      <c r="N72" s="34"/>
    </row>
    <row r="73" spans="1:14" x14ac:dyDescent="0.2">
      <c r="A73" s="464"/>
      <c r="B73" s="480"/>
      <c r="C73" s="480"/>
      <c r="D73" s="491"/>
      <c r="E73" s="480"/>
      <c r="F73" s="480"/>
      <c r="G73" s="338"/>
      <c r="H73" s="338"/>
      <c r="I73" s="463"/>
      <c r="J73" s="463"/>
      <c r="K73" s="338"/>
      <c r="L73" s="338"/>
      <c r="M73" s="202"/>
      <c r="N73" s="34"/>
    </row>
    <row r="74" spans="1:14" x14ac:dyDescent="0.2">
      <c r="A74" s="464"/>
      <c r="B74" s="480"/>
      <c r="C74" s="480"/>
      <c r="D74" s="491"/>
      <c r="E74" s="480"/>
      <c r="F74" s="480"/>
      <c r="G74" s="338"/>
      <c r="H74" s="338"/>
      <c r="I74" s="463"/>
      <c r="J74" s="463"/>
      <c r="K74" s="338"/>
      <c r="L74" s="338"/>
      <c r="M74" s="202"/>
      <c r="N74" s="34"/>
    </row>
    <row r="75" spans="1:14" ht="16.350000000000001" customHeight="1" x14ac:dyDescent="0.2">
      <c r="A75" s="464"/>
      <c r="B75" s="480"/>
      <c r="C75" s="480"/>
      <c r="D75" s="491"/>
      <c r="E75" s="480"/>
      <c r="F75" s="480"/>
      <c r="G75" s="338" t="s">
        <v>3747</v>
      </c>
      <c r="H75" s="338" t="s">
        <v>3819</v>
      </c>
      <c r="I75" s="463" t="s">
        <v>4526</v>
      </c>
      <c r="J75" s="463" t="s">
        <v>4526</v>
      </c>
      <c r="K75" s="338" t="s">
        <v>511</v>
      </c>
      <c r="L75" s="338"/>
      <c r="M75" s="202"/>
      <c r="N75" s="34"/>
    </row>
    <row r="76" spans="1:14" ht="16.350000000000001" customHeight="1" x14ac:dyDescent="0.2">
      <c r="A76" s="464"/>
      <c r="B76" s="480"/>
      <c r="C76" s="480"/>
      <c r="D76" s="491"/>
      <c r="E76" s="480"/>
      <c r="F76" s="480"/>
      <c r="G76" s="338"/>
      <c r="H76" s="338"/>
      <c r="I76" s="463"/>
      <c r="J76" s="463"/>
      <c r="K76" s="338"/>
      <c r="L76" s="338"/>
      <c r="M76" s="202"/>
      <c r="N76" s="34"/>
    </row>
    <row r="77" spans="1:14" x14ac:dyDescent="0.2">
      <c r="A77" s="464"/>
      <c r="B77" s="480"/>
      <c r="C77" s="480"/>
      <c r="D77" s="491"/>
      <c r="E77" s="480"/>
      <c r="F77" s="480"/>
      <c r="G77" s="338"/>
      <c r="H77" s="338"/>
      <c r="I77" s="463"/>
      <c r="J77" s="463"/>
      <c r="K77" s="338"/>
      <c r="L77" s="338"/>
      <c r="M77" s="202"/>
      <c r="N77" s="34"/>
    </row>
    <row r="78" spans="1:14" ht="16.350000000000001" customHeight="1" x14ac:dyDescent="0.2">
      <c r="A78" s="464"/>
      <c r="B78" s="480"/>
      <c r="C78" s="480"/>
      <c r="D78" s="491"/>
      <c r="E78" s="480"/>
      <c r="F78" s="480"/>
      <c r="G78" s="338" t="s">
        <v>3748</v>
      </c>
      <c r="H78" s="338" t="s">
        <v>3820</v>
      </c>
      <c r="I78" s="463" t="s">
        <v>4527</v>
      </c>
      <c r="J78" s="473"/>
      <c r="K78" s="474"/>
      <c r="L78" s="338" t="s">
        <v>4649</v>
      </c>
      <c r="M78" s="202"/>
      <c r="N78" s="34"/>
    </row>
    <row r="79" spans="1:14" ht="16.350000000000001" customHeight="1" x14ac:dyDescent="0.2">
      <c r="A79" s="464"/>
      <c r="B79" s="480"/>
      <c r="C79" s="480"/>
      <c r="D79" s="491"/>
      <c r="E79" s="480"/>
      <c r="F79" s="480"/>
      <c r="G79" s="338"/>
      <c r="H79" s="338"/>
      <c r="I79" s="463"/>
      <c r="J79" s="473"/>
      <c r="K79" s="474"/>
      <c r="L79" s="338"/>
      <c r="M79" s="202"/>
      <c r="N79" s="34"/>
    </row>
    <row r="80" spans="1:14" x14ac:dyDescent="0.2">
      <c r="A80" s="464"/>
      <c r="B80" s="480"/>
      <c r="C80" s="480"/>
      <c r="D80" s="491"/>
      <c r="E80" s="480"/>
      <c r="F80" s="480"/>
      <c r="G80" s="338"/>
      <c r="H80" s="338"/>
      <c r="I80" s="463"/>
      <c r="J80" s="473"/>
      <c r="K80" s="474"/>
      <c r="L80" s="338"/>
      <c r="M80" s="202"/>
      <c r="N80" s="100"/>
    </row>
    <row r="81" spans="1:14" ht="16.350000000000001" customHeight="1" x14ac:dyDescent="0.2">
      <c r="A81" s="464"/>
      <c r="B81" s="480"/>
      <c r="C81" s="480"/>
      <c r="D81" s="491"/>
      <c r="E81" s="480"/>
      <c r="F81" s="480"/>
      <c r="G81" s="338" t="s">
        <v>3749</v>
      </c>
      <c r="H81" s="338" t="s">
        <v>3821</v>
      </c>
      <c r="I81" s="463" t="s">
        <v>4528</v>
      </c>
      <c r="J81" s="463" t="s">
        <v>4528</v>
      </c>
      <c r="K81" s="338" t="s">
        <v>511</v>
      </c>
      <c r="L81" s="338" t="s">
        <v>4650</v>
      </c>
      <c r="M81" s="202"/>
      <c r="N81" s="100"/>
    </row>
    <row r="82" spans="1:14" ht="16.350000000000001" customHeight="1" x14ac:dyDescent="0.2">
      <c r="A82" s="464"/>
      <c r="B82" s="480"/>
      <c r="C82" s="480"/>
      <c r="D82" s="491"/>
      <c r="E82" s="480"/>
      <c r="F82" s="480"/>
      <c r="G82" s="338"/>
      <c r="H82" s="338"/>
      <c r="I82" s="463"/>
      <c r="J82" s="463"/>
      <c r="K82" s="338"/>
      <c r="L82" s="338"/>
      <c r="M82" s="202"/>
      <c r="N82" s="100"/>
    </row>
    <row r="83" spans="1:14" x14ac:dyDescent="0.2">
      <c r="A83" s="464"/>
      <c r="B83" s="480"/>
      <c r="C83" s="480"/>
      <c r="D83" s="491"/>
      <c r="E83" s="480"/>
      <c r="F83" s="480"/>
      <c r="G83" s="338"/>
      <c r="H83" s="338"/>
      <c r="I83" s="463"/>
      <c r="J83" s="463"/>
      <c r="K83" s="338"/>
      <c r="L83" s="338"/>
      <c r="M83" s="202"/>
      <c r="N83" s="37"/>
    </row>
    <row r="84" spans="1:14" ht="16.350000000000001" customHeight="1" x14ac:dyDescent="0.2">
      <c r="A84" s="464"/>
      <c r="B84" s="480"/>
      <c r="C84" s="480"/>
      <c r="D84" s="491"/>
      <c r="E84" s="480"/>
      <c r="F84" s="480"/>
      <c r="G84" s="338" t="s">
        <v>3750</v>
      </c>
      <c r="H84" s="338" t="s">
        <v>3826</v>
      </c>
      <c r="I84" s="463" t="s">
        <v>4529</v>
      </c>
      <c r="J84" s="463" t="s">
        <v>4529</v>
      </c>
      <c r="K84" s="338" t="s">
        <v>511</v>
      </c>
      <c r="L84" s="338" t="s">
        <v>4651</v>
      </c>
      <c r="M84" s="202"/>
      <c r="N84" s="34"/>
    </row>
    <row r="85" spans="1:14" ht="16.350000000000001" customHeight="1" x14ac:dyDescent="0.2">
      <c r="A85" s="464"/>
      <c r="B85" s="480"/>
      <c r="C85" s="480"/>
      <c r="D85" s="491"/>
      <c r="E85" s="480"/>
      <c r="F85" s="480"/>
      <c r="G85" s="338"/>
      <c r="H85" s="338"/>
      <c r="I85" s="463"/>
      <c r="J85" s="463"/>
      <c r="K85" s="338"/>
      <c r="L85" s="338"/>
      <c r="M85" s="202"/>
      <c r="N85" s="34"/>
    </row>
    <row r="86" spans="1:14" x14ac:dyDescent="0.2">
      <c r="A86" s="464"/>
      <c r="B86" s="480"/>
      <c r="C86" s="480"/>
      <c r="D86" s="491"/>
      <c r="E86" s="480"/>
      <c r="F86" s="480"/>
      <c r="G86" s="338"/>
      <c r="H86" s="338"/>
      <c r="I86" s="463"/>
      <c r="J86" s="463"/>
      <c r="K86" s="338"/>
      <c r="L86" s="338"/>
      <c r="M86" s="202"/>
      <c r="N86" s="100"/>
    </row>
    <row r="87" spans="1:14" ht="16.350000000000001" customHeight="1" x14ac:dyDescent="0.2">
      <c r="A87" s="464"/>
      <c r="B87" s="480"/>
      <c r="C87" s="480"/>
      <c r="D87" s="491"/>
      <c r="E87" s="480"/>
      <c r="F87" s="480"/>
      <c r="G87" s="338" t="s">
        <v>3822</v>
      </c>
      <c r="H87" s="338" t="s">
        <v>3827</v>
      </c>
      <c r="I87" s="463" t="s">
        <v>4530</v>
      </c>
      <c r="J87" s="473"/>
      <c r="K87" s="474"/>
      <c r="L87" s="338" t="s">
        <v>4652</v>
      </c>
      <c r="M87" s="202"/>
      <c r="N87" s="34"/>
    </row>
    <row r="88" spans="1:14" ht="16.350000000000001" customHeight="1" x14ac:dyDescent="0.2">
      <c r="A88" s="464"/>
      <c r="B88" s="480"/>
      <c r="C88" s="480"/>
      <c r="D88" s="491"/>
      <c r="E88" s="480"/>
      <c r="F88" s="480"/>
      <c r="G88" s="338"/>
      <c r="H88" s="338"/>
      <c r="I88" s="463"/>
      <c r="J88" s="473"/>
      <c r="K88" s="474"/>
      <c r="L88" s="338"/>
      <c r="M88" s="202"/>
      <c r="N88" s="34"/>
    </row>
    <row r="89" spans="1:14" x14ac:dyDescent="0.2">
      <c r="A89" s="464"/>
      <c r="B89" s="480"/>
      <c r="C89" s="480"/>
      <c r="D89" s="491"/>
      <c r="E89" s="480"/>
      <c r="F89" s="480"/>
      <c r="G89" s="338"/>
      <c r="H89" s="338"/>
      <c r="I89" s="463"/>
      <c r="J89" s="473"/>
      <c r="K89" s="474"/>
      <c r="L89" s="338"/>
      <c r="M89" s="202"/>
      <c r="N89" s="100"/>
    </row>
    <row r="90" spans="1:14" ht="16.350000000000001" customHeight="1" x14ac:dyDescent="0.2">
      <c r="A90" s="464"/>
      <c r="B90" s="480"/>
      <c r="C90" s="480"/>
      <c r="D90" s="491"/>
      <c r="E90" s="480"/>
      <c r="F90" s="480"/>
      <c r="G90" s="338" t="s">
        <v>3823</v>
      </c>
      <c r="H90" s="338" t="s">
        <v>3828</v>
      </c>
      <c r="I90" s="463" t="s">
        <v>4531</v>
      </c>
      <c r="J90" s="463" t="s">
        <v>4653</v>
      </c>
      <c r="K90" s="338" t="s">
        <v>515</v>
      </c>
      <c r="L90" s="338" t="s">
        <v>4654</v>
      </c>
      <c r="M90" s="202"/>
      <c r="N90" s="34"/>
    </row>
    <row r="91" spans="1:14" ht="16.350000000000001" customHeight="1" x14ac:dyDescent="0.2">
      <c r="A91" s="464"/>
      <c r="B91" s="480"/>
      <c r="C91" s="480"/>
      <c r="D91" s="491"/>
      <c r="E91" s="480"/>
      <c r="F91" s="480"/>
      <c r="G91" s="338"/>
      <c r="H91" s="338"/>
      <c r="I91" s="463"/>
      <c r="J91" s="463"/>
      <c r="K91" s="338"/>
      <c r="L91" s="338"/>
      <c r="M91" s="202"/>
      <c r="N91" s="34"/>
    </row>
    <row r="92" spans="1:14" x14ac:dyDescent="0.2">
      <c r="A92" s="464"/>
      <c r="B92" s="480"/>
      <c r="C92" s="480"/>
      <c r="D92" s="491"/>
      <c r="E92" s="480"/>
      <c r="F92" s="480"/>
      <c r="G92" s="338"/>
      <c r="H92" s="338"/>
      <c r="I92" s="463"/>
      <c r="J92" s="463"/>
      <c r="K92" s="338"/>
      <c r="L92" s="338"/>
      <c r="M92" s="202"/>
      <c r="N92" s="100"/>
    </row>
    <row r="93" spans="1:14" ht="16.350000000000001" customHeight="1" x14ac:dyDescent="0.2">
      <c r="A93" s="464"/>
      <c r="B93" s="480"/>
      <c r="C93" s="480"/>
      <c r="D93" s="491"/>
      <c r="E93" s="480"/>
      <c r="F93" s="480"/>
      <c r="G93" s="338" t="s">
        <v>3824</v>
      </c>
      <c r="H93" s="338"/>
      <c r="I93" s="463" t="s">
        <v>4532</v>
      </c>
      <c r="J93" s="463" t="s">
        <v>4532</v>
      </c>
      <c r="K93" s="338" t="s">
        <v>511</v>
      </c>
      <c r="L93" s="338"/>
      <c r="M93" s="202"/>
      <c r="N93" s="34"/>
    </row>
    <row r="94" spans="1:14" ht="16.350000000000001" customHeight="1" x14ac:dyDescent="0.2">
      <c r="A94" s="464"/>
      <c r="B94" s="480"/>
      <c r="C94" s="480"/>
      <c r="D94" s="491"/>
      <c r="E94" s="480"/>
      <c r="F94" s="480"/>
      <c r="G94" s="338"/>
      <c r="H94" s="338"/>
      <c r="I94" s="463"/>
      <c r="J94" s="463"/>
      <c r="K94" s="338"/>
      <c r="L94" s="338"/>
      <c r="M94" s="202"/>
      <c r="N94" s="34"/>
    </row>
    <row r="95" spans="1:14" x14ac:dyDescent="0.2">
      <c r="A95" s="464"/>
      <c r="B95" s="480"/>
      <c r="C95" s="480"/>
      <c r="D95" s="491"/>
      <c r="E95" s="480"/>
      <c r="F95" s="480"/>
      <c r="G95" s="338"/>
      <c r="H95" s="338"/>
      <c r="I95" s="463"/>
      <c r="J95" s="463"/>
      <c r="K95" s="338"/>
      <c r="L95" s="338"/>
      <c r="M95" s="202"/>
      <c r="N95" s="100"/>
    </row>
    <row r="96" spans="1:14" ht="16.350000000000001" customHeight="1" x14ac:dyDescent="0.2">
      <c r="A96" s="464"/>
      <c r="B96" s="480"/>
      <c r="C96" s="480"/>
      <c r="D96" s="491"/>
      <c r="E96" s="480"/>
      <c r="F96" s="480"/>
      <c r="G96" s="338" t="s">
        <v>3825</v>
      </c>
      <c r="H96" s="338"/>
      <c r="I96" s="463"/>
      <c r="J96" s="340" t="s">
        <v>4655</v>
      </c>
      <c r="K96" s="338" t="s">
        <v>511</v>
      </c>
      <c r="L96" s="338" t="s">
        <v>4656</v>
      </c>
      <c r="M96" s="202"/>
      <c r="N96" s="34"/>
    </row>
    <row r="97" spans="1:14" ht="16.350000000000001" customHeight="1" x14ac:dyDescent="0.2">
      <c r="A97" s="464"/>
      <c r="B97" s="480"/>
      <c r="C97" s="480"/>
      <c r="D97" s="491"/>
      <c r="E97" s="480"/>
      <c r="F97" s="480"/>
      <c r="G97" s="338"/>
      <c r="H97" s="338"/>
      <c r="I97" s="463"/>
      <c r="J97" s="340"/>
      <c r="K97" s="338"/>
      <c r="L97" s="338"/>
      <c r="M97" s="202"/>
      <c r="N97" s="34"/>
    </row>
    <row r="98" spans="1:14" x14ac:dyDescent="0.2">
      <c r="A98" s="464"/>
      <c r="B98" s="480"/>
      <c r="C98" s="480"/>
      <c r="D98" s="491"/>
      <c r="E98" s="480"/>
      <c r="F98" s="480"/>
      <c r="G98" s="338"/>
      <c r="H98" s="338"/>
      <c r="I98" s="463"/>
      <c r="J98" s="340"/>
      <c r="K98" s="338"/>
      <c r="L98" s="338"/>
      <c r="M98" s="202"/>
      <c r="N98" s="100"/>
    </row>
    <row r="99" spans="1:14" x14ac:dyDescent="0.25">
      <c r="A99" s="464"/>
      <c r="B99" s="479" t="s">
        <v>3751</v>
      </c>
      <c r="C99" s="479" t="s">
        <v>1544</v>
      </c>
      <c r="D99" s="490" t="s">
        <v>4657</v>
      </c>
      <c r="E99" s="479"/>
      <c r="F99" s="479"/>
      <c r="G99" s="338" t="s">
        <v>3752</v>
      </c>
      <c r="H99" s="338" t="s">
        <v>4533</v>
      </c>
      <c r="I99" s="463" t="s">
        <v>4534</v>
      </c>
      <c r="J99" s="463" t="s">
        <v>4534</v>
      </c>
      <c r="K99" s="338" t="s">
        <v>511</v>
      </c>
      <c r="L99" s="338"/>
      <c r="M99" s="202"/>
      <c r="N99" s="33"/>
    </row>
    <row r="100" spans="1:14" x14ac:dyDescent="0.25">
      <c r="A100" s="464"/>
      <c r="B100" s="480"/>
      <c r="C100" s="480"/>
      <c r="D100" s="491"/>
      <c r="E100" s="480"/>
      <c r="F100" s="480"/>
      <c r="G100" s="338"/>
      <c r="H100" s="338"/>
      <c r="I100" s="463"/>
      <c r="J100" s="463"/>
      <c r="K100" s="338"/>
      <c r="L100" s="338"/>
      <c r="M100" s="202"/>
      <c r="N100" s="33"/>
    </row>
    <row r="101" spans="1:14" x14ac:dyDescent="0.2">
      <c r="A101" s="464"/>
      <c r="B101" s="480"/>
      <c r="C101" s="480"/>
      <c r="D101" s="491"/>
      <c r="E101" s="480"/>
      <c r="F101" s="480"/>
      <c r="G101" s="338"/>
      <c r="H101" s="338"/>
      <c r="I101" s="463"/>
      <c r="J101" s="463"/>
      <c r="K101" s="338"/>
      <c r="L101" s="338"/>
      <c r="M101" s="202"/>
      <c r="N101" s="34"/>
    </row>
    <row r="102" spans="1:14" ht="15" customHeight="1" x14ac:dyDescent="0.2">
      <c r="A102" s="464"/>
      <c r="B102" s="480"/>
      <c r="C102" s="480"/>
      <c r="D102" s="491"/>
      <c r="E102" s="480"/>
      <c r="F102" s="480"/>
      <c r="G102" s="338" t="s">
        <v>3753</v>
      </c>
      <c r="H102" s="338" t="s">
        <v>3829</v>
      </c>
      <c r="I102" s="463" t="s">
        <v>4535</v>
      </c>
      <c r="J102" s="463" t="s">
        <v>4535</v>
      </c>
      <c r="K102" s="338" t="s">
        <v>511</v>
      </c>
      <c r="L102" s="338"/>
      <c r="M102" s="202"/>
      <c r="N102" s="34"/>
    </row>
    <row r="103" spans="1:14" x14ac:dyDescent="0.2">
      <c r="A103" s="464"/>
      <c r="B103" s="480"/>
      <c r="C103" s="480"/>
      <c r="D103" s="491"/>
      <c r="E103" s="480"/>
      <c r="F103" s="480"/>
      <c r="G103" s="338"/>
      <c r="H103" s="338"/>
      <c r="I103" s="463"/>
      <c r="J103" s="463"/>
      <c r="K103" s="338"/>
      <c r="L103" s="338"/>
      <c r="M103" s="202"/>
      <c r="N103" s="34"/>
    </row>
    <row r="104" spans="1:14" x14ac:dyDescent="0.2">
      <c r="A104" s="464"/>
      <c r="B104" s="480"/>
      <c r="C104" s="480"/>
      <c r="D104" s="491"/>
      <c r="E104" s="480"/>
      <c r="F104" s="480"/>
      <c r="G104" s="338"/>
      <c r="H104" s="338"/>
      <c r="I104" s="463"/>
      <c r="J104" s="463"/>
      <c r="K104" s="338"/>
      <c r="L104" s="338"/>
      <c r="M104" s="202"/>
      <c r="N104" s="34"/>
    </row>
    <row r="105" spans="1:14" ht="16.350000000000001" customHeight="1" x14ac:dyDescent="0.2">
      <c r="A105" s="464"/>
      <c r="B105" s="480"/>
      <c r="C105" s="480"/>
      <c r="D105" s="491"/>
      <c r="E105" s="480"/>
      <c r="F105" s="480"/>
      <c r="G105" s="338" t="s">
        <v>3754</v>
      </c>
      <c r="H105" s="338" t="s">
        <v>3830</v>
      </c>
      <c r="I105" s="463" t="s">
        <v>4536</v>
      </c>
      <c r="J105" s="473"/>
      <c r="K105" s="474"/>
      <c r="L105" s="338"/>
      <c r="M105" s="202"/>
      <c r="N105" s="34"/>
    </row>
    <row r="106" spans="1:14" ht="16.350000000000001" customHeight="1" x14ac:dyDescent="0.2">
      <c r="A106" s="464"/>
      <c r="B106" s="480"/>
      <c r="C106" s="480"/>
      <c r="D106" s="491"/>
      <c r="E106" s="480"/>
      <c r="F106" s="480"/>
      <c r="G106" s="338"/>
      <c r="H106" s="338"/>
      <c r="I106" s="463"/>
      <c r="J106" s="473"/>
      <c r="K106" s="474"/>
      <c r="L106" s="338"/>
      <c r="M106" s="202"/>
      <c r="N106" s="34"/>
    </row>
    <row r="107" spans="1:14" x14ac:dyDescent="0.2">
      <c r="A107" s="464"/>
      <c r="B107" s="480"/>
      <c r="C107" s="480"/>
      <c r="D107" s="491"/>
      <c r="E107" s="480"/>
      <c r="F107" s="480"/>
      <c r="G107" s="338"/>
      <c r="H107" s="338"/>
      <c r="I107" s="463"/>
      <c r="J107" s="473"/>
      <c r="K107" s="474"/>
      <c r="L107" s="338"/>
      <c r="M107" s="202"/>
      <c r="N107" s="34"/>
    </row>
    <row r="108" spans="1:14" ht="16.350000000000001" customHeight="1" x14ac:dyDescent="0.2">
      <c r="A108" s="464"/>
      <c r="B108" s="480"/>
      <c r="C108" s="480"/>
      <c r="D108" s="491"/>
      <c r="E108" s="480"/>
      <c r="F108" s="480"/>
      <c r="G108" s="338" t="s">
        <v>3755</v>
      </c>
      <c r="H108" s="338" t="s">
        <v>3831</v>
      </c>
      <c r="I108" s="463" t="s">
        <v>4537</v>
      </c>
      <c r="J108" s="473"/>
      <c r="K108" s="474"/>
      <c r="L108" s="338" t="s">
        <v>4658</v>
      </c>
      <c r="M108" s="202"/>
      <c r="N108" s="34"/>
    </row>
    <row r="109" spans="1:14" ht="16.350000000000001" customHeight="1" x14ac:dyDescent="0.2">
      <c r="A109" s="464"/>
      <c r="B109" s="480"/>
      <c r="C109" s="480"/>
      <c r="D109" s="491"/>
      <c r="E109" s="480"/>
      <c r="F109" s="480"/>
      <c r="G109" s="338"/>
      <c r="H109" s="338"/>
      <c r="I109" s="463"/>
      <c r="J109" s="473"/>
      <c r="K109" s="474"/>
      <c r="L109" s="338"/>
      <c r="M109" s="202"/>
      <c r="N109" s="34"/>
    </row>
    <row r="110" spans="1:14" x14ac:dyDescent="0.2">
      <c r="A110" s="464"/>
      <c r="B110" s="480"/>
      <c r="C110" s="480"/>
      <c r="D110" s="491"/>
      <c r="E110" s="480"/>
      <c r="F110" s="480"/>
      <c r="G110" s="338"/>
      <c r="H110" s="338"/>
      <c r="I110" s="463"/>
      <c r="J110" s="473"/>
      <c r="K110" s="474"/>
      <c r="L110" s="338"/>
      <c r="M110" s="202"/>
      <c r="N110" s="100"/>
    </row>
    <row r="111" spans="1:14" ht="16.350000000000001" customHeight="1" x14ac:dyDescent="0.2">
      <c r="A111" s="464"/>
      <c r="B111" s="480"/>
      <c r="C111" s="480"/>
      <c r="D111" s="491"/>
      <c r="E111" s="480"/>
      <c r="F111" s="480"/>
      <c r="G111" s="338" t="s">
        <v>3756</v>
      </c>
      <c r="H111" s="338" t="s">
        <v>3832</v>
      </c>
      <c r="I111" s="463" t="s">
        <v>4538</v>
      </c>
      <c r="J111" s="473"/>
      <c r="K111" s="474"/>
      <c r="L111" s="338" t="s">
        <v>4659</v>
      </c>
      <c r="M111" s="202"/>
      <c r="N111" s="100"/>
    </row>
    <row r="112" spans="1:14" ht="16.350000000000001" customHeight="1" x14ac:dyDescent="0.2">
      <c r="A112" s="464"/>
      <c r="B112" s="480"/>
      <c r="C112" s="480"/>
      <c r="D112" s="491"/>
      <c r="E112" s="480"/>
      <c r="F112" s="480"/>
      <c r="G112" s="338"/>
      <c r="H112" s="338"/>
      <c r="I112" s="463"/>
      <c r="J112" s="473"/>
      <c r="K112" s="474"/>
      <c r="L112" s="338"/>
      <c r="M112" s="202"/>
      <c r="N112" s="100"/>
    </row>
    <row r="113" spans="1:14" x14ac:dyDescent="0.2">
      <c r="A113" s="464"/>
      <c r="B113" s="480"/>
      <c r="C113" s="480"/>
      <c r="D113" s="491"/>
      <c r="E113" s="480"/>
      <c r="F113" s="480"/>
      <c r="G113" s="338"/>
      <c r="H113" s="338"/>
      <c r="I113" s="463"/>
      <c r="J113" s="473"/>
      <c r="K113" s="474"/>
      <c r="L113" s="338"/>
      <c r="M113" s="202"/>
      <c r="N113" s="37"/>
    </row>
    <row r="114" spans="1:14" ht="16.350000000000001" customHeight="1" x14ac:dyDescent="0.2">
      <c r="A114" s="464"/>
      <c r="B114" s="480"/>
      <c r="C114" s="480"/>
      <c r="D114" s="491"/>
      <c r="E114" s="480"/>
      <c r="F114" s="480"/>
      <c r="G114" s="338" t="s">
        <v>3757</v>
      </c>
      <c r="H114" s="338" t="s">
        <v>3837</v>
      </c>
      <c r="I114" s="463" t="s">
        <v>4539</v>
      </c>
      <c r="J114" s="473"/>
      <c r="K114" s="474"/>
      <c r="L114" s="467" t="s">
        <v>4660</v>
      </c>
      <c r="M114" s="202"/>
      <c r="N114" s="34"/>
    </row>
    <row r="115" spans="1:14" ht="16.350000000000001" customHeight="1" x14ac:dyDescent="0.2">
      <c r="A115" s="464"/>
      <c r="B115" s="480"/>
      <c r="C115" s="480"/>
      <c r="D115" s="491"/>
      <c r="E115" s="480"/>
      <c r="F115" s="480"/>
      <c r="G115" s="338"/>
      <c r="H115" s="338"/>
      <c r="I115" s="463"/>
      <c r="J115" s="473"/>
      <c r="K115" s="474"/>
      <c r="L115" s="467"/>
      <c r="M115" s="202"/>
      <c r="N115" s="34"/>
    </row>
    <row r="116" spans="1:14" x14ac:dyDescent="0.2">
      <c r="A116" s="464"/>
      <c r="B116" s="480"/>
      <c r="C116" s="480"/>
      <c r="D116" s="491"/>
      <c r="E116" s="480"/>
      <c r="F116" s="480"/>
      <c r="G116" s="338"/>
      <c r="H116" s="338"/>
      <c r="I116" s="463"/>
      <c r="J116" s="473"/>
      <c r="K116" s="474"/>
      <c r="L116" s="467"/>
      <c r="M116" s="202"/>
      <c r="N116" s="100"/>
    </row>
    <row r="117" spans="1:14" ht="16.350000000000001" customHeight="1" x14ac:dyDescent="0.2">
      <c r="A117" s="464"/>
      <c r="B117" s="480"/>
      <c r="C117" s="480"/>
      <c r="D117" s="491"/>
      <c r="E117" s="480"/>
      <c r="F117" s="480"/>
      <c r="G117" s="338" t="s">
        <v>3833</v>
      </c>
      <c r="H117" s="338" t="s">
        <v>3838</v>
      </c>
      <c r="I117" s="463" t="s">
        <v>4540</v>
      </c>
      <c r="J117" s="473"/>
      <c r="K117" s="474"/>
      <c r="L117" s="338" t="s">
        <v>4661</v>
      </c>
      <c r="M117" s="202"/>
      <c r="N117" s="34"/>
    </row>
    <row r="118" spans="1:14" ht="16.350000000000001" customHeight="1" x14ac:dyDescent="0.2">
      <c r="A118" s="464"/>
      <c r="B118" s="480"/>
      <c r="C118" s="480"/>
      <c r="D118" s="491"/>
      <c r="E118" s="480"/>
      <c r="F118" s="480"/>
      <c r="G118" s="338"/>
      <c r="H118" s="338"/>
      <c r="I118" s="463"/>
      <c r="J118" s="473"/>
      <c r="K118" s="474"/>
      <c r="L118" s="338"/>
      <c r="M118" s="202"/>
      <c r="N118" s="34"/>
    </row>
    <row r="119" spans="1:14" x14ac:dyDescent="0.2">
      <c r="A119" s="464"/>
      <c r="B119" s="480"/>
      <c r="C119" s="480"/>
      <c r="D119" s="491"/>
      <c r="E119" s="480"/>
      <c r="F119" s="480"/>
      <c r="G119" s="338"/>
      <c r="H119" s="338"/>
      <c r="I119" s="463"/>
      <c r="J119" s="473"/>
      <c r="K119" s="474"/>
      <c r="L119" s="338"/>
      <c r="M119" s="202"/>
      <c r="N119" s="100"/>
    </row>
    <row r="120" spans="1:14" ht="16.350000000000001" customHeight="1" x14ac:dyDescent="0.2">
      <c r="A120" s="464"/>
      <c r="B120" s="480"/>
      <c r="C120" s="480"/>
      <c r="D120" s="491"/>
      <c r="E120" s="480"/>
      <c r="F120" s="480"/>
      <c r="G120" s="338" t="s">
        <v>3834</v>
      </c>
      <c r="H120" s="338" t="s">
        <v>3839</v>
      </c>
      <c r="I120" s="463" t="s">
        <v>4541</v>
      </c>
      <c r="J120" s="463" t="s">
        <v>4541</v>
      </c>
      <c r="K120" s="338" t="s">
        <v>511</v>
      </c>
      <c r="L120" s="338" t="s">
        <v>4662</v>
      </c>
      <c r="M120" s="202"/>
      <c r="N120" s="34"/>
    </row>
    <row r="121" spans="1:14" ht="16.350000000000001" customHeight="1" x14ac:dyDescent="0.2">
      <c r="A121" s="464"/>
      <c r="B121" s="480"/>
      <c r="C121" s="480"/>
      <c r="D121" s="491"/>
      <c r="E121" s="480"/>
      <c r="F121" s="480"/>
      <c r="G121" s="338"/>
      <c r="H121" s="338"/>
      <c r="I121" s="463"/>
      <c r="J121" s="463"/>
      <c r="K121" s="338"/>
      <c r="L121" s="338"/>
      <c r="M121" s="202"/>
      <c r="N121" s="34"/>
    </row>
    <row r="122" spans="1:14" x14ac:dyDescent="0.2">
      <c r="A122" s="464"/>
      <c r="B122" s="480"/>
      <c r="C122" s="480"/>
      <c r="D122" s="491"/>
      <c r="E122" s="480"/>
      <c r="F122" s="480"/>
      <c r="G122" s="338"/>
      <c r="H122" s="338"/>
      <c r="I122" s="463"/>
      <c r="J122" s="463"/>
      <c r="K122" s="338"/>
      <c r="L122" s="338"/>
      <c r="M122" s="202"/>
      <c r="N122" s="100"/>
    </row>
    <row r="123" spans="1:14" ht="16.350000000000001" customHeight="1" x14ac:dyDescent="0.2">
      <c r="A123" s="464"/>
      <c r="B123" s="480"/>
      <c r="C123" s="480"/>
      <c r="D123" s="491"/>
      <c r="E123" s="480"/>
      <c r="F123" s="480"/>
      <c r="G123" s="338" t="s">
        <v>3835</v>
      </c>
      <c r="H123" s="338" t="s">
        <v>3840</v>
      </c>
      <c r="I123" s="463" t="s">
        <v>4542</v>
      </c>
      <c r="J123" s="473"/>
      <c r="K123" s="474"/>
      <c r="L123" s="338" t="s">
        <v>4663</v>
      </c>
      <c r="M123" s="202"/>
      <c r="N123" s="34"/>
    </row>
    <row r="124" spans="1:14" ht="16.350000000000001" customHeight="1" x14ac:dyDescent="0.2">
      <c r="A124" s="464"/>
      <c r="B124" s="480"/>
      <c r="C124" s="480"/>
      <c r="D124" s="491"/>
      <c r="E124" s="480"/>
      <c r="F124" s="480"/>
      <c r="G124" s="338"/>
      <c r="H124" s="338"/>
      <c r="I124" s="463"/>
      <c r="J124" s="473"/>
      <c r="K124" s="474"/>
      <c r="L124" s="338"/>
      <c r="M124" s="202"/>
      <c r="N124" s="34"/>
    </row>
    <row r="125" spans="1:14" x14ac:dyDescent="0.2">
      <c r="A125" s="464"/>
      <c r="B125" s="480"/>
      <c r="C125" s="480"/>
      <c r="D125" s="491"/>
      <c r="E125" s="480"/>
      <c r="F125" s="480"/>
      <c r="G125" s="338"/>
      <c r="H125" s="338"/>
      <c r="I125" s="463"/>
      <c r="J125" s="473"/>
      <c r="K125" s="474"/>
      <c r="L125" s="338"/>
      <c r="M125" s="202"/>
      <c r="N125" s="100"/>
    </row>
    <row r="126" spans="1:14" ht="16.350000000000001" customHeight="1" x14ac:dyDescent="0.2">
      <c r="A126" s="464"/>
      <c r="B126" s="480"/>
      <c r="C126" s="480"/>
      <c r="D126" s="491"/>
      <c r="E126" s="480"/>
      <c r="F126" s="480"/>
      <c r="G126" s="338" t="s">
        <v>3836</v>
      </c>
      <c r="H126" s="338"/>
      <c r="I126" s="463" t="s">
        <v>4543</v>
      </c>
      <c r="J126" s="340" t="s">
        <v>4664</v>
      </c>
      <c r="K126" s="338" t="s">
        <v>511</v>
      </c>
      <c r="L126" s="467" t="s">
        <v>4665</v>
      </c>
      <c r="M126" s="202"/>
      <c r="N126" s="34"/>
    </row>
    <row r="127" spans="1:14" ht="16.350000000000001" customHeight="1" x14ac:dyDescent="0.2">
      <c r="A127" s="464"/>
      <c r="B127" s="480"/>
      <c r="C127" s="480"/>
      <c r="D127" s="491"/>
      <c r="E127" s="480"/>
      <c r="F127" s="480"/>
      <c r="G127" s="338"/>
      <c r="H127" s="338"/>
      <c r="I127" s="463"/>
      <c r="J127" s="340"/>
      <c r="K127" s="338"/>
      <c r="L127" s="467"/>
      <c r="M127" s="202"/>
      <c r="N127" s="34"/>
    </row>
    <row r="128" spans="1:14" x14ac:dyDescent="0.2">
      <c r="A128" s="464"/>
      <c r="B128" s="480"/>
      <c r="C128" s="480"/>
      <c r="D128" s="491"/>
      <c r="E128" s="480"/>
      <c r="F128" s="480"/>
      <c r="G128" s="338"/>
      <c r="H128" s="338"/>
      <c r="I128" s="463"/>
      <c r="J128" s="340"/>
      <c r="K128" s="338"/>
      <c r="L128" s="467"/>
      <c r="M128" s="202"/>
      <c r="N128" s="100"/>
    </row>
    <row r="129" spans="1:14" x14ac:dyDescent="0.2">
      <c r="A129" s="464"/>
      <c r="B129" s="206"/>
      <c r="C129" s="206"/>
      <c r="D129" s="207"/>
      <c r="E129" s="206"/>
      <c r="F129" s="206"/>
      <c r="G129" s="338"/>
      <c r="H129" s="340"/>
      <c r="I129" s="340"/>
      <c r="J129" s="340" t="s">
        <v>4666</v>
      </c>
      <c r="K129" s="340" t="s">
        <v>511</v>
      </c>
      <c r="L129" s="492" t="s">
        <v>4667</v>
      </c>
      <c r="M129" s="202"/>
      <c r="N129" s="100"/>
    </row>
    <row r="130" spans="1:14" x14ac:dyDescent="0.2">
      <c r="A130" s="464"/>
      <c r="B130" s="206"/>
      <c r="C130" s="206"/>
      <c r="D130" s="207"/>
      <c r="E130" s="206"/>
      <c r="F130" s="206"/>
      <c r="G130" s="338"/>
      <c r="H130" s="340"/>
      <c r="I130" s="340"/>
      <c r="J130" s="340"/>
      <c r="K130" s="340"/>
      <c r="L130" s="492"/>
      <c r="M130" s="202"/>
      <c r="N130" s="100"/>
    </row>
    <row r="131" spans="1:14" x14ac:dyDescent="0.2">
      <c r="A131" s="464"/>
      <c r="B131" s="206"/>
      <c r="C131" s="206"/>
      <c r="D131" s="207"/>
      <c r="E131" s="206"/>
      <c r="F131" s="206"/>
      <c r="G131" s="338"/>
      <c r="H131" s="340"/>
      <c r="I131" s="340"/>
      <c r="J131" s="340"/>
      <c r="K131" s="340"/>
      <c r="L131" s="492"/>
      <c r="M131" s="202"/>
      <c r="N131" s="100"/>
    </row>
    <row r="132" spans="1:14" x14ac:dyDescent="0.2">
      <c r="A132" s="464"/>
      <c r="B132" s="206"/>
      <c r="C132" s="206"/>
      <c r="D132" s="207"/>
      <c r="E132" s="206"/>
      <c r="F132" s="206"/>
      <c r="G132" s="338"/>
      <c r="H132" s="340"/>
      <c r="I132" s="340"/>
      <c r="J132" s="340"/>
      <c r="K132" s="340"/>
      <c r="L132" s="492"/>
      <c r="M132" s="202"/>
      <c r="N132" s="100"/>
    </row>
    <row r="133" spans="1:14" x14ac:dyDescent="0.2">
      <c r="A133" s="464"/>
      <c r="B133" s="206"/>
      <c r="C133" s="206"/>
      <c r="D133" s="207"/>
      <c r="E133" s="206"/>
      <c r="F133" s="206"/>
      <c r="G133" s="338"/>
      <c r="H133" s="340"/>
      <c r="I133" s="340"/>
      <c r="J133" s="340"/>
      <c r="K133" s="340"/>
      <c r="L133" s="492"/>
      <c r="M133" s="202"/>
      <c r="N133" s="100"/>
    </row>
    <row r="134" spans="1:14" x14ac:dyDescent="0.2">
      <c r="A134" s="464"/>
      <c r="B134" s="206"/>
      <c r="C134" s="206"/>
      <c r="D134" s="207"/>
      <c r="E134" s="206"/>
      <c r="F134" s="206"/>
      <c r="G134" s="338"/>
      <c r="H134" s="340"/>
      <c r="I134" s="340"/>
      <c r="J134" s="340"/>
      <c r="K134" s="340"/>
      <c r="L134" s="492"/>
      <c r="M134" s="202"/>
      <c r="N134" s="100"/>
    </row>
    <row r="135" spans="1:14" x14ac:dyDescent="0.25">
      <c r="A135" s="464"/>
      <c r="B135" s="479" t="s">
        <v>438</v>
      </c>
      <c r="C135" s="479" t="s">
        <v>1545</v>
      </c>
      <c r="D135" s="490" t="s">
        <v>1545</v>
      </c>
      <c r="E135" s="479"/>
      <c r="F135" s="479"/>
      <c r="G135" s="338" t="s">
        <v>3758</v>
      </c>
      <c r="H135" s="338" t="s">
        <v>3843</v>
      </c>
      <c r="I135" s="463" t="s">
        <v>3843</v>
      </c>
      <c r="J135" s="463" t="s">
        <v>3843</v>
      </c>
      <c r="K135" s="338" t="s">
        <v>528</v>
      </c>
      <c r="L135" s="481" t="s">
        <v>4668</v>
      </c>
      <c r="M135" s="202"/>
      <c r="N135" s="33"/>
    </row>
    <row r="136" spans="1:14" x14ac:dyDescent="0.25">
      <c r="A136" s="464"/>
      <c r="B136" s="480"/>
      <c r="C136" s="480"/>
      <c r="D136" s="491"/>
      <c r="E136" s="480"/>
      <c r="F136" s="480"/>
      <c r="G136" s="338"/>
      <c r="H136" s="338"/>
      <c r="I136" s="463"/>
      <c r="J136" s="463"/>
      <c r="K136" s="338"/>
      <c r="L136" s="482"/>
      <c r="M136" s="202"/>
      <c r="N136" s="33"/>
    </row>
    <row r="137" spans="1:14" x14ac:dyDescent="0.2">
      <c r="A137" s="464"/>
      <c r="B137" s="480"/>
      <c r="C137" s="480"/>
      <c r="D137" s="491"/>
      <c r="E137" s="480"/>
      <c r="F137" s="480"/>
      <c r="G137" s="338"/>
      <c r="H137" s="338"/>
      <c r="I137" s="463"/>
      <c r="J137" s="463"/>
      <c r="K137" s="338"/>
      <c r="L137" s="483"/>
      <c r="M137" s="202"/>
      <c r="N137" s="34"/>
    </row>
    <row r="138" spans="1:14" x14ac:dyDescent="0.2">
      <c r="A138" s="464"/>
      <c r="B138" s="480"/>
      <c r="C138" s="480"/>
      <c r="D138" s="491"/>
      <c r="E138" s="480"/>
      <c r="F138" s="480"/>
      <c r="G138" s="338" t="s">
        <v>3759</v>
      </c>
      <c r="H138" s="338" t="s">
        <v>3844</v>
      </c>
      <c r="I138" s="463" t="s">
        <v>4544</v>
      </c>
      <c r="J138" s="484"/>
      <c r="K138" s="474"/>
      <c r="L138" s="338"/>
      <c r="M138" s="202"/>
      <c r="N138" s="34"/>
    </row>
    <row r="139" spans="1:14" x14ac:dyDescent="0.2">
      <c r="A139" s="464"/>
      <c r="B139" s="480"/>
      <c r="C139" s="480"/>
      <c r="D139" s="491"/>
      <c r="E139" s="480"/>
      <c r="F139" s="480"/>
      <c r="G139" s="338"/>
      <c r="H139" s="338"/>
      <c r="I139" s="463"/>
      <c r="J139" s="485"/>
      <c r="K139" s="474"/>
      <c r="L139" s="338"/>
      <c r="M139" s="202"/>
      <c r="N139" s="34"/>
    </row>
    <row r="140" spans="1:14" x14ac:dyDescent="0.2">
      <c r="A140" s="464"/>
      <c r="B140" s="480"/>
      <c r="C140" s="480"/>
      <c r="D140" s="491"/>
      <c r="E140" s="480"/>
      <c r="F140" s="480"/>
      <c r="G140" s="338"/>
      <c r="H140" s="338"/>
      <c r="I140" s="463"/>
      <c r="J140" s="486"/>
      <c r="K140" s="474"/>
      <c r="L140" s="338"/>
      <c r="M140" s="202"/>
      <c r="N140" s="34"/>
    </row>
    <row r="141" spans="1:14" ht="16.350000000000001" customHeight="1" x14ac:dyDescent="0.2">
      <c r="A141" s="464"/>
      <c r="B141" s="480"/>
      <c r="C141" s="480"/>
      <c r="D141" s="491"/>
      <c r="E141" s="480"/>
      <c r="F141" s="480"/>
      <c r="G141" s="338" t="s">
        <v>3760</v>
      </c>
      <c r="H141" s="338" t="s">
        <v>3845</v>
      </c>
      <c r="I141" s="463" t="s">
        <v>4545</v>
      </c>
      <c r="J141" s="484"/>
      <c r="K141" s="474"/>
      <c r="L141" s="338" t="s">
        <v>4669</v>
      </c>
      <c r="M141" s="202"/>
      <c r="N141" s="34"/>
    </row>
    <row r="142" spans="1:14" ht="16.350000000000001" customHeight="1" x14ac:dyDescent="0.2">
      <c r="A142" s="464"/>
      <c r="B142" s="480"/>
      <c r="C142" s="480"/>
      <c r="D142" s="491"/>
      <c r="E142" s="480"/>
      <c r="F142" s="480"/>
      <c r="G142" s="338"/>
      <c r="H142" s="338"/>
      <c r="I142" s="463"/>
      <c r="J142" s="485"/>
      <c r="K142" s="474"/>
      <c r="L142" s="338"/>
      <c r="M142" s="202"/>
      <c r="N142" s="34"/>
    </row>
    <row r="143" spans="1:14" x14ac:dyDescent="0.2">
      <c r="A143" s="464"/>
      <c r="B143" s="480"/>
      <c r="C143" s="480"/>
      <c r="D143" s="491"/>
      <c r="E143" s="480"/>
      <c r="F143" s="480"/>
      <c r="G143" s="338"/>
      <c r="H143" s="338"/>
      <c r="I143" s="463"/>
      <c r="J143" s="486"/>
      <c r="K143" s="474"/>
      <c r="L143" s="338"/>
      <c r="M143" s="202"/>
      <c r="N143" s="34"/>
    </row>
    <row r="144" spans="1:14" ht="16.350000000000001" customHeight="1" x14ac:dyDescent="0.2">
      <c r="A144" s="464"/>
      <c r="B144" s="480"/>
      <c r="C144" s="480"/>
      <c r="D144" s="491"/>
      <c r="E144" s="480"/>
      <c r="F144" s="480"/>
      <c r="G144" s="338" t="s">
        <v>3761</v>
      </c>
      <c r="H144" s="338" t="s">
        <v>3846</v>
      </c>
      <c r="I144" s="463" t="s">
        <v>4546</v>
      </c>
      <c r="J144" s="340" t="s">
        <v>4670</v>
      </c>
      <c r="K144" s="338" t="s">
        <v>528</v>
      </c>
      <c r="L144" s="338" t="s">
        <v>4671</v>
      </c>
      <c r="M144" s="202"/>
      <c r="N144" s="34"/>
    </row>
    <row r="145" spans="1:14" ht="16.350000000000001" customHeight="1" x14ac:dyDescent="0.2">
      <c r="A145" s="464"/>
      <c r="B145" s="480"/>
      <c r="C145" s="480"/>
      <c r="D145" s="491"/>
      <c r="E145" s="480"/>
      <c r="F145" s="480"/>
      <c r="G145" s="338"/>
      <c r="H145" s="338"/>
      <c r="I145" s="463"/>
      <c r="J145" s="340"/>
      <c r="K145" s="338"/>
      <c r="L145" s="338"/>
      <c r="M145" s="202"/>
      <c r="N145" s="34"/>
    </row>
    <row r="146" spans="1:14" x14ac:dyDescent="0.2">
      <c r="A146" s="464"/>
      <c r="B146" s="480"/>
      <c r="C146" s="480"/>
      <c r="D146" s="491"/>
      <c r="E146" s="480"/>
      <c r="F146" s="480"/>
      <c r="G146" s="338"/>
      <c r="H146" s="338"/>
      <c r="I146" s="463"/>
      <c r="J146" s="340"/>
      <c r="K146" s="338"/>
      <c r="L146" s="338"/>
      <c r="M146" s="202"/>
      <c r="N146" s="100"/>
    </row>
    <row r="147" spans="1:14" ht="16.350000000000001" customHeight="1" x14ac:dyDescent="0.2">
      <c r="A147" s="464"/>
      <c r="B147" s="480"/>
      <c r="C147" s="480"/>
      <c r="D147" s="491"/>
      <c r="E147" s="480"/>
      <c r="F147" s="480"/>
      <c r="G147" s="338" t="s">
        <v>3762</v>
      </c>
      <c r="H147" s="338"/>
      <c r="I147" s="463" t="s">
        <v>4547</v>
      </c>
      <c r="J147" s="487"/>
      <c r="K147" s="467"/>
      <c r="L147" s="467" t="s">
        <v>4672</v>
      </c>
      <c r="M147" s="202"/>
      <c r="N147" s="100"/>
    </row>
    <row r="148" spans="1:14" ht="16.350000000000001" customHeight="1" x14ac:dyDescent="0.2">
      <c r="A148" s="464"/>
      <c r="B148" s="480"/>
      <c r="C148" s="480"/>
      <c r="D148" s="491"/>
      <c r="E148" s="480"/>
      <c r="F148" s="480"/>
      <c r="G148" s="338"/>
      <c r="H148" s="338"/>
      <c r="I148" s="463"/>
      <c r="J148" s="488"/>
      <c r="K148" s="467"/>
      <c r="L148" s="467"/>
      <c r="M148" s="202"/>
      <c r="N148" s="100"/>
    </row>
    <row r="149" spans="1:14" x14ac:dyDescent="0.2">
      <c r="A149" s="464"/>
      <c r="B149" s="480"/>
      <c r="C149" s="480"/>
      <c r="D149" s="491"/>
      <c r="E149" s="480"/>
      <c r="F149" s="480"/>
      <c r="G149" s="338"/>
      <c r="H149" s="338"/>
      <c r="I149" s="463"/>
      <c r="J149" s="489"/>
      <c r="K149" s="467"/>
      <c r="L149" s="467"/>
      <c r="M149" s="202"/>
      <c r="N149" s="37"/>
    </row>
    <row r="150" spans="1:14" ht="16.350000000000001" customHeight="1" x14ac:dyDescent="0.2">
      <c r="A150" s="464"/>
      <c r="B150" s="480"/>
      <c r="C150" s="480"/>
      <c r="D150" s="491"/>
      <c r="E150" s="480"/>
      <c r="F150" s="480"/>
      <c r="G150" s="338" t="s">
        <v>3763</v>
      </c>
      <c r="H150" s="338"/>
      <c r="I150" s="463" t="s">
        <v>4548</v>
      </c>
      <c r="J150" s="463" t="s">
        <v>4673</v>
      </c>
      <c r="K150" s="338" t="s">
        <v>528</v>
      </c>
      <c r="L150" s="338"/>
      <c r="M150" s="202"/>
      <c r="N150" s="34"/>
    </row>
    <row r="151" spans="1:14" ht="16.350000000000001" customHeight="1" x14ac:dyDescent="0.2">
      <c r="A151" s="464"/>
      <c r="B151" s="480"/>
      <c r="C151" s="480"/>
      <c r="D151" s="491"/>
      <c r="E151" s="480"/>
      <c r="F151" s="480"/>
      <c r="G151" s="338"/>
      <c r="H151" s="338"/>
      <c r="I151" s="463"/>
      <c r="J151" s="463"/>
      <c r="K151" s="338"/>
      <c r="L151" s="338"/>
      <c r="M151" s="202"/>
      <c r="N151" s="34"/>
    </row>
    <row r="152" spans="1:14" x14ac:dyDescent="0.2">
      <c r="A152" s="464"/>
      <c r="B152" s="480"/>
      <c r="C152" s="480"/>
      <c r="D152" s="491"/>
      <c r="E152" s="480"/>
      <c r="F152" s="480"/>
      <c r="G152" s="338"/>
      <c r="H152" s="338"/>
      <c r="I152" s="463"/>
      <c r="J152" s="463"/>
      <c r="K152" s="338"/>
      <c r="L152" s="338"/>
      <c r="M152" s="202"/>
      <c r="N152" s="100"/>
    </row>
    <row r="153" spans="1:14" x14ac:dyDescent="0.25">
      <c r="A153" s="464"/>
      <c r="B153" s="475" t="s">
        <v>439</v>
      </c>
      <c r="C153" s="475" t="s">
        <v>1546</v>
      </c>
      <c r="D153" s="477" t="s">
        <v>4705</v>
      </c>
      <c r="E153" s="479"/>
      <c r="F153" s="479"/>
      <c r="G153" s="338" t="s">
        <v>3764</v>
      </c>
      <c r="H153" s="338" t="s">
        <v>3847</v>
      </c>
      <c r="I153" s="463" t="s">
        <v>4549</v>
      </c>
      <c r="J153" s="473"/>
      <c r="K153" s="474"/>
      <c r="L153" s="338" t="s">
        <v>4674</v>
      </c>
      <c r="M153" s="202"/>
      <c r="N153" s="33"/>
    </row>
    <row r="154" spans="1:14" x14ac:dyDescent="0.25">
      <c r="A154" s="464"/>
      <c r="B154" s="476"/>
      <c r="C154" s="476"/>
      <c r="D154" s="478"/>
      <c r="E154" s="480"/>
      <c r="F154" s="480"/>
      <c r="G154" s="338"/>
      <c r="H154" s="338"/>
      <c r="I154" s="463"/>
      <c r="J154" s="473"/>
      <c r="K154" s="474"/>
      <c r="L154" s="338"/>
      <c r="M154" s="202"/>
      <c r="N154" s="33"/>
    </row>
    <row r="155" spans="1:14" x14ac:dyDescent="0.2">
      <c r="A155" s="464"/>
      <c r="B155" s="476"/>
      <c r="C155" s="476"/>
      <c r="D155" s="478"/>
      <c r="E155" s="480"/>
      <c r="F155" s="480"/>
      <c r="G155" s="338"/>
      <c r="H155" s="338"/>
      <c r="I155" s="463"/>
      <c r="J155" s="473"/>
      <c r="K155" s="474"/>
      <c r="L155" s="338"/>
      <c r="M155" s="202"/>
      <c r="N155" s="34"/>
    </row>
    <row r="156" spans="1:14" ht="15" customHeight="1" x14ac:dyDescent="0.2">
      <c r="A156" s="464"/>
      <c r="B156" s="476"/>
      <c r="C156" s="476"/>
      <c r="D156" s="478"/>
      <c r="E156" s="480"/>
      <c r="F156" s="480"/>
      <c r="G156" s="338" t="s">
        <v>3765</v>
      </c>
      <c r="H156" s="338" t="s">
        <v>3848</v>
      </c>
      <c r="I156" s="463" t="s">
        <v>4550</v>
      </c>
      <c r="J156" s="473"/>
      <c r="K156" s="474"/>
      <c r="L156" s="338"/>
      <c r="M156" s="202"/>
      <c r="N156" s="34"/>
    </row>
    <row r="157" spans="1:14" x14ac:dyDescent="0.2">
      <c r="A157" s="464"/>
      <c r="B157" s="476"/>
      <c r="C157" s="476"/>
      <c r="D157" s="478"/>
      <c r="E157" s="480"/>
      <c r="F157" s="480"/>
      <c r="G157" s="338"/>
      <c r="H157" s="338"/>
      <c r="I157" s="463"/>
      <c r="J157" s="473"/>
      <c r="K157" s="474"/>
      <c r="L157" s="338"/>
      <c r="M157" s="202"/>
      <c r="N157" s="34"/>
    </row>
    <row r="158" spans="1:14" x14ac:dyDescent="0.2">
      <c r="A158" s="464"/>
      <c r="B158" s="476"/>
      <c r="C158" s="476"/>
      <c r="D158" s="478"/>
      <c r="E158" s="480"/>
      <c r="F158" s="480"/>
      <c r="G158" s="338"/>
      <c r="H158" s="338"/>
      <c r="I158" s="463"/>
      <c r="J158" s="473"/>
      <c r="K158" s="474"/>
      <c r="L158" s="338"/>
      <c r="M158" s="202"/>
      <c r="N158" s="34"/>
    </row>
    <row r="159" spans="1:14" ht="16.350000000000001" customHeight="1" x14ac:dyDescent="0.2">
      <c r="A159" s="464"/>
      <c r="B159" s="476"/>
      <c r="C159" s="476"/>
      <c r="D159" s="478"/>
      <c r="E159" s="480"/>
      <c r="F159" s="480"/>
      <c r="G159" s="338" t="s">
        <v>3766</v>
      </c>
      <c r="H159" s="338" t="s">
        <v>3849</v>
      </c>
      <c r="I159" s="463"/>
      <c r="J159" s="473"/>
      <c r="K159" s="474"/>
      <c r="L159" s="338"/>
      <c r="M159" s="202"/>
      <c r="N159" s="34"/>
    </row>
    <row r="160" spans="1:14" ht="16.350000000000001" customHeight="1" x14ac:dyDescent="0.2">
      <c r="A160" s="464"/>
      <c r="B160" s="476"/>
      <c r="C160" s="476"/>
      <c r="D160" s="478"/>
      <c r="E160" s="480"/>
      <c r="F160" s="480"/>
      <c r="G160" s="338"/>
      <c r="H160" s="338"/>
      <c r="I160" s="463"/>
      <c r="J160" s="473"/>
      <c r="K160" s="474"/>
      <c r="L160" s="338"/>
      <c r="M160" s="202"/>
      <c r="N160" s="34"/>
    </row>
    <row r="161" spans="1:14" x14ac:dyDescent="0.2">
      <c r="A161" s="464"/>
      <c r="B161" s="476"/>
      <c r="C161" s="476"/>
      <c r="D161" s="478"/>
      <c r="E161" s="480"/>
      <c r="F161" s="480"/>
      <c r="G161" s="338"/>
      <c r="H161" s="338"/>
      <c r="I161" s="463"/>
      <c r="J161" s="473"/>
      <c r="K161" s="474"/>
      <c r="L161" s="338"/>
      <c r="M161" s="202"/>
      <c r="N161" s="34"/>
    </row>
    <row r="162" spans="1:14" ht="16.350000000000001" customHeight="1" x14ac:dyDescent="0.2">
      <c r="A162" s="464"/>
      <c r="B162" s="476"/>
      <c r="C162" s="476"/>
      <c r="D162" s="478"/>
      <c r="E162" s="480"/>
      <c r="F162" s="480"/>
      <c r="G162" s="338" t="s">
        <v>3767</v>
      </c>
      <c r="H162" s="338" t="s">
        <v>3850</v>
      </c>
      <c r="I162" s="463" t="s">
        <v>4551</v>
      </c>
      <c r="J162" s="473"/>
      <c r="K162" s="474"/>
      <c r="L162" s="338"/>
      <c r="M162" s="202"/>
      <c r="N162" s="34"/>
    </row>
    <row r="163" spans="1:14" ht="16.350000000000001" customHeight="1" x14ac:dyDescent="0.2">
      <c r="A163" s="464"/>
      <c r="B163" s="476"/>
      <c r="C163" s="476"/>
      <c r="D163" s="478"/>
      <c r="E163" s="480"/>
      <c r="F163" s="480"/>
      <c r="G163" s="338"/>
      <c r="H163" s="338"/>
      <c r="I163" s="463"/>
      <c r="J163" s="473"/>
      <c r="K163" s="474"/>
      <c r="L163" s="338"/>
      <c r="M163" s="202"/>
      <c r="N163" s="34"/>
    </row>
    <row r="164" spans="1:14" x14ac:dyDescent="0.2">
      <c r="A164" s="464"/>
      <c r="B164" s="476"/>
      <c r="C164" s="476"/>
      <c r="D164" s="478"/>
      <c r="E164" s="480"/>
      <c r="F164" s="480"/>
      <c r="G164" s="338"/>
      <c r="H164" s="338"/>
      <c r="I164" s="463"/>
      <c r="J164" s="473"/>
      <c r="K164" s="474"/>
      <c r="L164" s="338"/>
      <c r="M164" s="202"/>
      <c r="N164" s="100"/>
    </row>
    <row r="165" spans="1:14" ht="16.350000000000001" customHeight="1" x14ac:dyDescent="0.2">
      <c r="A165" s="464"/>
      <c r="B165" s="476"/>
      <c r="C165" s="476"/>
      <c r="D165" s="478"/>
      <c r="E165" s="480"/>
      <c r="F165" s="480"/>
      <c r="G165" s="338" t="s">
        <v>3768</v>
      </c>
      <c r="H165" s="338"/>
      <c r="I165" s="463"/>
      <c r="J165" s="473"/>
      <c r="K165" s="474"/>
      <c r="L165" s="338"/>
      <c r="M165" s="202"/>
      <c r="N165" s="100"/>
    </row>
    <row r="166" spans="1:14" ht="16.350000000000001" customHeight="1" x14ac:dyDescent="0.2">
      <c r="A166" s="464"/>
      <c r="B166" s="476"/>
      <c r="C166" s="476"/>
      <c r="D166" s="478"/>
      <c r="E166" s="480"/>
      <c r="F166" s="480"/>
      <c r="G166" s="338"/>
      <c r="H166" s="338"/>
      <c r="I166" s="463"/>
      <c r="J166" s="473"/>
      <c r="K166" s="474"/>
      <c r="L166" s="338"/>
      <c r="M166" s="202"/>
      <c r="N166" s="100"/>
    </row>
    <row r="167" spans="1:14" x14ac:dyDescent="0.2">
      <c r="A167" s="464"/>
      <c r="B167" s="476"/>
      <c r="C167" s="476"/>
      <c r="D167" s="478"/>
      <c r="E167" s="480"/>
      <c r="F167" s="480"/>
      <c r="G167" s="338"/>
      <c r="H167" s="338"/>
      <c r="I167" s="463"/>
      <c r="J167" s="473"/>
      <c r="K167" s="474"/>
      <c r="L167" s="338"/>
      <c r="M167" s="202"/>
      <c r="N167" s="37"/>
    </row>
    <row r="168" spans="1:14" ht="16.350000000000001" customHeight="1" x14ac:dyDescent="0.2">
      <c r="A168" s="464"/>
      <c r="B168" s="476"/>
      <c r="C168" s="476"/>
      <c r="D168" s="478"/>
      <c r="E168" s="480"/>
      <c r="F168" s="480"/>
      <c r="G168" s="338" t="s">
        <v>3769</v>
      </c>
      <c r="H168" s="338"/>
      <c r="I168" s="463"/>
      <c r="J168" s="473"/>
      <c r="K168" s="474"/>
      <c r="L168" s="338"/>
      <c r="M168" s="202"/>
      <c r="N168" s="34"/>
    </row>
    <row r="169" spans="1:14" ht="16.350000000000001" customHeight="1" x14ac:dyDescent="0.2">
      <c r="A169" s="464"/>
      <c r="B169" s="476"/>
      <c r="C169" s="476"/>
      <c r="D169" s="478"/>
      <c r="E169" s="480"/>
      <c r="F169" s="480"/>
      <c r="G169" s="338"/>
      <c r="H169" s="338"/>
      <c r="I169" s="463"/>
      <c r="J169" s="473"/>
      <c r="K169" s="474"/>
      <c r="L169" s="338"/>
      <c r="M169" s="202"/>
      <c r="N169" s="34"/>
    </row>
    <row r="170" spans="1:14" x14ac:dyDescent="0.2">
      <c r="A170" s="464"/>
      <c r="B170" s="476"/>
      <c r="C170" s="476"/>
      <c r="D170" s="478"/>
      <c r="E170" s="480"/>
      <c r="F170" s="480"/>
      <c r="G170" s="338"/>
      <c r="H170" s="338"/>
      <c r="I170" s="463"/>
      <c r="J170" s="473"/>
      <c r="K170" s="474"/>
      <c r="L170" s="338"/>
      <c r="M170" s="202"/>
      <c r="N170" s="100"/>
    </row>
    <row r="171" spans="1:14" x14ac:dyDescent="0.2">
      <c r="A171" s="464"/>
      <c r="B171" s="464" t="s">
        <v>440</v>
      </c>
      <c r="C171" s="464" t="s">
        <v>1547</v>
      </c>
      <c r="D171" s="466" t="s">
        <v>1547</v>
      </c>
      <c r="E171" s="464"/>
      <c r="F171" s="464"/>
      <c r="G171" s="338" t="s">
        <v>3770</v>
      </c>
      <c r="H171" s="338" t="s">
        <v>4552</v>
      </c>
      <c r="I171" s="463" t="s">
        <v>4552</v>
      </c>
      <c r="J171" s="463" t="s">
        <v>4552</v>
      </c>
      <c r="K171" s="338" t="s">
        <v>515</v>
      </c>
      <c r="L171" s="338" t="s">
        <v>4675</v>
      </c>
      <c r="M171" s="202"/>
      <c r="N171" s="37"/>
    </row>
    <row r="172" spans="1:14" x14ac:dyDescent="0.2">
      <c r="A172" s="464"/>
      <c r="B172" s="464"/>
      <c r="C172" s="464"/>
      <c r="D172" s="466"/>
      <c r="E172" s="464"/>
      <c r="F172" s="464"/>
      <c r="G172" s="338"/>
      <c r="H172" s="338"/>
      <c r="I172" s="463"/>
      <c r="J172" s="463"/>
      <c r="K172" s="338"/>
      <c r="L172" s="338"/>
      <c r="M172" s="202"/>
      <c r="N172" s="37"/>
    </row>
    <row r="173" spans="1:14" x14ac:dyDescent="0.2">
      <c r="A173" s="464"/>
      <c r="B173" s="464"/>
      <c r="C173" s="464"/>
      <c r="D173" s="466"/>
      <c r="E173" s="464"/>
      <c r="F173" s="464"/>
      <c r="G173" s="338"/>
      <c r="H173" s="338"/>
      <c r="I173" s="463"/>
      <c r="J173" s="463"/>
      <c r="K173" s="338"/>
      <c r="L173" s="338"/>
      <c r="M173" s="202"/>
      <c r="N173" s="37"/>
    </row>
    <row r="174" spans="1:14" ht="15" customHeight="1" x14ac:dyDescent="0.2">
      <c r="A174" s="464"/>
      <c r="B174" s="464"/>
      <c r="C174" s="464"/>
      <c r="D174" s="466"/>
      <c r="E174" s="464"/>
      <c r="F174" s="464"/>
      <c r="G174" s="338" t="s">
        <v>3771</v>
      </c>
      <c r="H174" s="338"/>
      <c r="I174" s="463" t="s">
        <v>4553</v>
      </c>
      <c r="J174" s="463" t="s">
        <v>4553</v>
      </c>
      <c r="K174" s="338" t="s">
        <v>507</v>
      </c>
      <c r="L174" s="338" t="s">
        <v>4676</v>
      </c>
      <c r="M174" s="202"/>
      <c r="N174" s="7"/>
    </row>
    <row r="175" spans="1:14" x14ac:dyDescent="0.2">
      <c r="A175" s="464"/>
      <c r="B175" s="464"/>
      <c r="C175" s="464"/>
      <c r="D175" s="466"/>
      <c r="E175" s="464"/>
      <c r="F175" s="464"/>
      <c r="G175" s="338"/>
      <c r="H175" s="338"/>
      <c r="I175" s="463"/>
      <c r="J175" s="463"/>
      <c r="K175" s="338"/>
      <c r="L175" s="338"/>
      <c r="M175" s="202"/>
      <c r="N175" s="7"/>
    </row>
    <row r="176" spans="1:14" x14ac:dyDescent="0.2">
      <c r="A176" s="464"/>
      <c r="B176" s="464"/>
      <c r="C176" s="464"/>
      <c r="D176" s="466"/>
      <c r="E176" s="464"/>
      <c r="F176" s="464"/>
      <c r="G176" s="338"/>
      <c r="H176" s="338"/>
      <c r="I176" s="463"/>
      <c r="J176" s="463"/>
      <c r="K176" s="338"/>
      <c r="L176" s="338"/>
      <c r="M176" s="202"/>
      <c r="N176" s="7"/>
    </row>
    <row r="177" spans="1:14" ht="16.350000000000001" customHeight="1" x14ac:dyDescent="0.2">
      <c r="A177" s="464"/>
      <c r="B177" s="464"/>
      <c r="C177" s="464"/>
      <c r="D177" s="466"/>
      <c r="E177" s="464"/>
      <c r="F177" s="464"/>
      <c r="G177" s="338" t="s">
        <v>3772</v>
      </c>
      <c r="H177" s="338"/>
      <c r="I177" s="463"/>
      <c r="J177" s="463" t="s">
        <v>4677</v>
      </c>
      <c r="K177" s="338" t="s">
        <v>511</v>
      </c>
      <c r="L177" s="338" t="s">
        <v>4678</v>
      </c>
      <c r="M177" s="202"/>
      <c r="N177" s="7"/>
    </row>
    <row r="178" spans="1:14" x14ac:dyDescent="0.2">
      <c r="A178" s="464"/>
      <c r="B178" s="464"/>
      <c r="C178" s="464"/>
      <c r="D178" s="466"/>
      <c r="E178" s="464"/>
      <c r="F178" s="464"/>
      <c r="G178" s="338"/>
      <c r="H178" s="338"/>
      <c r="I178" s="463"/>
      <c r="J178" s="463"/>
      <c r="K178" s="338"/>
      <c r="L178" s="338"/>
      <c r="M178" s="202"/>
      <c r="N178" s="7"/>
    </row>
    <row r="179" spans="1:14" x14ac:dyDescent="0.2">
      <c r="A179" s="464"/>
      <c r="B179" s="464"/>
      <c r="C179" s="464"/>
      <c r="D179" s="466"/>
      <c r="E179" s="464"/>
      <c r="F179" s="464"/>
      <c r="G179" s="338"/>
      <c r="H179" s="338"/>
      <c r="I179" s="463"/>
      <c r="J179" s="463"/>
      <c r="K179" s="338"/>
      <c r="L179" s="338"/>
      <c r="M179" s="202"/>
      <c r="N179" s="7"/>
    </row>
    <row r="180" spans="1:14" ht="16.350000000000001" customHeight="1" x14ac:dyDescent="0.2">
      <c r="A180" s="464"/>
      <c r="B180" s="464"/>
      <c r="C180" s="464"/>
      <c r="D180" s="466"/>
      <c r="E180" s="464"/>
      <c r="F180" s="464"/>
      <c r="G180" s="338" t="s">
        <v>3773</v>
      </c>
      <c r="H180" s="338"/>
      <c r="I180" s="463"/>
      <c r="J180" s="463"/>
      <c r="K180" s="338"/>
      <c r="L180" s="338"/>
      <c r="M180" s="202"/>
      <c r="N180" s="6"/>
    </row>
    <row r="181" spans="1:14" x14ac:dyDescent="0.2">
      <c r="A181" s="464"/>
      <c r="B181" s="464"/>
      <c r="C181" s="464"/>
      <c r="D181" s="466"/>
      <c r="E181" s="464"/>
      <c r="F181" s="464"/>
      <c r="G181" s="338"/>
      <c r="H181" s="338"/>
      <c r="I181" s="463"/>
      <c r="J181" s="463"/>
      <c r="K181" s="338"/>
      <c r="L181" s="338"/>
      <c r="M181" s="202"/>
      <c r="N181" s="7"/>
    </row>
    <row r="182" spans="1:14" x14ac:dyDescent="0.2">
      <c r="A182" s="464"/>
      <c r="B182" s="464"/>
      <c r="C182" s="464"/>
      <c r="D182" s="466"/>
      <c r="E182" s="464"/>
      <c r="F182" s="464"/>
      <c r="G182" s="338"/>
      <c r="H182" s="338"/>
      <c r="I182" s="463"/>
      <c r="J182" s="463"/>
      <c r="K182" s="338"/>
      <c r="L182" s="338"/>
      <c r="M182" s="202"/>
      <c r="N182" s="7"/>
    </row>
    <row r="183" spans="1:14" ht="16.350000000000001" customHeight="1" x14ac:dyDescent="0.2">
      <c r="A183" s="464"/>
      <c r="B183" s="464"/>
      <c r="C183" s="464"/>
      <c r="D183" s="466"/>
      <c r="E183" s="464"/>
      <c r="F183" s="464"/>
      <c r="G183" s="338" t="s">
        <v>3774</v>
      </c>
      <c r="H183" s="338"/>
      <c r="I183" s="463"/>
      <c r="J183" s="463"/>
      <c r="K183" s="338"/>
      <c r="L183" s="338"/>
      <c r="M183" s="202"/>
      <c r="N183" s="6"/>
    </row>
    <row r="184" spans="1:14" x14ac:dyDescent="0.2">
      <c r="A184" s="464"/>
      <c r="B184" s="464"/>
      <c r="C184" s="464"/>
      <c r="D184" s="466"/>
      <c r="E184" s="464"/>
      <c r="F184" s="464"/>
      <c r="G184" s="338"/>
      <c r="H184" s="338"/>
      <c r="I184" s="463"/>
      <c r="J184" s="463"/>
      <c r="K184" s="338"/>
      <c r="L184" s="338"/>
      <c r="M184" s="202"/>
      <c r="N184" s="7"/>
    </row>
    <row r="185" spans="1:14" x14ac:dyDescent="0.2">
      <c r="A185" s="464"/>
      <c r="B185" s="464"/>
      <c r="C185" s="464"/>
      <c r="D185" s="466"/>
      <c r="E185" s="464"/>
      <c r="F185" s="464"/>
      <c r="G185" s="338"/>
      <c r="H185" s="338"/>
      <c r="I185" s="463"/>
      <c r="J185" s="463"/>
      <c r="K185" s="338"/>
      <c r="L185" s="338"/>
      <c r="M185" s="202"/>
      <c r="N185" s="7"/>
    </row>
    <row r="186" spans="1:14" ht="16.350000000000001" customHeight="1" x14ac:dyDescent="0.2">
      <c r="A186" s="464"/>
      <c r="B186" s="464"/>
      <c r="C186" s="464"/>
      <c r="D186" s="466"/>
      <c r="E186" s="464"/>
      <c r="F186" s="464"/>
      <c r="G186" s="338" t="s">
        <v>3775</v>
      </c>
      <c r="H186" s="338"/>
      <c r="I186" s="463"/>
      <c r="J186" s="463"/>
      <c r="K186" s="338"/>
      <c r="L186" s="338"/>
      <c r="M186" s="202"/>
      <c r="N186" s="6"/>
    </row>
    <row r="187" spans="1:14" x14ac:dyDescent="0.2">
      <c r="A187" s="464"/>
      <c r="B187" s="464"/>
      <c r="C187" s="464"/>
      <c r="D187" s="466"/>
      <c r="E187" s="464"/>
      <c r="F187" s="464"/>
      <c r="G187" s="338"/>
      <c r="H187" s="338"/>
      <c r="I187" s="463"/>
      <c r="J187" s="463"/>
      <c r="K187" s="338"/>
      <c r="L187" s="338"/>
      <c r="M187" s="202"/>
      <c r="N187" s="7"/>
    </row>
    <row r="188" spans="1:14" x14ac:dyDescent="0.2">
      <c r="A188" s="464"/>
      <c r="B188" s="464"/>
      <c r="C188" s="464"/>
      <c r="D188" s="466"/>
      <c r="E188" s="464"/>
      <c r="F188" s="464"/>
      <c r="G188" s="338"/>
      <c r="H188" s="338"/>
      <c r="I188" s="463"/>
      <c r="J188" s="463"/>
      <c r="K188" s="338"/>
      <c r="L188" s="338"/>
      <c r="M188" s="202"/>
      <c r="N188" s="7"/>
    </row>
    <row r="189" spans="1:14" ht="15" customHeight="1" x14ac:dyDescent="0.2">
      <c r="A189" s="464"/>
      <c r="B189" s="464" t="s">
        <v>824</v>
      </c>
      <c r="C189" s="464" t="s">
        <v>3854</v>
      </c>
      <c r="D189" s="466" t="s">
        <v>4679</v>
      </c>
      <c r="E189" s="464"/>
      <c r="F189" s="464"/>
      <c r="G189" s="338" t="s">
        <v>3776</v>
      </c>
      <c r="H189" s="338" t="s">
        <v>3851</v>
      </c>
      <c r="I189" s="463" t="s">
        <v>4554</v>
      </c>
      <c r="J189" s="463" t="s">
        <v>4554</v>
      </c>
      <c r="K189" s="338" t="s">
        <v>511</v>
      </c>
      <c r="L189" s="338" t="s">
        <v>4680</v>
      </c>
      <c r="M189" s="202"/>
      <c r="N189" s="37"/>
    </row>
    <row r="190" spans="1:14" x14ac:dyDescent="0.2">
      <c r="A190" s="464"/>
      <c r="B190" s="464"/>
      <c r="C190" s="464"/>
      <c r="D190" s="466"/>
      <c r="E190" s="464"/>
      <c r="F190" s="464"/>
      <c r="G190" s="338"/>
      <c r="H190" s="338"/>
      <c r="I190" s="463"/>
      <c r="J190" s="463"/>
      <c r="K190" s="338"/>
      <c r="L190" s="338"/>
      <c r="M190" s="202"/>
      <c r="N190" s="37"/>
    </row>
    <row r="191" spans="1:14" x14ac:dyDescent="0.2">
      <c r="A191" s="464"/>
      <c r="B191" s="464"/>
      <c r="C191" s="464"/>
      <c r="D191" s="466"/>
      <c r="E191" s="464"/>
      <c r="F191" s="464"/>
      <c r="G191" s="338"/>
      <c r="H191" s="338"/>
      <c r="I191" s="463"/>
      <c r="J191" s="463"/>
      <c r="K191" s="338"/>
      <c r="L191" s="338"/>
      <c r="M191" s="202"/>
      <c r="N191" s="37"/>
    </row>
    <row r="192" spans="1:14" ht="15" customHeight="1" x14ac:dyDescent="0.2">
      <c r="A192" s="464"/>
      <c r="B192" s="464"/>
      <c r="C192" s="464"/>
      <c r="D192" s="466"/>
      <c r="E192" s="464"/>
      <c r="F192" s="464"/>
      <c r="G192" s="338" t="s">
        <v>3777</v>
      </c>
      <c r="H192" s="338" t="s">
        <v>3852</v>
      </c>
      <c r="I192" s="463"/>
      <c r="J192" s="463"/>
      <c r="K192" s="338"/>
      <c r="L192" s="338"/>
      <c r="M192" s="202"/>
      <c r="N192" s="7"/>
    </row>
    <row r="193" spans="1:14" x14ac:dyDescent="0.2">
      <c r="A193" s="464"/>
      <c r="B193" s="464"/>
      <c r="C193" s="464"/>
      <c r="D193" s="466"/>
      <c r="E193" s="464"/>
      <c r="F193" s="464"/>
      <c r="G193" s="338"/>
      <c r="H193" s="338"/>
      <c r="I193" s="463"/>
      <c r="J193" s="463"/>
      <c r="K193" s="338"/>
      <c r="L193" s="338"/>
      <c r="M193" s="202"/>
      <c r="N193" s="7"/>
    </row>
    <row r="194" spans="1:14" x14ac:dyDescent="0.2">
      <c r="A194" s="464"/>
      <c r="B194" s="464"/>
      <c r="C194" s="464"/>
      <c r="D194" s="466"/>
      <c r="E194" s="464"/>
      <c r="F194" s="464"/>
      <c r="G194" s="338"/>
      <c r="H194" s="338"/>
      <c r="I194" s="463"/>
      <c r="J194" s="463"/>
      <c r="K194" s="338"/>
      <c r="L194" s="338"/>
      <c r="M194" s="202"/>
      <c r="N194" s="7"/>
    </row>
    <row r="195" spans="1:14" ht="16.350000000000001" customHeight="1" x14ac:dyDescent="0.2">
      <c r="A195" s="464"/>
      <c r="B195" s="464"/>
      <c r="C195" s="464"/>
      <c r="D195" s="466"/>
      <c r="E195" s="464"/>
      <c r="F195" s="464"/>
      <c r="G195" s="338" t="s">
        <v>3778</v>
      </c>
      <c r="H195" s="338" t="s">
        <v>3853</v>
      </c>
      <c r="I195" s="463" t="s">
        <v>4555</v>
      </c>
      <c r="J195" s="463" t="s">
        <v>4555</v>
      </c>
      <c r="K195" s="338" t="s">
        <v>511</v>
      </c>
      <c r="L195" s="338" t="s">
        <v>4681</v>
      </c>
      <c r="M195" s="202"/>
      <c r="N195" s="7"/>
    </row>
    <row r="196" spans="1:14" x14ac:dyDescent="0.2">
      <c r="A196" s="464"/>
      <c r="B196" s="464"/>
      <c r="C196" s="464"/>
      <c r="D196" s="466"/>
      <c r="E196" s="464"/>
      <c r="F196" s="464"/>
      <c r="G196" s="338"/>
      <c r="H196" s="338"/>
      <c r="I196" s="463"/>
      <c r="J196" s="463"/>
      <c r="K196" s="338"/>
      <c r="L196" s="338"/>
      <c r="M196" s="202"/>
      <c r="N196" s="7"/>
    </row>
    <row r="197" spans="1:14" x14ac:dyDescent="0.2">
      <c r="A197" s="464"/>
      <c r="B197" s="464"/>
      <c r="C197" s="464"/>
      <c r="D197" s="466"/>
      <c r="E197" s="464"/>
      <c r="F197" s="464"/>
      <c r="G197" s="338"/>
      <c r="H197" s="338"/>
      <c r="I197" s="463"/>
      <c r="J197" s="463"/>
      <c r="K197" s="338"/>
      <c r="L197" s="338"/>
      <c r="M197" s="202"/>
      <c r="N197" s="7"/>
    </row>
    <row r="198" spans="1:14" ht="16.350000000000001" customHeight="1" x14ac:dyDescent="0.2">
      <c r="A198" s="464"/>
      <c r="B198" s="464"/>
      <c r="C198" s="464"/>
      <c r="D198" s="466"/>
      <c r="E198" s="464"/>
      <c r="F198" s="464"/>
      <c r="G198" s="338" t="s">
        <v>3779</v>
      </c>
      <c r="H198" s="338"/>
      <c r="I198" s="463"/>
      <c r="J198" s="463"/>
      <c r="K198" s="338"/>
      <c r="L198" s="338"/>
      <c r="M198" s="202"/>
      <c r="N198" s="6"/>
    </row>
    <row r="199" spans="1:14" x14ac:dyDescent="0.2">
      <c r="A199" s="464"/>
      <c r="B199" s="464"/>
      <c r="C199" s="464"/>
      <c r="D199" s="466"/>
      <c r="E199" s="464"/>
      <c r="F199" s="464"/>
      <c r="G199" s="338"/>
      <c r="H199" s="338"/>
      <c r="I199" s="463"/>
      <c r="J199" s="463"/>
      <c r="K199" s="338"/>
      <c r="L199" s="338"/>
      <c r="M199" s="202"/>
      <c r="N199" s="7"/>
    </row>
    <row r="200" spans="1:14" x14ac:dyDescent="0.2">
      <c r="A200" s="464"/>
      <c r="B200" s="464"/>
      <c r="C200" s="464"/>
      <c r="D200" s="466"/>
      <c r="E200" s="464"/>
      <c r="F200" s="464"/>
      <c r="G200" s="338"/>
      <c r="H200" s="338"/>
      <c r="I200" s="463"/>
      <c r="J200" s="463"/>
      <c r="K200" s="338"/>
      <c r="L200" s="338"/>
      <c r="M200" s="202"/>
      <c r="N200" s="7"/>
    </row>
    <row r="201" spans="1:14" ht="16.350000000000001" customHeight="1" x14ac:dyDescent="0.2">
      <c r="A201" s="464"/>
      <c r="B201" s="464"/>
      <c r="C201" s="464"/>
      <c r="D201" s="466"/>
      <c r="E201" s="464"/>
      <c r="F201" s="464"/>
      <c r="G201" s="338" t="s">
        <v>3780</v>
      </c>
      <c r="H201" s="338"/>
      <c r="I201" s="463"/>
      <c r="J201" s="463"/>
      <c r="K201" s="338"/>
      <c r="L201" s="338"/>
      <c r="M201" s="202"/>
      <c r="N201" s="6"/>
    </row>
    <row r="202" spans="1:14" x14ac:dyDescent="0.2">
      <c r="A202" s="464"/>
      <c r="B202" s="464"/>
      <c r="C202" s="464"/>
      <c r="D202" s="466"/>
      <c r="E202" s="464"/>
      <c r="F202" s="464"/>
      <c r="G202" s="338"/>
      <c r="H202" s="338"/>
      <c r="I202" s="463"/>
      <c r="J202" s="463"/>
      <c r="K202" s="338"/>
      <c r="L202" s="338"/>
      <c r="M202" s="202"/>
      <c r="N202" s="7"/>
    </row>
    <row r="203" spans="1:14" x14ac:dyDescent="0.2">
      <c r="A203" s="464"/>
      <c r="B203" s="464"/>
      <c r="C203" s="464"/>
      <c r="D203" s="466"/>
      <c r="E203" s="464"/>
      <c r="F203" s="464"/>
      <c r="G203" s="338"/>
      <c r="H203" s="338"/>
      <c r="I203" s="463"/>
      <c r="J203" s="463"/>
      <c r="K203" s="338"/>
      <c r="L203" s="338"/>
      <c r="M203" s="202"/>
      <c r="N203" s="7"/>
    </row>
    <row r="204" spans="1:14" ht="16.350000000000001" customHeight="1" x14ac:dyDescent="0.2">
      <c r="A204" s="464"/>
      <c r="B204" s="464"/>
      <c r="C204" s="464"/>
      <c r="D204" s="466"/>
      <c r="E204" s="464"/>
      <c r="F204" s="464"/>
      <c r="G204" s="338" t="s">
        <v>3781</v>
      </c>
      <c r="H204" s="338"/>
      <c r="I204" s="463"/>
      <c r="J204" s="463"/>
      <c r="K204" s="338"/>
      <c r="L204" s="338"/>
      <c r="M204" s="202"/>
      <c r="N204" s="6"/>
    </row>
    <row r="205" spans="1:14" x14ac:dyDescent="0.2">
      <c r="A205" s="464"/>
      <c r="B205" s="464"/>
      <c r="C205" s="464"/>
      <c r="D205" s="466"/>
      <c r="E205" s="464"/>
      <c r="F205" s="464"/>
      <c r="G205" s="338"/>
      <c r="H205" s="338"/>
      <c r="I205" s="463"/>
      <c r="J205" s="463"/>
      <c r="K205" s="338"/>
      <c r="L205" s="338"/>
      <c r="M205" s="202"/>
      <c r="N205" s="7"/>
    </row>
    <row r="206" spans="1:14" x14ac:dyDescent="0.2">
      <c r="A206" s="464"/>
      <c r="B206" s="464"/>
      <c r="C206" s="464"/>
      <c r="D206" s="466"/>
      <c r="E206" s="464"/>
      <c r="F206" s="464"/>
      <c r="G206" s="338"/>
      <c r="H206" s="338"/>
      <c r="I206" s="463"/>
      <c r="J206" s="463"/>
      <c r="K206" s="338"/>
      <c r="L206" s="338"/>
      <c r="M206" s="202"/>
      <c r="N206" s="7"/>
    </row>
    <row r="207" spans="1:14" ht="15" customHeight="1" x14ac:dyDescent="0.2">
      <c r="A207" s="464"/>
      <c r="B207" s="471" t="s">
        <v>825</v>
      </c>
      <c r="C207" s="471" t="s">
        <v>3855</v>
      </c>
      <c r="D207" s="472" t="s">
        <v>4704</v>
      </c>
      <c r="E207" s="471"/>
      <c r="F207" s="471"/>
      <c r="G207" s="468" t="s">
        <v>3782</v>
      </c>
      <c r="H207" s="468" t="s">
        <v>3856</v>
      </c>
      <c r="I207" s="469" t="s">
        <v>4556</v>
      </c>
      <c r="J207" s="470" t="s">
        <v>4666</v>
      </c>
      <c r="K207" s="468" t="s">
        <v>528</v>
      </c>
      <c r="L207" s="467" t="s">
        <v>4682</v>
      </c>
      <c r="M207" s="202"/>
      <c r="N207" s="37"/>
    </row>
    <row r="208" spans="1:14" x14ac:dyDescent="0.2">
      <c r="A208" s="464"/>
      <c r="B208" s="471"/>
      <c r="C208" s="471"/>
      <c r="D208" s="472"/>
      <c r="E208" s="471"/>
      <c r="F208" s="471"/>
      <c r="G208" s="468"/>
      <c r="H208" s="468"/>
      <c r="I208" s="469"/>
      <c r="J208" s="470"/>
      <c r="K208" s="468"/>
      <c r="L208" s="467"/>
      <c r="M208" s="202"/>
      <c r="N208" s="37"/>
    </row>
    <row r="209" spans="1:14" x14ac:dyDescent="0.2">
      <c r="A209" s="464"/>
      <c r="B209" s="471"/>
      <c r="C209" s="471"/>
      <c r="D209" s="472"/>
      <c r="E209" s="471"/>
      <c r="F209" s="471"/>
      <c r="G209" s="468"/>
      <c r="H209" s="468"/>
      <c r="I209" s="469"/>
      <c r="J209" s="470"/>
      <c r="K209" s="468"/>
      <c r="L209" s="467"/>
      <c r="M209" s="202"/>
      <c r="N209" s="37"/>
    </row>
    <row r="210" spans="1:14" ht="15" customHeight="1" x14ac:dyDescent="0.2">
      <c r="A210" s="464"/>
      <c r="B210" s="471"/>
      <c r="C210" s="471"/>
      <c r="D210" s="472"/>
      <c r="E210" s="471"/>
      <c r="F210" s="471"/>
      <c r="G210" s="468" t="s">
        <v>3783</v>
      </c>
      <c r="H210" s="468" t="s">
        <v>3857</v>
      </c>
      <c r="I210" s="469" t="s">
        <v>4557</v>
      </c>
      <c r="J210" s="469"/>
      <c r="K210" s="468"/>
      <c r="L210" s="467" t="s">
        <v>4683</v>
      </c>
      <c r="M210" s="202"/>
      <c r="N210" s="7"/>
    </row>
    <row r="211" spans="1:14" x14ac:dyDescent="0.2">
      <c r="A211" s="464"/>
      <c r="B211" s="471"/>
      <c r="C211" s="471"/>
      <c r="D211" s="472"/>
      <c r="E211" s="471"/>
      <c r="F211" s="471"/>
      <c r="G211" s="468"/>
      <c r="H211" s="468"/>
      <c r="I211" s="469"/>
      <c r="J211" s="469"/>
      <c r="K211" s="468"/>
      <c r="L211" s="467"/>
      <c r="M211" s="202"/>
      <c r="N211" s="7"/>
    </row>
    <row r="212" spans="1:14" x14ac:dyDescent="0.2">
      <c r="A212" s="464"/>
      <c r="B212" s="471"/>
      <c r="C212" s="471"/>
      <c r="D212" s="472"/>
      <c r="E212" s="471"/>
      <c r="F212" s="471"/>
      <c r="G212" s="468"/>
      <c r="H212" s="468"/>
      <c r="I212" s="469"/>
      <c r="J212" s="469"/>
      <c r="K212" s="468"/>
      <c r="L212" s="467"/>
      <c r="M212" s="202"/>
      <c r="N212" s="7"/>
    </row>
    <row r="213" spans="1:14" ht="16.350000000000001" customHeight="1" x14ac:dyDescent="0.2">
      <c r="A213" s="464"/>
      <c r="B213" s="471"/>
      <c r="C213" s="471"/>
      <c r="D213" s="472"/>
      <c r="E213" s="471"/>
      <c r="F213" s="471"/>
      <c r="G213" s="468" t="s">
        <v>3784</v>
      </c>
      <c r="H213" s="468" t="s">
        <v>3858</v>
      </c>
      <c r="I213" s="469" t="s">
        <v>4558</v>
      </c>
      <c r="J213" s="469"/>
      <c r="K213" s="468"/>
      <c r="L213" s="467" t="s">
        <v>4684</v>
      </c>
      <c r="M213" s="202"/>
      <c r="N213" s="7"/>
    </row>
    <row r="214" spans="1:14" x14ac:dyDescent="0.2">
      <c r="A214" s="464"/>
      <c r="B214" s="471"/>
      <c r="C214" s="471"/>
      <c r="D214" s="472"/>
      <c r="E214" s="471"/>
      <c r="F214" s="471"/>
      <c r="G214" s="468"/>
      <c r="H214" s="468"/>
      <c r="I214" s="469"/>
      <c r="J214" s="469"/>
      <c r="K214" s="468"/>
      <c r="L214" s="467"/>
      <c r="M214" s="202"/>
      <c r="N214" s="7"/>
    </row>
    <row r="215" spans="1:14" x14ac:dyDescent="0.2">
      <c r="A215" s="464"/>
      <c r="B215" s="471"/>
      <c r="C215" s="471"/>
      <c r="D215" s="472"/>
      <c r="E215" s="471"/>
      <c r="F215" s="471"/>
      <c r="G215" s="468"/>
      <c r="H215" s="468"/>
      <c r="I215" s="469"/>
      <c r="J215" s="469"/>
      <c r="K215" s="468"/>
      <c r="L215" s="467"/>
      <c r="M215" s="202"/>
      <c r="N215" s="7"/>
    </row>
    <row r="216" spans="1:14" ht="16.350000000000001" customHeight="1" x14ac:dyDescent="0.2">
      <c r="A216" s="464"/>
      <c r="B216" s="471"/>
      <c r="C216" s="471"/>
      <c r="D216" s="472"/>
      <c r="E216" s="471"/>
      <c r="F216" s="471"/>
      <c r="G216" s="468" t="s">
        <v>3785</v>
      </c>
      <c r="H216" s="468" t="s">
        <v>3859</v>
      </c>
      <c r="I216" s="469" t="s">
        <v>4559</v>
      </c>
      <c r="J216" s="469"/>
      <c r="K216" s="468"/>
      <c r="L216" s="467"/>
      <c r="M216" s="202"/>
      <c r="N216" s="6"/>
    </row>
    <row r="217" spans="1:14" x14ac:dyDescent="0.2">
      <c r="A217" s="464"/>
      <c r="B217" s="471"/>
      <c r="C217" s="471"/>
      <c r="D217" s="472"/>
      <c r="E217" s="471"/>
      <c r="F217" s="471"/>
      <c r="G217" s="468"/>
      <c r="H217" s="468"/>
      <c r="I217" s="469"/>
      <c r="J217" s="469"/>
      <c r="K217" s="468"/>
      <c r="L217" s="467"/>
      <c r="M217" s="202"/>
      <c r="N217" s="7"/>
    </row>
    <row r="218" spans="1:14" x14ac:dyDescent="0.2">
      <c r="A218" s="464"/>
      <c r="B218" s="471"/>
      <c r="C218" s="471"/>
      <c r="D218" s="472"/>
      <c r="E218" s="471"/>
      <c r="F218" s="471"/>
      <c r="G218" s="468"/>
      <c r="H218" s="468"/>
      <c r="I218" s="469"/>
      <c r="J218" s="469"/>
      <c r="K218" s="468"/>
      <c r="L218" s="467"/>
      <c r="M218" s="202"/>
      <c r="N218" s="7"/>
    </row>
    <row r="219" spans="1:14" ht="16.350000000000001" customHeight="1" x14ac:dyDescent="0.2">
      <c r="A219" s="464"/>
      <c r="B219" s="471"/>
      <c r="C219" s="471"/>
      <c r="D219" s="472"/>
      <c r="E219" s="471"/>
      <c r="F219" s="471"/>
      <c r="G219" s="468" t="s">
        <v>3786</v>
      </c>
      <c r="H219" s="468" t="s">
        <v>3860</v>
      </c>
      <c r="I219" s="469" t="s">
        <v>4560</v>
      </c>
      <c r="J219" s="469"/>
      <c r="K219" s="468"/>
      <c r="L219" s="467" t="s">
        <v>4685</v>
      </c>
      <c r="M219" s="202"/>
      <c r="N219" s="6"/>
    </row>
    <row r="220" spans="1:14" x14ac:dyDescent="0.2">
      <c r="A220" s="464"/>
      <c r="B220" s="471"/>
      <c r="C220" s="471"/>
      <c r="D220" s="472"/>
      <c r="E220" s="471"/>
      <c r="F220" s="471"/>
      <c r="G220" s="468"/>
      <c r="H220" s="468"/>
      <c r="I220" s="469"/>
      <c r="J220" s="469"/>
      <c r="K220" s="468"/>
      <c r="L220" s="467"/>
      <c r="M220" s="202"/>
      <c r="N220" s="7"/>
    </row>
    <row r="221" spans="1:14" x14ac:dyDescent="0.2">
      <c r="A221" s="464"/>
      <c r="B221" s="471"/>
      <c r="C221" s="471"/>
      <c r="D221" s="472"/>
      <c r="E221" s="471"/>
      <c r="F221" s="471"/>
      <c r="G221" s="468"/>
      <c r="H221" s="468"/>
      <c r="I221" s="469"/>
      <c r="J221" s="469"/>
      <c r="K221" s="468"/>
      <c r="L221" s="467"/>
      <c r="M221" s="202"/>
      <c r="N221" s="7"/>
    </row>
    <row r="222" spans="1:14" x14ac:dyDescent="0.2">
      <c r="A222" s="464"/>
      <c r="B222" s="471"/>
      <c r="C222" s="471"/>
      <c r="D222" s="472"/>
      <c r="E222" s="471"/>
      <c r="F222" s="471"/>
      <c r="G222" s="468" t="s">
        <v>3787</v>
      </c>
      <c r="H222" s="468" t="s">
        <v>3861</v>
      </c>
      <c r="I222" s="469" t="s">
        <v>4561</v>
      </c>
      <c r="J222" s="469"/>
      <c r="K222" s="468"/>
      <c r="L222" s="467" t="s">
        <v>4686</v>
      </c>
      <c r="M222" s="202"/>
      <c r="N222" s="7"/>
    </row>
    <row r="223" spans="1:14" x14ac:dyDescent="0.2">
      <c r="A223" s="464"/>
      <c r="B223" s="471"/>
      <c r="C223" s="471"/>
      <c r="D223" s="472"/>
      <c r="E223" s="471"/>
      <c r="F223" s="471"/>
      <c r="G223" s="468"/>
      <c r="H223" s="468"/>
      <c r="I223" s="469"/>
      <c r="J223" s="469"/>
      <c r="K223" s="468"/>
      <c r="L223" s="467"/>
      <c r="M223" s="202"/>
      <c r="N223" s="7"/>
    </row>
    <row r="224" spans="1:14" x14ac:dyDescent="0.2">
      <c r="A224" s="464"/>
      <c r="B224" s="471"/>
      <c r="C224" s="471"/>
      <c r="D224" s="472"/>
      <c r="E224" s="471"/>
      <c r="F224" s="471"/>
      <c r="G224" s="468"/>
      <c r="H224" s="468"/>
      <c r="I224" s="469"/>
      <c r="J224" s="469"/>
      <c r="K224" s="468"/>
      <c r="L224" s="467"/>
      <c r="M224" s="202"/>
      <c r="N224" s="7"/>
    </row>
    <row r="225" spans="1:14" x14ac:dyDescent="0.2">
      <c r="A225" s="464"/>
      <c r="B225" s="471"/>
      <c r="C225" s="471"/>
      <c r="D225" s="472"/>
      <c r="E225" s="471"/>
      <c r="F225" s="471"/>
      <c r="G225" s="468" t="s">
        <v>4562</v>
      </c>
      <c r="H225" s="468"/>
      <c r="I225" s="469" t="s">
        <v>4563</v>
      </c>
      <c r="J225" s="469"/>
      <c r="K225" s="468"/>
      <c r="L225" s="467"/>
      <c r="M225" s="202"/>
      <c r="N225" s="7"/>
    </row>
    <row r="226" spans="1:14" x14ac:dyDescent="0.2">
      <c r="A226" s="464"/>
      <c r="B226" s="471"/>
      <c r="C226" s="471"/>
      <c r="D226" s="472"/>
      <c r="E226" s="471"/>
      <c r="F226" s="471"/>
      <c r="G226" s="468"/>
      <c r="H226" s="468"/>
      <c r="I226" s="469"/>
      <c r="J226" s="469"/>
      <c r="K226" s="468"/>
      <c r="L226" s="467"/>
      <c r="M226" s="202"/>
      <c r="N226" s="7"/>
    </row>
    <row r="227" spans="1:14" x14ac:dyDescent="0.2">
      <c r="A227" s="464"/>
      <c r="B227" s="471"/>
      <c r="C227" s="471"/>
      <c r="D227" s="472"/>
      <c r="E227" s="471"/>
      <c r="F227" s="471"/>
      <c r="G227" s="468"/>
      <c r="H227" s="468"/>
      <c r="I227" s="469"/>
      <c r="J227" s="469"/>
      <c r="K227" s="468"/>
      <c r="L227" s="467"/>
      <c r="M227" s="202"/>
      <c r="N227" s="7"/>
    </row>
    <row r="228" spans="1:14" ht="16.350000000000001" customHeight="1" x14ac:dyDescent="0.2">
      <c r="A228" s="464"/>
      <c r="B228" s="471"/>
      <c r="C228" s="471"/>
      <c r="D228" s="472"/>
      <c r="E228" s="471"/>
      <c r="F228" s="471"/>
      <c r="G228" s="468" t="s">
        <v>4564</v>
      </c>
      <c r="H228" s="468"/>
      <c r="I228" s="469" t="s">
        <v>4565</v>
      </c>
      <c r="J228" s="469"/>
      <c r="K228" s="468"/>
      <c r="L228" s="467" t="s">
        <v>4687</v>
      </c>
      <c r="M228" s="202"/>
      <c r="N228" s="6"/>
    </row>
    <row r="229" spans="1:14" x14ac:dyDescent="0.2">
      <c r="A229" s="464"/>
      <c r="B229" s="471"/>
      <c r="C229" s="471"/>
      <c r="D229" s="472"/>
      <c r="E229" s="471"/>
      <c r="F229" s="471"/>
      <c r="G229" s="468"/>
      <c r="H229" s="468"/>
      <c r="I229" s="469"/>
      <c r="J229" s="469"/>
      <c r="K229" s="468"/>
      <c r="L229" s="467"/>
      <c r="M229" s="202"/>
      <c r="N229" s="7"/>
    </row>
    <row r="230" spans="1:14" x14ac:dyDescent="0.2">
      <c r="A230" s="464"/>
      <c r="B230" s="471"/>
      <c r="C230" s="471"/>
      <c r="D230" s="472"/>
      <c r="E230" s="471"/>
      <c r="F230" s="471"/>
      <c r="G230" s="468"/>
      <c r="H230" s="468"/>
      <c r="I230" s="469"/>
      <c r="J230" s="469"/>
      <c r="K230" s="468"/>
      <c r="L230" s="467"/>
      <c r="M230" s="202"/>
      <c r="N230" s="7"/>
    </row>
    <row r="231" spans="1:14" ht="15" customHeight="1" x14ac:dyDescent="0.2">
      <c r="A231" s="464"/>
      <c r="B231" s="464" t="s">
        <v>826</v>
      </c>
      <c r="C231" s="465" t="s">
        <v>4220</v>
      </c>
      <c r="D231" s="466"/>
      <c r="E231" s="464"/>
      <c r="F231" s="464"/>
      <c r="G231" s="338" t="s">
        <v>3788</v>
      </c>
      <c r="H231" s="338"/>
      <c r="I231" s="463"/>
      <c r="J231" s="463"/>
      <c r="K231" s="338"/>
      <c r="L231" s="338"/>
      <c r="M231" s="202"/>
      <c r="N231" s="37"/>
    </row>
    <row r="232" spans="1:14" x14ac:dyDescent="0.2">
      <c r="A232" s="464"/>
      <c r="B232" s="464"/>
      <c r="C232" s="465"/>
      <c r="D232" s="466"/>
      <c r="E232" s="464"/>
      <c r="F232" s="464"/>
      <c r="G232" s="338"/>
      <c r="H232" s="338"/>
      <c r="I232" s="463"/>
      <c r="J232" s="463"/>
      <c r="K232" s="338"/>
      <c r="L232" s="338"/>
      <c r="M232" s="202"/>
      <c r="N232" s="37"/>
    </row>
    <row r="233" spans="1:14" x14ac:dyDescent="0.2">
      <c r="A233" s="464"/>
      <c r="B233" s="464"/>
      <c r="C233" s="465"/>
      <c r="D233" s="466"/>
      <c r="E233" s="464"/>
      <c r="F233" s="464"/>
      <c r="G233" s="338"/>
      <c r="H233" s="338"/>
      <c r="I233" s="463"/>
      <c r="J233" s="463"/>
      <c r="K233" s="338"/>
      <c r="L233" s="338"/>
      <c r="M233" s="202"/>
      <c r="N233" s="37"/>
    </row>
    <row r="234" spans="1:14" ht="15" customHeight="1" x14ac:dyDescent="0.2">
      <c r="A234" s="464"/>
      <c r="B234" s="464"/>
      <c r="C234" s="465"/>
      <c r="D234" s="466"/>
      <c r="E234" s="464"/>
      <c r="F234" s="464"/>
      <c r="G234" s="338" t="s">
        <v>3789</v>
      </c>
      <c r="H234" s="338"/>
      <c r="I234" s="463"/>
      <c r="J234" s="463"/>
      <c r="K234" s="338"/>
      <c r="L234" s="338"/>
      <c r="M234" s="202"/>
      <c r="N234" s="7"/>
    </row>
    <row r="235" spans="1:14" x14ac:dyDescent="0.2">
      <c r="A235" s="464"/>
      <c r="B235" s="464"/>
      <c r="C235" s="465"/>
      <c r="D235" s="466"/>
      <c r="E235" s="464"/>
      <c r="F235" s="464"/>
      <c r="G235" s="338"/>
      <c r="H235" s="338"/>
      <c r="I235" s="463"/>
      <c r="J235" s="463"/>
      <c r="K235" s="338"/>
      <c r="L235" s="338"/>
      <c r="M235" s="202"/>
      <c r="N235" s="7"/>
    </row>
    <row r="236" spans="1:14" x14ac:dyDescent="0.2">
      <c r="A236" s="464"/>
      <c r="B236" s="464"/>
      <c r="C236" s="465"/>
      <c r="D236" s="466"/>
      <c r="E236" s="464"/>
      <c r="F236" s="464"/>
      <c r="G236" s="338"/>
      <c r="H236" s="338"/>
      <c r="I236" s="463"/>
      <c r="J236" s="463"/>
      <c r="K236" s="338"/>
      <c r="L236" s="338"/>
      <c r="M236" s="202"/>
      <c r="N236" s="7"/>
    </row>
    <row r="237" spans="1:14" ht="16.350000000000001" customHeight="1" x14ac:dyDescent="0.2">
      <c r="A237" s="464"/>
      <c r="B237" s="464"/>
      <c r="C237" s="465"/>
      <c r="D237" s="466"/>
      <c r="E237" s="464"/>
      <c r="F237" s="464"/>
      <c r="G237" s="338" t="s">
        <v>3790</v>
      </c>
      <c r="H237" s="338"/>
      <c r="I237" s="463"/>
      <c r="J237" s="463"/>
      <c r="K237" s="338"/>
      <c r="L237" s="338"/>
      <c r="M237" s="202"/>
      <c r="N237" s="7"/>
    </row>
    <row r="238" spans="1:14" x14ac:dyDescent="0.2">
      <c r="A238" s="464"/>
      <c r="B238" s="464"/>
      <c r="C238" s="465"/>
      <c r="D238" s="466"/>
      <c r="E238" s="464"/>
      <c r="F238" s="464"/>
      <c r="G238" s="338"/>
      <c r="H238" s="338"/>
      <c r="I238" s="463"/>
      <c r="J238" s="463"/>
      <c r="K238" s="338"/>
      <c r="L238" s="338"/>
      <c r="M238" s="202"/>
      <c r="N238" s="7"/>
    </row>
    <row r="239" spans="1:14" x14ac:dyDescent="0.2">
      <c r="A239" s="464"/>
      <c r="B239" s="464"/>
      <c r="C239" s="465"/>
      <c r="D239" s="466"/>
      <c r="E239" s="464"/>
      <c r="F239" s="464"/>
      <c r="G239" s="338"/>
      <c r="H239" s="338"/>
      <c r="I239" s="463"/>
      <c r="J239" s="463"/>
      <c r="K239" s="338"/>
      <c r="L239" s="338"/>
      <c r="M239" s="202"/>
      <c r="N239" s="7"/>
    </row>
    <row r="240" spans="1:14" ht="16.350000000000001" customHeight="1" x14ac:dyDescent="0.2">
      <c r="A240" s="464"/>
      <c r="B240" s="464"/>
      <c r="C240" s="465"/>
      <c r="D240" s="466"/>
      <c r="E240" s="464"/>
      <c r="F240" s="464"/>
      <c r="G240" s="338" t="s">
        <v>3791</v>
      </c>
      <c r="H240" s="338"/>
      <c r="I240" s="463"/>
      <c r="J240" s="463"/>
      <c r="K240" s="338"/>
      <c r="L240" s="338"/>
      <c r="M240" s="202"/>
      <c r="N240" s="6"/>
    </row>
    <row r="241" spans="1:14" x14ac:dyDescent="0.2">
      <c r="A241" s="464"/>
      <c r="B241" s="464"/>
      <c r="C241" s="465"/>
      <c r="D241" s="466"/>
      <c r="E241" s="464"/>
      <c r="F241" s="464"/>
      <c r="G241" s="338"/>
      <c r="H241" s="338"/>
      <c r="I241" s="463"/>
      <c r="J241" s="463"/>
      <c r="K241" s="338"/>
      <c r="L241" s="338"/>
      <c r="M241" s="202"/>
      <c r="N241" s="7"/>
    </row>
    <row r="242" spans="1:14" x14ac:dyDescent="0.2">
      <c r="A242" s="464"/>
      <c r="B242" s="464"/>
      <c r="C242" s="465"/>
      <c r="D242" s="466"/>
      <c r="E242" s="464"/>
      <c r="F242" s="464"/>
      <c r="G242" s="338"/>
      <c r="H242" s="338"/>
      <c r="I242" s="463"/>
      <c r="J242" s="463"/>
      <c r="K242" s="338"/>
      <c r="L242" s="338"/>
      <c r="M242" s="202"/>
      <c r="N242" s="7"/>
    </row>
    <row r="243" spans="1:14" ht="16.350000000000001" customHeight="1" x14ac:dyDescent="0.2">
      <c r="A243" s="464"/>
      <c r="B243" s="464"/>
      <c r="C243" s="465"/>
      <c r="D243" s="466"/>
      <c r="E243" s="464"/>
      <c r="F243" s="464"/>
      <c r="G243" s="338" t="s">
        <v>3792</v>
      </c>
      <c r="H243" s="338"/>
      <c r="I243" s="463"/>
      <c r="J243" s="463"/>
      <c r="K243" s="338"/>
      <c r="L243" s="338"/>
      <c r="M243" s="202"/>
      <c r="N243" s="6"/>
    </row>
    <row r="244" spans="1:14" x14ac:dyDescent="0.2">
      <c r="A244" s="464"/>
      <c r="B244" s="464"/>
      <c r="C244" s="465"/>
      <c r="D244" s="466"/>
      <c r="E244" s="464"/>
      <c r="F244" s="464"/>
      <c r="G244" s="338"/>
      <c r="H244" s="338"/>
      <c r="I244" s="463"/>
      <c r="J244" s="463"/>
      <c r="K244" s="338"/>
      <c r="L244" s="338"/>
      <c r="M244" s="202"/>
      <c r="N244" s="7"/>
    </row>
    <row r="245" spans="1:14" x14ac:dyDescent="0.2">
      <c r="A245" s="464"/>
      <c r="B245" s="464"/>
      <c r="C245" s="465"/>
      <c r="D245" s="466"/>
      <c r="E245" s="464"/>
      <c r="F245" s="464"/>
      <c r="G245" s="338"/>
      <c r="H245" s="338"/>
      <c r="I245" s="463"/>
      <c r="J245" s="463"/>
      <c r="K245" s="338"/>
      <c r="L245" s="338"/>
      <c r="M245" s="202"/>
      <c r="N245" s="7"/>
    </row>
    <row r="246" spans="1:14" ht="16.350000000000001" customHeight="1" x14ac:dyDescent="0.2">
      <c r="A246" s="464"/>
      <c r="B246" s="464"/>
      <c r="C246" s="465"/>
      <c r="D246" s="466"/>
      <c r="E246" s="464"/>
      <c r="F246" s="464"/>
      <c r="G246" s="338" t="s">
        <v>3793</v>
      </c>
      <c r="H246" s="338"/>
      <c r="I246" s="463"/>
      <c r="J246" s="463"/>
      <c r="K246" s="338"/>
      <c r="L246" s="338"/>
      <c r="M246" s="202"/>
      <c r="N246" s="6"/>
    </row>
    <row r="247" spans="1:14" x14ac:dyDescent="0.2">
      <c r="A247" s="464"/>
      <c r="B247" s="464"/>
      <c r="C247" s="465"/>
      <c r="D247" s="466"/>
      <c r="E247" s="464"/>
      <c r="F247" s="464"/>
      <c r="G247" s="338"/>
      <c r="H247" s="338"/>
      <c r="I247" s="463"/>
      <c r="J247" s="463"/>
      <c r="K247" s="338"/>
      <c r="L247" s="338"/>
      <c r="M247" s="202"/>
      <c r="N247" s="7"/>
    </row>
    <row r="248" spans="1:14" x14ac:dyDescent="0.2">
      <c r="A248" s="464"/>
      <c r="B248" s="464"/>
      <c r="C248" s="465"/>
      <c r="D248" s="466"/>
      <c r="E248" s="464"/>
      <c r="F248" s="464"/>
      <c r="G248" s="338"/>
      <c r="H248" s="338"/>
      <c r="I248" s="463"/>
      <c r="J248" s="463"/>
      <c r="K248" s="338"/>
      <c r="L248" s="338"/>
      <c r="M248" s="202"/>
      <c r="N248" s="7"/>
    </row>
    <row r="249" spans="1:14" ht="15" customHeight="1" x14ac:dyDescent="0.2">
      <c r="B249" s="464" t="s">
        <v>1386</v>
      </c>
      <c r="C249" s="465" t="s">
        <v>4566</v>
      </c>
      <c r="D249" s="466" t="s">
        <v>4567</v>
      </c>
      <c r="E249" s="464"/>
      <c r="F249" s="464"/>
      <c r="G249" s="338" t="s">
        <v>4568</v>
      </c>
      <c r="H249" s="338"/>
      <c r="I249" s="463" t="s">
        <v>4569</v>
      </c>
      <c r="J249" s="463"/>
      <c r="K249" s="338"/>
      <c r="L249" s="338"/>
      <c r="M249" s="202"/>
      <c r="N249" s="37"/>
    </row>
    <row r="250" spans="1:14" x14ac:dyDescent="0.2">
      <c r="B250" s="464"/>
      <c r="C250" s="465"/>
      <c r="D250" s="466"/>
      <c r="E250" s="464"/>
      <c r="F250" s="464"/>
      <c r="G250" s="338"/>
      <c r="H250" s="338"/>
      <c r="I250" s="463"/>
      <c r="J250" s="463"/>
      <c r="K250" s="338"/>
      <c r="L250" s="338"/>
      <c r="M250" s="202"/>
      <c r="N250" s="37"/>
    </row>
    <row r="251" spans="1:14" x14ac:dyDescent="0.2">
      <c r="B251" s="464"/>
      <c r="C251" s="465"/>
      <c r="D251" s="466"/>
      <c r="E251" s="464"/>
      <c r="F251" s="464"/>
      <c r="G251" s="338"/>
      <c r="H251" s="338"/>
      <c r="I251" s="463"/>
      <c r="J251" s="463"/>
      <c r="K251" s="338"/>
      <c r="L251" s="338"/>
      <c r="M251" s="202"/>
      <c r="N251" s="37"/>
    </row>
    <row r="252" spans="1:14" ht="15" customHeight="1" x14ac:dyDescent="0.2">
      <c r="B252" s="464"/>
      <c r="C252" s="465"/>
      <c r="D252" s="466"/>
      <c r="E252" s="464"/>
      <c r="F252" s="464"/>
      <c r="G252" s="338" t="s">
        <v>4570</v>
      </c>
      <c r="H252" s="338"/>
      <c r="I252" s="463" t="s">
        <v>4571</v>
      </c>
      <c r="J252" s="463"/>
      <c r="K252" s="338"/>
      <c r="L252" s="338"/>
      <c r="M252" s="202"/>
      <c r="N252" s="7"/>
    </row>
    <row r="253" spans="1:14" x14ac:dyDescent="0.2">
      <c r="B253" s="464"/>
      <c r="C253" s="465"/>
      <c r="D253" s="466"/>
      <c r="E253" s="464"/>
      <c r="F253" s="464"/>
      <c r="G253" s="338"/>
      <c r="H253" s="338"/>
      <c r="I253" s="463"/>
      <c r="J253" s="463"/>
      <c r="K253" s="338"/>
      <c r="L253" s="338"/>
      <c r="M253" s="202"/>
      <c r="N253" s="7"/>
    </row>
    <row r="254" spans="1:14" x14ac:dyDescent="0.2">
      <c r="B254" s="464"/>
      <c r="C254" s="465"/>
      <c r="D254" s="466"/>
      <c r="E254" s="464"/>
      <c r="F254" s="464"/>
      <c r="G254" s="338"/>
      <c r="H254" s="338"/>
      <c r="I254" s="463"/>
      <c r="J254" s="463"/>
      <c r="K254" s="338"/>
      <c r="L254" s="338"/>
      <c r="M254" s="202"/>
      <c r="N254" s="7"/>
    </row>
    <row r="255" spans="1:14" ht="16.350000000000001" customHeight="1" x14ac:dyDescent="0.2">
      <c r="B255" s="464"/>
      <c r="C255" s="465"/>
      <c r="D255" s="466"/>
      <c r="E255" s="464"/>
      <c r="F255" s="464"/>
      <c r="G255" s="338" t="s">
        <v>4572</v>
      </c>
      <c r="H255" s="338"/>
      <c r="I255" s="463" t="s">
        <v>4573</v>
      </c>
      <c r="J255" s="463"/>
      <c r="K255" s="338"/>
      <c r="L255" s="338"/>
      <c r="M255" s="202"/>
      <c r="N255" s="7"/>
    </row>
    <row r="256" spans="1:14" x14ac:dyDescent="0.2">
      <c r="B256" s="464"/>
      <c r="C256" s="465"/>
      <c r="D256" s="466"/>
      <c r="E256" s="464"/>
      <c r="F256" s="464"/>
      <c r="G256" s="338"/>
      <c r="H256" s="338"/>
      <c r="I256" s="463"/>
      <c r="J256" s="463"/>
      <c r="K256" s="338"/>
      <c r="L256" s="338"/>
      <c r="M256" s="202"/>
      <c r="N256" s="7"/>
    </row>
    <row r="257" spans="2:14" x14ac:dyDescent="0.2">
      <c r="B257" s="464"/>
      <c r="C257" s="465"/>
      <c r="D257" s="466"/>
      <c r="E257" s="464"/>
      <c r="F257" s="464"/>
      <c r="G257" s="338"/>
      <c r="H257" s="338"/>
      <c r="I257" s="463"/>
      <c r="J257" s="463"/>
      <c r="K257" s="338"/>
      <c r="L257" s="338"/>
      <c r="M257" s="202"/>
      <c r="N257" s="7"/>
    </row>
    <row r="258" spans="2:14" ht="16.350000000000001" customHeight="1" x14ac:dyDescent="0.2">
      <c r="B258" s="464"/>
      <c r="C258" s="465"/>
      <c r="D258" s="466"/>
      <c r="E258" s="464"/>
      <c r="F258" s="464"/>
      <c r="G258" s="338" t="s">
        <v>4574</v>
      </c>
      <c r="H258" s="338"/>
      <c r="I258" s="463"/>
      <c r="J258" s="463"/>
      <c r="K258" s="338"/>
      <c r="L258" s="338"/>
      <c r="M258" s="202"/>
      <c r="N258" s="6"/>
    </row>
    <row r="259" spans="2:14" x14ac:dyDescent="0.2">
      <c r="B259" s="464"/>
      <c r="C259" s="465"/>
      <c r="D259" s="466"/>
      <c r="E259" s="464"/>
      <c r="F259" s="464"/>
      <c r="G259" s="338"/>
      <c r="H259" s="338"/>
      <c r="I259" s="463"/>
      <c r="J259" s="463"/>
      <c r="K259" s="338"/>
      <c r="L259" s="338"/>
      <c r="M259" s="202"/>
      <c r="N259" s="7"/>
    </row>
    <row r="260" spans="2:14" x14ac:dyDescent="0.2">
      <c r="B260" s="464"/>
      <c r="C260" s="465"/>
      <c r="D260" s="466"/>
      <c r="E260" s="464"/>
      <c r="F260" s="464"/>
      <c r="G260" s="338"/>
      <c r="H260" s="338"/>
      <c r="I260" s="463"/>
      <c r="J260" s="463"/>
      <c r="K260" s="338"/>
      <c r="L260" s="338"/>
      <c r="M260" s="202"/>
      <c r="N260" s="7"/>
    </row>
    <row r="261" spans="2:14" ht="16.350000000000001" customHeight="1" x14ac:dyDescent="0.2">
      <c r="B261" s="464"/>
      <c r="C261" s="465"/>
      <c r="D261" s="466"/>
      <c r="E261" s="464"/>
      <c r="F261" s="464"/>
      <c r="G261" s="338" t="s">
        <v>4575</v>
      </c>
      <c r="H261" s="338"/>
      <c r="I261" s="463"/>
      <c r="J261" s="463"/>
      <c r="K261" s="338"/>
      <c r="L261" s="338"/>
      <c r="M261" s="202"/>
      <c r="N261" s="6"/>
    </row>
    <row r="262" spans="2:14" x14ac:dyDescent="0.2">
      <c r="B262" s="464"/>
      <c r="C262" s="465"/>
      <c r="D262" s="466"/>
      <c r="E262" s="464"/>
      <c r="F262" s="464"/>
      <c r="G262" s="338"/>
      <c r="H262" s="338"/>
      <c r="I262" s="463"/>
      <c r="J262" s="463"/>
      <c r="K262" s="338"/>
      <c r="L262" s="338"/>
      <c r="M262" s="202"/>
      <c r="N262" s="7"/>
    </row>
    <row r="263" spans="2:14" x14ac:dyDescent="0.2">
      <c r="B263" s="464"/>
      <c r="C263" s="465"/>
      <c r="D263" s="466"/>
      <c r="E263" s="464"/>
      <c r="F263" s="464"/>
      <c r="G263" s="338"/>
      <c r="H263" s="338"/>
      <c r="I263" s="463"/>
      <c r="J263" s="463"/>
      <c r="K263" s="338"/>
      <c r="L263" s="338"/>
      <c r="M263" s="202"/>
      <c r="N263" s="7"/>
    </row>
    <row r="264" spans="2:14" ht="16.350000000000001" customHeight="1" x14ac:dyDescent="0.2">
      <c r="B264" s="464"/>
      <c r="C264" s="465"/>
      <c r="D264" s="466"/>
      <c r="E264" s="464"/>
      <c r="F264" s="464"/>
      <c r="G264" s="338" t="s">
        <v>4576</v>
      </c>
      <c r="H264" s="338"/>
      <c r="I264" s="463"/>
      <c r="J264" s="463"/>
      <c r="K264" s="338"/>
      <c r="L264" s="338"/>
      <c r="M264" s="202"/>
      <c r="N264" s="6"/>
    </row>
    <row r="265" spans="2:14" x14ac:dyDescent="0.2">
      <c r="B265" s="464"/>
      <c r="C265" s="465"/>
      <c r="D265" s="466"/>
      <c r="E265" s="464"/>
      <c r="F265" s="464"/>
      <c r="G265" s="338"/>
      <c r="H265" s="338"/>
      <c r="I265" s="463"/>
      <c r="J265" s="463"/>
      <c r="K265" s="338"/>
      <c r="L265" s="338"/>
      <c r="M265" s="202"/>
      <c r="N265" s="7"/>
    </row>
    <row r="266" spans="2:14" x14ac:dyDescent="0.2">
      <c r="B266" s="464"/>
      <c r="C266" s="465"/>
      <c r="D266" s="466"/>
      <c r="E266" s="464"/>
      <c r="F266" s="464"/>
      <c r="G266" s="338"/>
      <c r="H266" s="338"/>
      <c r="I266" s="463"/>
      <c r="J266" s="463"/>
      <c r="K266" s="338"/>
      <c r="L266" s="338"/>
      <c r="M266" s="202"/>
      <c r="N266" s="7"/>
    </row>
    <row r="267" spans="2:14" ht="15" customHeight="1" x14ac:dyDescent="0.2">
      <c r="B267" s="457"/>
      <c r="C267" s="457"/>
      <c r="D267" s="460" t="s">
        <v>4688</v>
      </c>
      <c r="E267" s="202"/>
      <c r="F267" s="202"/>
      <c r="G267" s="202"/>
      <c r="H267" s="202"/>
      <c r="I267" s="205"/>
      <c r="J267" s="37" t="s">
        <v>4689</v>
      </c>
      <c r="K267" s="202" t="s">
        <v>528</v>
      </c>
      <c r="L267" s="202" t="s">
        <v>4690</v>
      </c>
    </row>
    <row r="268" spans="2:14" x14ac:dyDescent="0.2">
      <c r="B268" s="458"/>
      <c r="C268" s="458"/>
      <c r="D268" s="461"/>
      <c r="E268" s="202"/>
      <c r="F268" s="202"/>
      <c r="G268" s="202"/>
      <c r="H268" s="202"/>
      <c r="I268" s="205"/>
      <c r="J268" s="37" t="s">
        <v>4691</v>
      </c>
      <c r="K268" s="202" t="s">
        <v>528</v>
      </c>
      <c r="L268" s="202" t="s">
        <v>4692</v>
      </c>
    </row>
    <row r="269" spans="2:14" x14ac:dyDescent="0.2">
      <c r="B269" s="459"/>
      <c r="C269" s="459"/>
      <c r="D269" s="462"/>
      <c r="E269" s="202"/>
      <c r="F269" s="202"/>
      <c r="G269" s="202"/>
      <c r="H269" s="202"/>
      <c r="I269" s="205"/>
      <c r="J269" s="37" t="s">
        <v>4693</v>
      </c>
      <c r="K269" s="202" t="s">
        <v>528</v>
      </c>
      <c r="L269" s="202"/>
    </row>
    <row r="270" spans="2:14" ht="45" customHeight="1" x14ac:dyDescent="0.2">
      <c r="B270" s="457"/>
      <c r="C270" s="457"/>
      <c r="D270" s="460" t="s">
        <v>4694</v>
      </c>
      <c r="E270" s="202"/>
      <c r="F270" s="202"/>
      <c r="G270" s="202"/>
      <c r="H270" s="202"/>
      <c r="I270" s="205"/>
      <c r="J270" s="37" t="s">
        <v>4695</v>
      </c>
      <c r="K270" s="202" t="s">
        <v>511</v>
      </c>
      <c r="L270" s="202" t="s">
        <v>4696</v>
      </c>
    </row>
    <row r="271" spans="2:14" x14ac:dyDescent="0.2">
      <c r="B271" s="458"/>
      <c r="C271" s="458"/>
      <c r="D271" s="461"/>
      <c r="E271" s="202"/>
      <c r="F271" s="202"/>
      <c r="G271" s="202"/>
      <c r="H271" s="202"/>
      <c r="I271" s="205"/>
      <c r="J271" s="37" t="s">
        <v>4697</v>
      </c>
      <c r="K271" s="202" t="s">
        <v>511</v>
      </c>
      <c r="L271" s="202"/>
    </row>
    <row r="272" spans="2:14" x14ac:dyDescent="0.2">
      <c r="B272" s="458"/>
      <c r="C272" s="458"/>
      <c r="D272" s="461"/>
      <c r="E272" s="202"/>
      <c r="F272" s="202"/>
      <c r="G272" s="202"/>
      <c r="H272" s="202"/>
      <c r="I272" s="205"/>
      <c r="J272" s="37" t="s">
        <v>4698</v>
      </c>
      <c r="K272" s="202" t="s">
        <v>511</v>
      </c>
      <c r="L272" s="202"/>
    </row>
    <row r="273" spans="2:12" x14ac:dyDescent="0.2">
      <c r="B273" s="458"/>
      <c r="C273" s="458"/>
      <c r="D273" s="461"/>
      <c r="E273" s="202"/>
      <c r="F273" s="202"/>
      <c r="G273" s="202"/>
      <c r="H273" s="202"/>
      <c r="I273" s="205"/>
      <c r="J273" s="37" t="s">
        <v>4699</v>
      </c>
      <c r="K273" s="7" t="s">
        <v>515</v>
      </c>
      <c r="L273" s="202" t="s">
        <v>4700</v>
      </c>
    </row>
    <row r="274" spans="2:12" x14ac:dyDescent="0.2">
      <c r="B274" s="458"/>
      <c r="C274" s="458"/>
      <c r="D274" s="461"/>
      <c r="E274" s="202"/>
      <c r="F274" s="202"/>
      <c r="G274" s="202"/>
      <c r="H274" s="202"/>
      <c r="I274" s="205"/>
      <c r="J274" s="37" t="s">
        <v>4701</v>
      </c>
      <c r="K274" s="7" t="s">
        <v>515</v>
      </c>
      <c r="L274" s="202"/>
    </row>
    <row r="275" spans="2:12" ht="15" customHeight="1" x14ac:dyDescent="0.2">
      <c r="B275" s="458"/>
      <c r="C275" s="458"/>
      <c r="D275" s="461"/>
      <c r="E275" s="202"/>
      <c r="F275" s="202"/>
      <c r="G275" s="202"/>
      <c r="H275" s="202"/>
      <c r="I275" s="205"/>
      <c r="J275" s="37" t="s">
        <v>4702</v>
      </c>
      <c r="K275" s="202" t="s">
        <v>511</v>
      </c>
      <c r="L275" s="202"/>
    </row>
    <row r="276" spans="2:12" x14ac:dyDescent="0.2">
      <c r="B276" s="459"/>
      <c r="C276" s="459"/>
      <c r="D276" s="462"/>
      <c r="E276" s="202"/>
      <c r="F276" s="202"/>
      <c r="G276" s="202"/>
      <c r="H276" s="202"/>
      <c r="I276" s="205"/>
      <c r="J276" s="37" t="s">
        <v>4703</v>
      </c>
      <c r="K276" s="202" t="s">
        <v>511</v>
      </c>
      <c r="L276" s="202"/>
    </row>
    <row r="277" spans="2:12" x14ac:dyDescent="0.2">
      <c r="K277" s="209" t="s">
        <v>505</v>
      </c>
    </row>
    <row r="278" spans="2:12" x14ac:dyDescent="0.2">
      <c r="K278" s="209" t="s">
        <v>507</v>
      </c>
    </row>
    <row r="279" spans="2:12" x14ac:dyDescent="0.2">
      <c r="K279" s="210"/>
    </row>
    <row r="280" spans="2:12" x14ac:dyDescent="0.2">
      <c r="K280" s="210"/>
    </row>
    <row r="281" spans="2:12" x14ac:dyDescent="0.2">
      <c r="K281" s="210"/>
    </row>
  </sheetData>
  <autoFilter ref="A2:L2" xr:uid="{B5F902FD-6C0E-D147-A072-4028B7B58BC7}"/>
  <mergeCells count="596">
    <mergeCell ref="G3:G5"/>
    <mergeCell ref="H3:H5"/>
    <mergeCell ref="I3:I5"/>
    <mergeCell ref="J3:J5"/>
    <mergeCell ref="K3:K5"/>
    <mergeCell ref="L3:L5"/>
    <mergeCell ref="A3:A248"/>
    <mergeCell ref="B3:B23"/>
    <mergeCell ref="C3:C23"/>
    <mergeCell ref="D3:D23"/>
    <mergeCell ref="E3:E23"/>
    <mergeCell ref="F3:F23"/>
    <mergeCell ref="B24:B41"/>
    <mergeCell ref="C24:C41"/>
    <mergeCell ref="D24:D41"/>
    <mergeCell ref="E24:E41"/>
    <mergeCell ref="G9:G11"/>
    <mergeCell ref="H9:H11"/>
    <mergeCell ref="I9:I11"/>
    <mergeCell ref="J9:J11"/>
    <mergeCell ref="K9:K11"/>
    <mergeCell ref="L9:L11"/>
    <mergeCell ref="G6:G8"/>
    <mergeCell ref="H6:H8"/>
    <mergeCell ref="I6:I8"/>
    <mergeCell ref="J6:J8"/>
    <mergeCell ref="K6:K8"/>
    <mergeCell ref="L6:L8"/>
    <mergeCell ref="G15:G17"/>
    <mergeCell ref="H15:H17"/>
    <mergeCell ref="I15:I17"/>
    <mergeCell ref="J15:J17"/>
    <mergeCell ref="K15:K17"/>
    <mergeCell ref="L15:L17"/>
    <mergeCell ref="G12:G14"/>
    <mergeCell ref="H12:H14"/>
    <mergeCell ref="I12:I14"/>
    <mergeCell ref="J12:J14"/>
    <mergeCell ref="K12:K14"/>
    <mergeCell ref="L12:L14"/>
    <mergeCell ref="G21:G23"/>
    <mergeCell ref="H21:H23"/>
    <mergeCell ref="I21:I23"/>
    <mergeCell ref="J21:J23"/>
    <mergeCell ref="K21:K23"/>
    <mergeCell ref="L21:L23"/>
    <mergeCell ref="G18:G20"/>
    <mergeCell ref="H18:H20"/>
    <mergeCell ref="I18:I20"/>
    <mergeCell ref="J18:J20"/>
    <mergeCell ref="K18:K20"/>
    <mergeCell ref="L18:L20"/>
    <mergeCell ref="K30:K32"/>
    <mergeCell ref="L30:L32"/>
    <mergeCell ref="G33:G35"/>
    <mergeCell ref="H33:H35"/>
    <mergeCell ref="I33:I35"/>
    <mergeCell ref="J33:J35"/>
    <mergeCell ref="K33:K35"/>
    <mergeCell ref="L33:L35"/>
    <mergeCell ref="L24:L26"/>
    <mergeCell ref="G27:G29"/>
    <mergeCell ref="H27:H29"/>
    <mergeCell ref="I27:I29"/>
    <mergeCell ref="J27:J29"/>
    <mergeCell ref="K27:K29"/>
    <mergeCell ref="L27:L29"/>
    <mergeCell ref="G24:G26"/>
    <mergeCell ref="H24:H26"/>
    <mergeCell ref="I24:I26"/>
    <mergeCell ref="J24:J26"/>
    <mergeCell ref="K24:K26"/>
    <mergeCell ref="G30:G32"/>
    <mergeCell ref="H30:H32"/>
    <mergeCell ref="I30:I32"/>
    <mergeCell ref="J30:J32"/>
    <mergeCell ref="H39:H41"/>
    <mergeCell ref="I39:I41"/>
    <mergeCell ref="J39:J41"/>
    <mergeCell ref="K39:K41"/>
    <mergeCell ref="L39:L41"/>
    <mergeCell ref="G36:G38"/>
    <mergeCell ref="H36:H38"/>
    <mergeCell ref="I36:I38"/>
    <mergeCell ref="J36:J38"/>
    <mergeCell ref="K36:K38"/>
    <mergeCell ref="L36:L38"/>
    <mergeCell ref="B42:B68"/>
    <mergeCell ref="C42:C68"/>
    <mergeCell ref="D42:D68"/>
    <mergeCell ref="E42:E68"/>
    <mergeCell ref="F42:F68"/>
    <mergeCell ref="G42:G44"/>
    <mergeCell ref="G51:G53"/>
    <mergeCell ref="G63:G65"/>
    <mergeCell ref="G39:G41"/>
    <mergeCell ref="F24:F41"/>
    <mergeCell ref="L45:L47"/>
    <mergeCell ref="G48:G50"/>
    <mergeCell ref="H48:H50"/>
    <mergeCell ref="I48:I50"/>
    <mergeCell ref="J48:J50"/>
    <mergeCell ref="K48:K50"/>
    <mergeCell ref="L48:L50"/>
    <mergeCell ref="H42:H44"/>
    <mergeCell ref="I42:I44"/>
    <mergeCell ref="J42:J44"/>
    <mergeCell ref="K42:K44"/>
    <mergeCell ref="L42:L44"/>
    <mergeCell ref="G45:G47"/>
    <mergeCell ref="H45:H47"/>
    <mergeCell ref="I45:I47"/>
    <mergeCell ref="J45:J47"/>
    <mergeCell ref="K45:K47"/>
    <mergeCell ref="H51:H53"/>
    <mergeCell ref="I51:I53"/>
    <mergeCell ref="J51:J53"/>
    <mergeCell ref="K51:K53"/>
    <mergeCell ref="L51:L53"/>
    <mergeCell ref="G54:G56"/>
    <mergeCell ref="H54:H56"/>
    <mergeCell ref="I54:I56"/>
    <mergeCell ref="J54:J56"/>
    <mergeCell ref="K54:K56"/>
    <mergeCell ref="XFD57:XFD59"/>
    <mergeCell ref="G60:G62"/>
    <mergeCell ref="H60:H62"/>
    <mergeCell ref="I60:I62"/>
    <mergeCell ref="J60:J62"/>
    <mergeCell ref="K60:K62"/>
    <mergeCell ref="L60:L62"/>
    <mergeCell ref="L54:L56"/>
    <mergeCell ref="G57:G59"/>
    <mergeCell ref="H57:H59"/>
    <mergeCell ref="I57:I59"/>
    <mergeCell ref="J57:J59"/>
    <mergeCell ref="K57:K59"/>
    <mergeCell ref="L57:L59"/>
    <mergeCell ref="H63:H65"/>
    <mergeCell ref="I63:I65"/>
    <mergeCell ref="J63:J65"/>
    <mergeCell ref="K63:K65"/>
    <mergeCell ref="L63:L65"/>
    <mergeCell ref="G66:G68"/>
    <mergeCell ref="H66:H68"/>
    <mergeCell ref="I66:I68"/>
    <mergeCell ref="J66:J68"/>
    <mergeCell ref="K66:K68"/>
    <mergeCell ref="B69:B98"/>
    <mergeCell ref="C69:C98"/>
    <mergeCell ref="D69:D98"/>
    <mergeCell ref="E69:E98"/>
    <mergeCell ref="F69:F98"/>
    <mergeCell ref="G69:G71"/>
    <mergeCell ref="H69:H71"/>
    <mergeCell ref="I69:I71"/>
    <mergeCell ref="J69:J71"/>
    <mergeCell ref="G78:G80"/>
    <mergeCell ref="H78:H80"/>
    <mergeCell ref="I78:I80"/>
    <mergeCell ref="J78:J80"/>
    <mergeCell ref="G90:G92"/>
    <mergeCell ref="H90:H92"/>
    <mergeCell ref="I90:I92"/>
    <mergeCell ref="J90:J92"/>
    <mergeCell ref="K69:K71"/>
    <mergeCell ref="L69:L71"/>
    <mergeCell ref="G72:G74"/>
    <mergeCell ref="H72:H74"/>
    <mergeCell ref="I72:I74"/>
    <mergeCell ref="J72:J74"/>
    <mergeCell ref="K72:K74"/>
    <mergeCell ref="L72:L74"/>
    <mergeCell ref="L66:L68"/>
    <mergeCell ref="K78:K80"/>
    <mergeCell ref="L78:L80"/>
    <mergeCell ref="G75:G77"/>
    <mergeCell ref="H75:H77"/>
    <mergeCell ref="I75:I77"/>
    <mergeCell ref="J75:J77"/>
    <mergeCell ref="K75:K77"/>
    <mergeCell ref="L75:L77"/>
    <mergeCell ref="G84:G86"/>
    <mergeCell ref="H84:H86"/>
    <mergeCell ref="I84:I86"/>
    <mergeCell ref="J84:J86"/>
    <mergeCell ref="K84:K86"/>
    <mergeCell ref="L84:L86"/>
    <mergeCell ref="G81:G83"/>
    <mergeCell ref="H81:H83"/>
    <mergeCell ref="I81:I83"/>
    <mergeCell ref="J81:J83"/>
    <mergeCell ref="K81:K83"/>
    <mergeCell ref="L81:L83"/>
    <mergeCell ref="K90:K92"/>
    <mergeCell ref="L90:L92"/>
    <mergeCell ref="G87:G89"/>
    <mergeCell ref="H87:H89"/>
    <mergeCell ref="I87:I89"/>
    <mergeCell ref="J87:J89"/>
    <mergeCell ref="K87:K89"/>
    <mergeCell ref="L87:L89"/>
    <mergeCell ref="G96:G98"/>
    <mergeCell ref="H96:H98"/>
    <mergeCell ref="I96:I98"/>
    <mergeCell ref="J96:J98"/>
    <mergeCell ref="K96:K98"/>
    <mergeCell ref="L96:L98"/>
    <mergeCell ref="G93:G95"/>
    <mergeCell ref="H93:H95"/>
    <mergeCell ref="I93:I95"/>
    <mergeCell ref="J93:J95"/>
    <mergeCell ref="K93:K95"/>
    <mergeCell ref="L93:L95"/>
    <mergeCell ref="B99:B128"/>
    <mergeCell ref="C99:C128"/>
    <mergeCell ref="D99:D128"/>
    <mergeCell ref="E99:E128"/>
    <mergeCell ref="F99:F128"/>
    <mergeCell ref="G99:G101"/>
    <mergeCell ref="G108:G110"/>
    <mergeCell ref="G117:G119"/>
    <mergeCell ref="G126:G128"/>
    <mergeCell ref="L102:L104"/>
    <mergeCell ref="G105:G107"/>
    <mergeCell ref="H105:H107"/>
    <mergeCell ref="I105:I107"/>
    <mergeCell ref="J105:J107"/>
    <mergeCell ref="K105:K107"/>
    <mergeCell ref="L105:L107"/>
    <mergeCell ref="H99:H101"/>
    <mergeCell ref="I99:I101"/>
    <mergeCell ref="J99:J101"/>
    <mergeCell ref="K99:K101"/>
    <mergeCell ref="L99:L101"/>
    <mergeCell ref="G102:G104"/>
    <mergeCell ref="H102:H104"/>
    <mergeCell ref="I102:I104"/>
    <mergeCell ref="J102:J104"/>
    <mergeCell ref="K102:K104"/>
    <mergeCell ref="L111:L113"/>
    <mergeCell ref="G114:G116"/>
    <mergeCell ref="H114:H116"/>
    <mergeCell ref="I114:I116"/>
    <mergeCell ref="J114:J116"/>
    <mergeCell ref="K114:K116"/>
    <mergeCell ref="L114:L116"/>
    <mergeCell ref="H108:H110"/>
    <mergeCell ref="I108:I110"/>
    <mergeCell ref="J108:J110"/>
    <mergeCell ref="K108:K110"/>
    <mergeCell ref="L108:L110"/>
    <mergeCell ref="G111:G113"/>
    <mergeCell ref="H111:H113"/>
    <mergeCell ref="I111:I113"/>
    <mergeCell ref="J111:J113"/>
    <mergeCell ref="K111:K113"/>
    <mergeCell ref="L120:L122"/>
    <mergeCell ref="G123:G125"/>
    <mergeCell ref="H123:H125"/>
    <mergeCell ref="I123:I125"/>
    <mergeCell ref="J123:J125"/>
    <mergeCell ref="K123:K125"/>
    <mergeCell ref="L123:L125"/>
    <mergeCell ref="H117:H119"/>
    <mergeCell ref="I117:I119"/>
    <mergeCell ref="J117:J119"/>
    <mergeCell ref="K117:K119"/>
    <mergeCell ref="L117:L119"/>
    <mergeCell ref="G120:G122"/>
    <mergeCell ref="H120:H122"/>
    <mergeCell ref="I120:I122"/>
    <mergeCell ref="J120:J122"/>
    <mergeCell ref="K120:K122"/>
    <mergeCell ref="H126:H128"/>
    <mergeCell ref="I126:I128"/>
    <mergeCell ref="J126:J128"/>
    <mergeCell ref="K126:K128"/>
    <mergeCell ref="L126:L128"/>
    <mergeCell ref="G129:G131"/>
    <mergeCell ref="H129:H131"/>
    <mergeCell ref="I129:I131"/>
    <mergeCell ref="J129:J131"/>
    <mergeCell ref="K129:K131"/>
    <mergeCell ref="B135:B152"/>
    <mergeCell ref="C135:C152"/>
    <mergeCell ref="D135:D152"/>
    <mergeCell ref="E135:E152"/>
    <mergeCell ref="F135:F152"/>
    <mergeCell ref="G135:G137"/>
    <mergeCell ref="G144:G146"/>
    <mergeCell ref="L129:L131"/>
    <mergeCell ref="G132:G134"/>
    <mergeCell ref="H132:H134"/>
    <mergeCell ref="I132:I134"/>
    <mergeCell ref="J132:J134"/>
    <mergeCell ref="K132:K134"/>
    <mergeCell ref="L132:L134"/>
    <mergeCell ref="L138:L140"/>
    <mergeCell ref="G141:G143"/>
    <mergeCell ref="H141:H143"/>
    <mergeCell ref="I141:I143"/>
    <mergeCell ref="J141:J143"/>
    <mergeCell ref="K141:K143"/>
    <mergeCell ref="L141:L143"/>
    <mergeCell ref="H135:H137"/>
    <mergeCell ref="I135:I137"/>
    <mergeCell ref="J135:J137"/>
    <mergeCell ref="K135:K137"/>
    <mergeCell ref="L135:L137"/>
    <mergeCell ref="G138:G140"/>
    <mergeCell ref="H138:H140"/>
    <mergeCell ref="I138:I140"/>
    <mergeCell ref="J138:J140"/>
    <mergeCell ref="K138:K140"/>
    <mergeCell ref="L147:L149"/>
    <mergeCell ref="G150:G152"/>
    <mergeCell ref="H150:H152"/>
    <mergeCell ref="I150:I152"/>
    <mergeCell ref="J150:J152"/>
    <mergeCell ref="K150:K152"/>
    <mergeCell ref="L150:L152"/>
    <mergeCell ref="H144:H146"/>
    <mergeCell ref="I144:I146"/>
    <mergeCell ref="J144:J146"/>
    <mergeCell ref="K144:K146"/>
    <mergeCell ref="L144:L146"/>
    <mergeCell ref="G147:G149"/>
    <mergeCell ref="H147:H149"/>
    <mergeCell ref="I147:I149"/>
    <mergeCell ref="J147:J149"/>
    <mergeCell ref="K147:K149"/>
    <mergeCell ref="L156:L158"/>
    <mergeCell ref="G159:G161"/>
    <mergeCell ref="H159:H161"/>
    <mergeCell ref="I159:I161"/>
    <mergeCell ref="J159:J161"/>
    <mergeCell ref="K159:K161"/>
    <mergeCell ref="L159:L161"/>
    <mergeCell ref="H153:H155"/>
    <mergeCell ref="I153:I155"/>
    <mergeCell ref="J153:J155"/>
    <mergeCell ref="K153:K155"/>
    <mergeCell ref="L153:L155"/>
    <mergeCell ref="G156:G158"/>
    <mergeCell ref="H156:H158"/>
    <mergeCell ref="I156:I158"/>
    <mergeCell ref="J156:J158"/>
    <mergeCell ref="K156:K158"/>
    <mergeCell ref="G153:G155"/>
    <mergeCell ref="H162:H164"/>
    <mergeCell ref="I162:I164"/>
    <mergeCell ref="J162:J164"/>
    <mergeCell ref="K162:K164"/>
    <mergeCell ref="L162:L164"/>
    <mergeCell ref="G165:G167"/>
    <mergeCell ref="H165:H167"/>
    <mergeCell ref="I165:I167"/>
    <mergeCell ref="J165:J167"/>
    <mergeCell ref="K165:K167"/>
    <mergeCell ref="G162:G164"/>
    <mergeCell ref="B171:B188"/>
    <mergeCell ref="C171:C188"/>
    <mergeCell ref="D171:D188"/>
    <mergeCell ref="E171:E188"/>
    <mergeCell ref="F171:F188"/>
    <mergeCell ref="G171:G173"/>
    <mergeCell ref="G180:G182"/>
    <mergeCell ref="L165:L167"/>
    <mergeCell ref="G168:G170"/>
    <mergeCell ref="H168:H170"/>
    <mergeCell ref="I168:I170"/>
    <mergeCell ref="J168:J170"/>
    <mergeCell ref="K168:K170"/>
    <mergeCell ref="L168:L170"/>
    <mergeCell ref="B153:B170"/>
    <mergeCell ref="C153:C170"/>
    <mergeCell ref="D153:D170"/>
    <mergeCell ref="E153:E170"/>
    <mergeCell ref="F153:F170"/>
    <mergeCell ref="L174:L176"/>
    <mergeCell ref="G177:G179"/>
    <mergeCell ref="H177:H179"/>
    <mergeCell ref="I177:I179"/>
    <mergeCell ref="J177:J179"/>
    <mergeCell ref="K177:K179"/>
    <mergeCell ref="L177:L179"/>
    <mergeCell ref="H171:H173"/>
    <mergeCell ref="I171:I173"/>
    <mergeCell ref="J171:J173"/>
    <mergeCell ref="K171:K173"/>
    <mergeCell ref="L171:L173"/>
    <mergeCell ref="G174:G176"/>
    <mergeCell ref="H174:H176"/>
    <mergeCell ref="I174:I176"/>
    <mergeCell ref="J174:J176"/>
    <mergeCell ref="K174:K176"/>
    <mergeCell ref="L183:L185"/>
    <mergeCell ref="G186:G188"/>
    <mergeCell ref="H186:H188"/>
    <mergeCell ref="I186:I188"/>
    <mergeCell ref="J186:J188"/>
    <mergeCell ref="K186:K188"/>
    <mergeCell ref="L186:L188"/>
    <mergeCell ref="H180:H182"/>
    <mergeCell ref="I180:I182"/>
    <mergeCell ref="J180:J182"/>
    <mergeCell ref="K180:K182"/>
    <mergeCell ref="L180:L182"/>
    <mergeCell ref="G183:G185"/>
    <mergeCell ref="H183:H185"/>
    <mergeCell ref="I183:I185"/>
    <mergeCell ref="J183:J185"/>
    <mergeCell ref="K183:K185"/>
    <mergeCell ref="L192:L194"/>
    <mergeCell ref="G195:G197"/>
    <mergeCell ref="H195:H197"/>
    <mergeCell ref="I195:I197"/>
    <mergeCell ref="J195:J197"/>
    <mergeCell ref="K195:K197"/>
    <mergeCell ref="L195:L197"/>
    <mergeCell ref="H189:H191"/>
    <mergeCell ref="I189:I191"/>
    <mergeCell ref="J189:J191"/>
    <mergeCell ref="K189:K191"/>
    <mergeCell ref="L189:L191"/>
    <mergeCell ref="G192:G194"/>
    <mergeCell ref="H192:H194"/>
    <mergeCell ref="I192:I194"/>
    <mergeCell ref="J192:J194"/>
    <mergeCell ref="K192:K194"/>
    <mergeCell ref="G189:G191"/>
    <mergeCell ref="H198:H200"/>
    <mergeCell ref="I198:I200"/>
    <mergeCell ref="J198:J200"/>
    <mergeCell ref="K198:K200"/>
    <mergeCell ref="L198:L200"/>
    <mergeCell ref="G201:G203"/>
    <mergeCell ref="H201:H203"/>
    <mergeCell ref="I201:I203"/>
    <mergeCell ref="J201:J203"/>
    <mergeCell ref="K201:K203"/>
    <mergeCell ref="G198:G200"/>
    <mergeCell ref="B207:B230"/>
    <mergeCell ref="C207:C230"/>
    <mergeCell ref="D207:D230"/>
    <mergeCell ref="E207:E230"/>
    <mergeCell ref="F207:F230"/>
    <mergeCell ref="G207:G209"/>
    <mergeCell ref="G216:G218"/>
    <mergeCell ref="G225:G227"/>
    <mergeCell ref="L201:L203"/>
    <mergeCell ref="G204:G206"/>
    <mergeCell ref="H204:H206"/>
    <mergeCell ref="I204:I206"/>
    <mergeCell ref="J204:J206"/>
    <mergeCell ref="K204:K206"/>
    <mergeCell ref="L204:L206"/>
    <mergeCell ref="B189:B206"/>
    <mergeCell ref="C189:C206"/>
    <mergeCell ref="D189:D206"/>
    <mergeCell ref="E189:E206"/>
    <mergeCell ref="F189:F206"/>
    <mergeCell ref="L210:L212"/>
    <mergeCell ref="G213:G215"/>
    <mergeCell ref="H213:H215"/>
    <mergeCell ref="I213:I215"/>
    <mergeCell ref="J213:J215"/>
    <mergeCell ref="K213:K215"/>
    <mergeCell ref="L213:L215"/>
    <mergeCell ref="H207:H209"/>
    <mergeCell ref="I207:I209"/>
    <mergeCell ref="J207:J209"/>
    <mergeCell ref="K207:K209"/>
    <mergeCell ref="L207:L209"/>
    <mergeCell ref="G210:G212"/>
    <mergeCell ref="H210:H212"/>
    <mergeCell ref="I210:I212"/>
    <mergeCell ref="J210:J212"/>
    <mergeCell ref="K210:K212"/>
    <mergeCell ref="L219:L221"/>
    <mergeCell ref="G222:G224"/>
    <mergeCell ref="H222:H224"/>
    <mergeCell ref="I222:I224"/>
    <mergeCell ref="J222:J224"/>
    <mergeCell ref="K222:K224"/>
    <mergeCell ref="L222:L224"/>
    <mergeCell ref="H216:H218"/>
    <mergeCell ref="I216:I218"/>
    <mergeCell ref="J216:J218"/>
    <mergeCell ref="K216:K218"/>
    <mergeCell ref="L216:L218"/>
    <mergeCell ref="G219:G221"/>
    <mergeCell ref="H219:H221"/>
    <mergeCell ref="I219:I221"/>
    <mergeCell ref="J219:J221"/>
    <mergeCell ref="K219:K221"/>
    <mergeCell ref="H225:H227"/>
    <mergeCell ref="I225:I227"/>
    <mergeCell ref="J225:J227"/>
    <mergeCell ref="K225:K227"/>
    <mergeCell ref="L225:L227"/>
    <mergeCell ref="G228:G230"/>
    <mergeCell ref="H228:H230"/>
    <mergeCell ref="I228:I230"/>
    <mergeCell ref="J228:J230"/>
    <mergeCell ref="K228:K230"/>
    <mergeCell ref="B231:B248"/>
    <mergeCell ref="C231:C248"/>
    <mergeCell ref="D231:D248"/>
    <mergeCell ref="E231:E248"/>
    <mergeCell ref="F231:F248"/>
    <mergeCell ref="G231:G233"/>
    <mergeCell ref="H231:H233"/>
    <mergeCell ref="I231:I233"/>
    <mergeCell ref="J231:J233"/>
    <mergeCell ref="G240:G242"/>
    <mergeCell ref="H240:H242"/>
    <mergeCell ref="I240:I242"/>
    <mergeCell ref="J240:J242"/>
    <mergeCell ref="K231:K233"/>
    <mergeCell ref="L231:L233"/>
    <mergeCell ref="G234:G236"/>
    <mergeCell ref="H234:H236"/>
    <mergeCell ref="I234:I236"/>
    <mergeCell ref="J234:J236"/>
    <mergeCell ref="K234:K236"/>
    <mergeCell ref="L234:L236"/>
    <mergeCell ref="L228:L230"/>
    <mergeCell ref="K240:K242"/>
    <mergeCell ref="L240:L242"/>
    <mergeCell ref="G237:G239"/>
    <mergeCell ref="H237:H239"/>
    <mergeCell ref="I237:I239"/>
    <mergeCell ref="J237:J239"/>
    <mergeCell ref="K237:K239"/>
    <mergeCell ref="L237:L239"/>
    <mergeCell ref="G246:G248"/>
    <mergeCell ref="H246:H248"/>
    <mergeCell ref="I246:I248"/>
    <mergeCell ref="J246:J248"/>
    <mergeCell ref="K246:K248"/>
    <mergeCell ref="L246:L248"/>
    <mergeCell ref="G243:G245"/>
    <mergeCell ref="H243:H245"/>
    <mergeCell ref="I243:I245"/>
    <mergeCell ref="J243:J245"/>
    <mergeCell ref="K243:K245"/>
    <mergeCell ref="L243:L245"/>
    <mergeCell ref="H249:H251"/>
    <mergeCell ref="I249:I251"/>
    <mergeCell ref="J249:J251"/>
    <mergeCell ref="K249:K251"/>
    <mergeCell ref="L249:L251"/>
    <mergeCell ref="G252:G254"/>
    <mergeCell ref="H252:H254"/>
    <mergeCell ref="I252:I254"/>
    <mergeCell ref="J252:J254"/>
    <mergeCell ref="K252:K254"/>
    <mergeCell ref="G249:G251"/>
    <mergeCell ref="H261:H263"/>
    <mergeCell ref="I261:I263"/>
    <mergeCell ref="J261:J263"/>
    <mergeCell ref="K261:K263"/>
    <mergeCell ref="G258:G260"/>
    <mergeCell ref="L252:L254"/>
    <mergeCell ref="G255:G257"/>
    <mergeCell ref="H255:H257"/>
    <mergeCell ref="I255:I257"/>
    <mergeCell ref="J255:J257"/>
    <mergeCell ref="K255:K257"/>
    <mergeCell ref="L255:L257"/>
    <mergeCell ref="B267:B269"/>
    <mergeCell ref="C267:C269"/>
    <mergeCell ref="D267:D269"/>
    <mergeCell ref="B270:B276"/>
    <mergeCell ref="C270:C276"/>
    <mergeCell ref="D270:D276"/>
    <mergeCell ref="L261:L263"/>
    <mergeCell ref="G264:G266"/>
    <mergeCell ref="H264:H266"/>
    <mergeCell ref="I264:I266"/>
    <mergeCell ref="J264:J266"/>
    <mergeCell ref="K264:K266"/>
    <mergeCell ref="L264:L266"/>
    <mergeCell ref="B249:B266"/>
    <mergeCell ref="C249:C266"/>
    <mergeCell ref="D249:D266"/>
    <mergeCell ref="E249:E266"/>
    <mergeCell ref="F249:F266"/>
    <mergeCell ref="H258:H260"/>
    <mergeCell ref="I258:I260"/>
    <mergeCell ref="J258:J260"/>
    <mergeCell ref="K258:K260"/>
    <mergeCell ref="L258:L260"/>
    <mergeCell ref="G261:G263"/>
  </mergeCells>
  <dataValidations count="2">
    <dataValidation type="list" errorStyle="warning" allowBlank="1" showInputMessage="1" showErrorMessage="1" sqref="K3:K266" xr:uid="{CE742512-24C2-495C-82F5-A942990E8D66}">
      <formula1>$K$274:$K$278</formula1>
    </dataValidation>
    <dataValidation type="list" allowBlank="1" showInputMessage="1" showErrorMessage="1" sqref="F3:F266" xr:uid="{BC580715-2819-4400-844E-C4AB788BE4E5}">
      <formula1>$F$256:$F$260</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E8E7E-1425-B947-A601-B3801378A174}">
  <sheetPr>
    <tabColor theme="4"/>
  </sheetPr>
  <dimension ref="A1:P388"/>
  <sheetViews>
    <sheetView showGridLines="0" zoomScaleNormal="100" workbookViewId="0">
      <pane xSplit="6" ySplit="2" topLeftCell="H314" activePane="bottomRight" state="frozen"/>
      <selection activeCell="B204" sqref="B204:B239"/>
      <selection pane="topRight" activeCell="B204" sqref="B204:B239"/>
      <selection pane="bottomLeft" activeCell="B204" sqref="B204:B239"/>
      <selection pane="bottomRight" activeCell="B195" sqref="B195:B266"/>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5.85546875" style="15" customWidth="1"/>
    <col min="9" max="9" width="37.85546875" style="15" customWidth="1"/>
    <col min="10" max="10" width="9.7109375" style="15" hidden="1" customWidth="1"/>
    <col min="11" max="11" width="45.140625" style="3" hidden="1" customWidth="1"/>
    <col min="12" max="41" width="12" style="14" customWidth="1"/>
    <col min="42" max="249" width="13.28515625" style="14"/>
    <col min="250" max="250" width="40.28515625" style="14" customWidth="1"/>
    <col min="251" max="251" width="48.85546875" style="14" customWidth="1"/>
    <col min="252" max="252" width="53.28515625" style="14" customWidth="1"/>
    <col min="253" max="253" width="56.28515625" style="14" customWidth="1"/>
    <col min="254" max="297" width="12" style="14" customWidth="1"/>
    <col min="298" max="505" width="13.28515625" style="14"/>
    <col min="506" max="506" width="40.28515625" style="14" customWidth="1"/>
    <col min="507" max="507" width="48.85546875" style="14" customWidth="1"/>
    <col min="508" max="508" width="53.28515625" style="14" customWidth="1"/>
    <col min="509" max="509" width="56.28515625" style="14" customWidth="1"/>
    <col min="510" max="553" width="12" style="14" customWidth="1"/>
    <col min="554" max="761" width="13.28515625" style="14"/>
    <col min="762" max="762" width="40.28515625" style="14" customWidth="1"/>
    <col min="763" max="763" width="48.85546875" style="14" customWidth="1"/>
    <col min="764" max="764" width="53.28515625" style="14" customWidth="1"/>
    <col min="765" max="765" width="56.28515625" style="14" customWidth="1"/>
    <col min="766" max="809" width="12" style="14" customWidth="1"/>
    <col min="810" max="1017" width="13.28515625" style="14"/>
    <col min="1018" max="1018" width="40.28515625" style="14" customWidth="1"/>
    <col min="1019" max="1019" width="48.85546875" style="14" customWidth="1"/>
    <col min="1020" max="1020" width="53.28515625" style="14" customWidth="1"/>
    <col min="1021" max="1021" width="56.28515625" style="14" customWidth="1"/>
    <col min="1022" max="1065" width="12" style="14" customWidth="1"/>
    <col min="1066" max="1273" width="13.28515625" style="14"/>
    <col min="1274" max="1274" width="40.28515625" style="14" customWidth="1"/>
    <col min="1275" max="1275" width="48.85546875" style="14" customWidth="1"/>
    <col min="1276" max="1276" width="53.28515625" style="14" customWidth="1"/>
    <col min="1277" max="1277" width="56.28515625" style="14" customWidth="1"/>
    <col min="1278" max="1321" width="12" style="14" customWidth="1"/>
    <col min="1322" max="1529" width="13.28515625" style="14"/>
    <col min="1530" max="1530" width="40.28515625" style="14" customWidth="1"/>
    <col min="1531" max="1531" width="48.85546875" style="14" customWidth="1"/>
    <col min="1532" max="1532" width="53.28515625" style="14" customWidth="1"/>
    <col min="1533" max="1533" width="56.28515625" style="14" customWidth="1"/>
    <col min="1534" max="1577" width="12" style="14" customWidth="1"/>
    <col min="1578" max="1785" width="13.28515625" style="14"/>
    <col min="1786" max="1786" width="40.28515625" style="14" customWidth="1"/>
    <col min="1787" max="1787" width="48.85546875" style="14" customWidth="1"/>
    <col min="1788" max="1788" width="53.28515625" style="14" customWidth="1"/>
    <col min="1789" max="1789" width="56.28515625" style="14" customWidth="1"/>
    <col min="1790" max="1833" width="12" style="14" customWidth="1"/>
    <col min="1834" max="2041" width="13.28515625" style="14"/>
    <col min="2042" max="2042" width="40.28515625" style="14" customWidth="1"/>
    <col min="2043" max="2043" width="48.85546875" style="14" customWidth="1"/>
    <col min="2044" max="2044" width="53.28515625" style="14" customWidth="1"/>
    <col min="2045" max="2045" width="56.28515625" style="14" customWidth="1"/>
    <col min="2046" max="2089" width="12" style="14" customWidth="1"/>
    <col min="2090" max="2297" width="13.28515625" style="14"/>
    <col min="2298" max="2298" width="40.28515625" style="14" customWidth="1"/>
    <col min="2299" max="2299" width="48.85546875" style="14" customWidth="1"/>
    <col min="2300" max="2300" width="53.28515625" style="14" customWidth="1"/>
    <col min="2301" max="2301" width="56.28515625" style="14" customWidth="1"/>
    <col min="2302" max="2345" width="12" style="14" customWidth="1"/>
    <col min="2346" max="2553" width="13.28515625" style="14"/>
    <col min="2554" max="2554" width="40.28515625" style="14" customWidth="1"/>
    <col min="2555" max="2555" width="48.85546875" style="14" customWidth="1"/>
    <col min="2556" max="2556" width="53.28515625" style="14" customWidth="1"/>
    <col min="2557" max="2557" width="56.28515625" style="14" customWidth="1"/>
    <col min="2558" max="2601" width="12" style="14" customWidth="1"/>
    <col min="2602" max="2809" width="13.28515625" style="14"/>
    <col min="2810" max="2810" width="40.28515625" style="14" customWidth="1"/>
    <col min="2811" max="2811" width="48.85546875" style="14" customWidth="1"/>
    <col min="2812" max="2812" width="53.28515625" style="14" customWidth="1"/>
    <col min="2813" max="2813" width="56.28515625" style="14" customWidth="1"/>
    <col min="2814" max="2857" width="12" style="14" customWidth="1"/>
    <col min="2858" max="3065" width="13.28515625" style="14"/>
    <col min="3066" max="3066" width="40.28515625" style="14" customWidth="1"/>
    <col min="3067" max="3067" width="48.85546875" style="14" customWidth="1"/>
    <col min="3068" max="3068" width="53.28515625" style="14" customWidth="1"/>
    <col min="3069" max="3069" width="56.28515625" style="14" customWidth="1"/>
    <col min="3070" max="3113" width="12" style="14" customWidth="1"/>
    <col min="3114" max="3321" width="13.28515625" style="14"/>
    <col min="3322" max="3322" width="40.28515625" style="14" customWidth="1"/>
    <col min="3323" max="3323" width="48.85546875" style="14" customWidth="1"/>
    <col min="3324" max="3324" width="53.28515625" style="14" customWidth="1"/>
    <col min="3325" max="3325" width="56.28515625" style="14" customWidth="1"/>
    <col min="3326" max="3369" width="12" style="14" customWidth="1"/>
    <col min="3370" max="3577" width="13.28515625" style="14"/>
    <col min="3578" max="3578" width="40.28515625" style="14" customWidth="1"/>
    <col min="3579" max="3579" width="48.85546875" style="14" customWidth="1"/>
    <col min="3580" max="3580" width="53.28515625" style="14" customWidth="1"/>
    <col min="3581" max="3581" width="56.28515625" style="14" customWidth="1"/>
    <col min="3582" max="3625" width="12" style="14" customWidth="1"/>
    <col min="3626" max="3833" width="13.28515625" style="14"/>
    <col min="3834" max="3834" width="40.28515625" style="14" customWidth="1"/>
    <col min="3835" max="3835" width="48.85546875" style="14" customWidth="1"/>
    <col min="3836" max="3836" width="53.28515625" style="14" customWidth="1"/>
    <col min="3837" max="3837" width="56.28515625" style="14" customWidth="1"/>
    <col min="3838" max="3881" width="12" style="14" customWidth="1"/>
    <col min="3882" max="4089" width="13.28515625" style="14"/>
    <col min="4090" max="4090" width="40.28515625" style="14" customWidth="1"/>
    <col min="4091" max="4091" width="48.85546875" style="14" customWidth="1"/>
    <col min="4092" max="4092" width="53.28515625" style="14" customWidth="1"/>
    <col min="4093" max="4093" width="56.28515625" style="14" customWidth="1"/>
    <col min="4094" max="4137" width="12" style="14" customWidth="1"/>
    <col min="4138" max="4345" width="13.28515625" style="14"/>
    <col min="4346" max="4346" width="40.28515625" style="14" customWidth="1"/>
    <col min="4347" max="4347" width="48.85546875" style="14" customWidth="1"/>
    <col min="4348" max="4348" width="53.28515625" style="14" customWidth="1"/>
    <col min="4349" max="4349" width="56.28515625" style="14" customWidth="1"/>
    <col min="4350" max="4393" width="12" style="14" customWidth="1"/>
    <col min="4394" max="4601" width="13.28515625" style="14"/>
    <col min="4602" max="4602" width="40.28515625" style="14" customWidth="1"/>
    <col min="4603" max="4603" width="48.85546875" style="14" customWidth="1"/>
    <col min="4604" max="4604" width="53.28515625" style="14" customWidth="1"/>
    <col min="4605" max="4605" width="56.28515625" style="14" customWidth="1"/>
    <col min="4606" max="4649" width="12" style="14" customWidth="1"/>
    <col min="4650" max="4857" width="13.28515625" style="14"/>
    <col min="4858" max="4858" width="40.28515625" style="14" customWidth="1"/>
    <col min="4859" max="4859" width="48.85546875" style="14" customWidth="1"/>
    <col min="4860" max="4860" width="53.28515625" style="14" customWidth="1"/>
    <col min="4861" max="4861" width="56.28515625" style="14" customWidth="1"/>
    <col min="4862" max="4905" width="12" style="14" customWidth="1"/>
    <col min="4906" max="5113" width="13.28515625" style="14"/>
    <col min="5114" max="5114" width="40.28515625" style="14" customWidth="1"/>
    <col min="5115" max="5115" width="48.85546875" style="14" customWidth="1"/>
    <col min="5116" max="5116" width="53.28515625" style="14" customWidth="1"/>
    <col min="5117" max="5117" width="56.28515625" style="14" customWidth="1"/>
    <col min="5118" max="5161" width="12" style="14" customWidth="1"/>
    <col min="5162" max="5369" width="13.28515625" style="14"/>
    <col min="5370" max="5370" width="40.28515625" style="14" customWidth="1"/>
    <col min="5371" max="5371" width="48.85546875" style="14" customWidth="1"/>
    <col min="5372" max="5372" width="53.28515625" style="14" customWidth="1"/>
    <col min="5373" max="5373" width="56.28515625" style="14" customWidth="1"/>
    <col min="5374" max="5417" width="12" style="14" customWidth="1"/>
    <col min="5418" max="5625" width="13.28515625" style="14"/>
    <col min="5626" max="5626" width="40.28515625" style="14" customWidth="1"/>
    <col min="5627" max="5627" width="48.85546875" style="14" customWidth="1"/>
    <col min="5628" max="5628" width="53.28515625" style="14" customWidth="1"/>
    <col min="5629" max="5629" width="56.28515625" style="14" customWidth="1"/>
    <col min="5630" max="5673" width="12" style="14" customWidth="1"/>
    <col min="5674" max="5881" width="13.28515625" style="14"/>
    <col min="5882" max="5882" width="40.28515625" style="14" customWidth="1"/>
    <col min="5883" max="5883" width="48.85546875" style="14" customWidth="1"/>
    <col min="5884" max="5884" width="53.28515625" style="14" customWidth="1"/>
    <col min="5885" max="5885" width="56.28515625" style="14" customWidth="1"/>
    <col min="5886" max="5929" width="12" style="14" customWidth="1"/>
    <col min="5930" max="6137" width="13.28515625" style="14"/>
    <col min="6138" max="6138" width="40.28515625" style="14" customWidth="1"/>
    <col min="6139" max="6139" width="48.85546875" style="14" customWidth="1"/>
    <col min="6140" max="6140" width="53.28515625" style="14" customWidth="1"/>
    <col min="6141" max="6141" width="56.28515625" style="14" customWidth="1"/>
    <col min="6142" max="6185" width="12" style="14" customWidth="1"/>
    <col min="6186" max="6393" width="13.28515625" style="14"/>
    <col min="6394" max="6394" width="40.28515625" style="14" customWidth="1"/>
    <col min="6395" max="6395" width="48.85546875" style="14" customWidth="1"/>
    <col min="6396" max="6396" width="53.28515625" style="14" customWidth="1"/>
    <col min="6397" max="6397" width="56.28515625" style="14" customWidth="1"/>
    <col min="6398" max="6441" width="12" style="14" customWidth="1"/>
    <col min="6442" max="6649" width="13.28515625" style="14"/>
    <col min="6650" max="6650" width="40.28515625" style="14" customWidth="1"/>
    <col min="6651" max="6651" width="48.85546875" style="14" customWidth="1"/>
    <col min="6652" max="6652" width="53.28515625" style="14" customWidth="1"/>
    <col min="6653" max="6653" width="56.28515625" style="14" customWidth="1"/>
    <col min="6654" max="6697" width="12" style="14" customWidth="1"/>
    <col min="6698" max="6905" width="13.28515625" style="14"/>
    <col min="6906" max="6906" width="40.28515625" style="14" customWidth="1"/>
    <col min="6907" max="6907" width="48.85546875" style="14" customWidth="1"/>
    <col min="6908" max="6908" width="53.28515625" style="14" customWidth="1"/>
    <col min="6909" max="6909" width="56.28515625" style="14" customWidth="1"/>
    <col min="6910" max="6953" width="12" style="14" customWidth="1"/>
    <col min="6954" max="7161" width="13.28515625" style="14"/>
    <col min="7162" max="7162" width="40.28515625" style="14" customWidth="1"/>
    <col min="7163" max="7163" width="48.85546875" style="14" customWidth="1"/>
    <col min="7164" max="7164" width="53.28515625" style="14" customWidth="1"/>
    <col min="7165" max="7165" width="56.28515625" style="14" customWidth="1"/>
    <col min="7166" max="7209" width="12" style="14" customWidth="1"/>
    <col min="7210" max="7417" width="13.28515625" style="14"/>
    <col min="7418" max="7418" width="40.28515625" style="14" customWidth="1"/>
    <col min="7419" max="7419" width="48.85546875" style="14" customWidth="1"/>
    <col min="7420" max="7420" width="53.28515625" style="14" customWidth="1"/>
    <col min="7421" max="7421" width="56.28515625" style="14" customWidth="1"/>
    <col min="7422" max="7465" width="12" style="14" customWidth="1"/>
    <col min="7466" max="7673" width="13.28515625" style="14"/>
    <col min="7674" max="7674" width="40.28515625" style="14" customWidth="1"/>
    <col min="7675" max="7675" width="48.85546875" style="14" customWidth="1"/>
    <col min="7676" max="7676" width="53.28515625" style="14" customWidth="1"/>
    <col min="7677" max="7677" width="56.28515625" style="14" customWidth="1"/>
    <col min="7678" max="7721" width="12" style="14" customWidth="1"/>
    <col min="7722" max="7929" width="13.28515625" style="14"/>
    <col min="7930" max="7930" width="40.28515625" style="14" customWidth="1"/>
    <col min="7931" max="7931" width="48.85546875" style="14" customWidth="1"/>
    <col min="7932" max="7932" width="53.28515625" style="14" customWidth="1"/>
    <col min="7933" max="7933" width="56.28515625" style="14" customWidth="1"/>
    <col min="7934" max="7977" width="12" style="14" customWidth="1"/>
    <col min="7978" max="8185" width="13.28515625" style="14"/>
    <col min="8186" max="8186" width="40.28515625" style="14" customWidth="1"/>
    <col min="8187" max="8187" width="48.85546875" style="14" customWidth="1"/>
    <col min="8188" max="8188" width="53.28515625" style="14" customWidth="1"/>
    <col min="8189" max="8189" width="56.28515625" style="14" customWidth="1"/>
    <col min="8190" max="8233" width="12" style="14" customWidth="1"/>
    <col min="8234" max="8441" width="13.28515625" style="14"/>
    <col min="8442" max="8442" width="40.28515625" style="14" customWidth="1"/>
    <col min="8443" max="8443" width="48.85546875" style="14" customWidth="1"/>
    <col min="8444" max="8444" width="53.28515625" style="14" customWidth="1"/>
    <col min="8445" max="8445" width="56.28515625" style="14" customWidth="1"/>
    <col min="8446" max="8489" width="12" style="14" customWidth="1"/>
    <col min="8490" max="8697" width="13.28515625" style="14"/>
    <col min="8698" max="8698" width="40.28515625" style="14" customWidth="1"/>
    <col min="8699" max="8699" width="48.85546875" style="14" customWidth="1"/>
    <col min="8700" max="8700" width="53.28515625" style="14" customWidth="1"/>
    <col min="8701" max="8701" width="56.28515625" style="14" customWidth="1"/>
    <col min="8702" max="8745" width="12" style="14" customWidth="1"/>
    <col min="8746" max="8953" width="13.28515625" style="14"/>
    <col min="8954" max="8954" width="40.28515625" style="14" customWidth="1"/>
    <col min="8955" max="8955" width="48.85546875" style="14" customWidth="1"/>
    <col min="8956" max="8956" width="53.28515625" style="14" customWidth="1"/>
    <col min="8957" max="8957" width="56.28515625" style="14" customWidth="1"/>
    <col min="8958" max="9001" width="12" style="14" customWidth="1"/>
    <col min="9002" max="9209" width="13.28515625" style="14"/>
    <col min="9210" max="9210" width="40.28515625" style="14" customWidth="1"/>
    <col min="9211" max="9211" width="48.85546875" style="14" customWidth="1"/>
    <col min="9212" max="9212" width="53.28515625" style="14" customWidth="1"/>
    <col min="9213" max="9213" width="56.28515625" style="14" customWidth="1"/>
    <col min="9214" max="9257" width="12" style="14" customWidth="1"/>
    <col min="9258" max="9465" width="13.28515625" style="14"/>
    <col min="9466" max="9466" width="40.28515625" style="14" customWidth="1"/>
    <col min="9467" max="9467" width="48.85546875" style="14" customWidth="1"/>
    <col min="9468" max="9468" width="53.28515625" style="14" customWidth="1"/>
    <col min="9469" max="9469" width="56.28515625" style="14" customWidth="1"/>
    <col min="9470" max="9513" width="12" style="14" customWidth="1"/>
    <col min="9514" max="9721" width="13.28515625" style="14"/>
    <col min="9722" max="9722" width="40.28515625" style="14" customWidth="1"/>
    <col min="9723" max="9723" width="48.85546875" style="14" customWidth="1"/>
    <col min="9724" max="9724" width="53.28515625" style="14" customWidth="1"/>
    <col min="9725" max="9725" width="56.28515625" style="14" customWidth="1"/>
    <col min="9726" max="9769" width="12" style="14" customWidth="1"/>
    <col min="9770" max="9977" width="13.28515625" style="14"/>
    <col min="9978" max="9978" width="40.28515625" style="14" customWidth="1"/>
    <col min="9979" max="9979" width="48.85546875" style="14" customWidth="1"/>
    <col min="9980" max="9980" width="53.28515625" style="14" customWidth="1"/>
    <col min="9981" max="9981" width="56.28515625" style="14" customWidth="1"/>
    <col min="9982" max="10025" width="12" style="14" customWidth="1"/>
    <col min="10026" max="10233" width="13.28515625" style="14"/>
    <col min="10234" max="10234" width="40.28515625" style="14" customWidth="1"/>
    <col min="10235" max="10235" width="48.85546875" style="14" customWidth="1"/>
    <col min="10236" max="10236" width="53.28515625" style="14" customWidth="1"/>
    <col min="10237" max="10237" width="56.28515625" style="14" customWidth="1"/>
    <col min="10238" max="10281" width="12" style="14" customWidth="1"/>
    <col min="10282" max="10489" width="13.28515625" style="14"/>
    <col min="10490" max="10490" width="40.28515625" style="14" customWidth="1"/>
    <col min="10491" max="10491" width="48.85546875" style="14" customWidth="1"/>
    <col min="10492" max="10492" width="53.28515625" style="14" customWidth="1"/>
    <col min="10493" max="10493" width="56.28515625" style="14" customWidth="1"/>
    <col min="10494" max="10537" width="12" style="14" customWidth="1"/>
    <col min="10538" max="10745" width="13.28515625" style="14"/>
    <col min="10746" max="10746" width="40.28515625" style="14" customWidth="1"/>
    <col min="10747" max="10747" width="48.85546875" style="14" customWidth="1"/>
    <col min="10748" max="10748" width="53.28515625" style="14" customWidth="1"/>
    <col min="10749" max="10749" width="56.28515625" style="14" customWidth="1"/>
    <col min="10750" max="10793" width="12" style="14" customWidth="1"/>
    <col min="10794" max="11001" width="13.28515625" style="14"/>
    <col min="11002" max="11002" width="40.28515625" style="14" customWidth="1"/>
    <col min="11003" max="11003" width="48.85546875" style="14" customWidth="1"/>
    <col min="11004" max="11004" width="53.28515625" style="14" customWidth="1"/>
    <col min="11005" max="11005" width="56.28515625" style="14" customWidth="1"/>
    <col min="11006" max="11049" width="12" style="14" customWidth="1"/>
    <col min="11050" max="11257" width="13.28515625" style="14"/>
    <col min="11258" max="11258" width="40.28515625" style="14" customWidth="1"/>
    <col min="11259" max="11259" width="48.85546875" style="14" customWidth="1"/>
    <col min="11260" max="11260" width="53.28515625" style="14" customWidth="1"/>
    <col min="11261" max="11261" width="56.28515625" style="14" customWidth="1"/>
    <col min="11262" max="11305" width="12" style="14" customWidth="1"/>
    <col min="11306" max="11513" width="13.28515625" style="14"/>
    <col min="11514" max="11514" width="40.28515625" style="14" customWidth="1"/>
    <col min="11515" max="11515" width="48.85546875" style="14" customWidth="1"/>
    <col min="11516" max="11516" width="53.28515625" style="14" customWidth="1"/>
    <col min="11517" max="11517" width="56.28515625" style="14" customWidth="1"/>
    <col min="11518" max="11561" width="12" style="14" customWidth="1"/>
    <col min="11562" max="11769" width="13.28515625" style="14"/>
    <col min="11770" max="11770" width="40.28515625" style="14" customWidth="1"/>
    <col min="11771" max="11771" width="48.85546875" style="14" customWidth="1"/>
    <col min="11772" max="11772" width="53.28515625" style="14" customWidth="1"/>
    <col min="11773" max="11773" width="56.28515625" style="14" customWidth="1"/>
    <col min="11774" max="11817" width="12" style="14" customWidth="1"/>
    <col min="11818" max="12025" width="13.28515625" style="14"/>
    <col min="12026" max="12026" width="40.28515625" style="14" customWidth="1"/>
    <col min="12027" max="12027" width="48.85546875" style="14" customWidth="1"/>
    <col min="12028" max="12028" width="53.28515625" style="14" customWidth="1"/>
    <col min="12029" max="12029" width="56.28515625" style="14" customWidth="1"/>
    <col min="12030" max="12073" width="12" style="14" customWidth="1"/>
    <col min="12074" max="12281" width="13.28515625" style="14"/>
    <col min="12282" max="12282" width="40.28515625" style="14" customWidth="1"/>
    <col min="12283" max="12283" width="48.85546875" style="14" customWidth="1"/>
    <col min="12284" max="12284" width="53.28515625" style="14" customWidth="1"/>
    <col min="12285" max="12285" width="56.28515625" style="14" customWidth="1"/>
    <col min="12286" max="12329" width="12" style="14" customWidth="1"/>
    <col min="12330" max="12537" width="13.28515625" style="14"/>
    <col min="12538" max="12538" width="40.28515625" style="14" customWidth="1"/>
    <col min="12539" max="12539" width="48.85546875" style="14" customWidth="1"/>
    <col min="12540" max="12540" width="53.28515625" style="14" customWidth="1"/>
    <col min="12541" max="12541" width="56.28515625" style="14" customWidth="1"/>
    <col min="12542" max="12585" width="12" style="14" customWidth="1"/>
    <col min="12586" max="12793" width="13.28515625" style="14"/>
    <col min="12794" max="12794" width="40.28515625" style="14" customWidth="1"/>
    <col min="12795" max="12795" width="48.85546875" style="14" customWidth="1"/>
    <col min="12796" max="12796" width="53.28515625" style="14" customWidth="1"/>
    <col min="12797" max="12797" width="56.28515625" style="14" customWidth="1"/>
    <col min="12798" max="12841" width="12" style="14" customWidth="1"/>
    <col min="12842" max="13049" width="13.28515625" style="14"/>
    <col min="13050" max="13050" width="40.28515625" style="14" customWidth="1"/>
    <col min="13051" max="13051" width="48.85546875" style="14" customWidth="1"/>
    <col min="13052" max="13052" width="53.28515625" style="14" customWidth="1"/>
    <col min="13053" max="13053" width="56.28515625" style="14" customWidth="1"/>
    <col min="13054" max="13097" width="12" style="14" customWidth="1"/>
    <col min="13098" max="13305" width="13.28515625" style="14"/>
    <col min="13306" max="13306" width="40.28515625" style="14" customWidth="1"/>
    <col min="13307" max="13307" width="48.85546875" style="14" customWidth="1"/>
    <col min="13308" max="13308" width="53.28515625" style="14" customWidth="1"/>
    <col min="13309" max="13309" width="56.28515625" style="14" customWidth="1"/>
    <col min="13310" max="13353" width="12" style="14" customWidth="1"/>
    <col min="13354" max="13561" width="13.28515625" style="14"/>
    <col min="13562" max="13562" width="40.28515625" style="14" customWidth="1"/>
    <col min="13563" max="13563" width="48.85546875" style="14" customWidth="1"/>
    <col min="13564" max="13564" width="53.28515625" style="14" customWidth="1"/>
    <col min="13565" max="13565" width="56.28515625" style="14" customWidth="1"/>
    <col min="13566" max="13609" width="12" style="14" customWidth="1"/>
    <col min="13610" max="13817" width="13.28515625" style="14"/>
    <col min="13818" max="13818" width="40.28515625" style="14" customWidth="1"/>
    <col min="13819" max="13819" width="48.85546875" style="14" customWidth="1"/>
    <col min="13820" max="13820" width="53.28515625" style="14" customWidth="1"/>
    <col min="13821" max="13821" width="56.28515625" style="14" customWidth="1"/>
    <col min="13822" max="13865" width="12" style="14" customWidth="1"/>
    <col min="13866" max="14073" width="13.28515625" style="14"/>
    <col min="14074" max="14074" width="40.28515625" style="14" customWidth="1"/>
    <col min="14075" max="14075" width="48.85546875" style="14" customWidth="1"/>
    <col min="14076" max="14076" width="53.28515625" style="14" customWidth="1"/>
    <col min="14077" max="14077" width="56.28515625" style="14" customWidth="1"/>
    <col min="14078" max="14121" width="12" style="14" customWidth="1"/>
    <col min="14122" max="14329" width="13.28515625" style="14"/>
    <col min="14330" max="14330" width="40.28515625" style="14" customWidth="1"/>
    <col min="14331" max="14331" width="48.85546875" style="14" customWidth="1"/>
    <col min="14332" max="14332" width="53.28515625" style="14" customWidth="1"/>
    <col min="14333" max="14333" width="56.28515625" style="14" customWidth="1"/>
    <col min="14334" max="14377" width="12" style="14" customWidth="1"/>
    <col min="14378" max="14585" width="13.28515625" style="14"/>
    <col min="14586" max="14586" width="40.28515625" style="14" customWidth="1"/>
    <col min="14587" max="14587" width="48.85546875" style="14" customWidth="1"/>
    <col min="14588" max="14588" width="53.28515625" style="14" customWidth="1"/>
    <col min="14589" max="14589" width="56.28515625" style="14" customWidth="1"/>
    <col min="14590" max="14633" width="12" style="14" customWidth="1"/>
    <col min="14634" max="14841" width="13.28515625" style="14"/>
    <col min="14842" max="14842" width="40.28515625" style="14" customWidth="1"/>
    <col min="14843" max="14843" width="48.85546875" style="14" customWidth="1"/>
    <col min="14844" max="14844" width="53.28515625" style="14" customWidth="1"/>
    <col min="14845" max="14845" width="56.28515625" style="14" customWidth="1"/>
    <col min="14846" max="14889" width="12" style="14" customWidth="1"/>
    <col min="14890" max="15097" width="13.28515625" style="14"/>
    <col min="15098" max="15098" width="40.28515625" style="14" customWidth="1"/>
    <col min="15099" max="15099" width="48.85546875" style="14" customWidth="1"/>
    <col min="15100" max="15100" width="53.28515625" style="14" customWidth="1"/>
    <col min="15101" max="15101" width="56.28515625" style="14" customWidth="1"/>
    <col min="15102" max="15145" width="12" style="14" customWidth="1"/>
    <col min="15146" max="15353" width="13.28515625" style="14"/>
    <col min="15354" max="15354" width="40.28515625" style="14" customWidth="1"/>
    <col min="15355" max="15355" width="48.85546875" style="14" customWidth="1"/>
    <col min="15356" max="15356" width="53.28515625" style="14" customWidth="1"/>
    <col min="15357" max="15357" width="56.28515625" style="14" customWidth="1"/>
    <col min="15358" max="15401" width="12" style="14" customWidth="1"/>
    <col min="15402" max="15609" width="13.28515625" style="14"/>
    <col min="15610" max="15610" width="40.28515625" style="14" customWidth="1"/>
    <col min="15611" max="15611" width="48.85546875" style="14" customWidth="1"/>
    <col min="15612" max="15612" width="53.28515625" style="14" customWidth="1"/>
    <col min="15613" max="15613" width="56.28515625" style="14" customWidth="1"/>
    <col min="15614" max="15657" width="12" style="14" customWidth="1"/>
    <col min="15658" max="15865" width="13.28515625" style="14"/>
    <col min="15866" max="15866" width="40.28515625" style="14" customWidth="1"/>
    <col min="15867" max="15867" width="48.85546875" style="14" customWidth="1"/>
    <col min="15868" max="15868" width="53.28515625" style="14" customWidth="1"/>
    <col min="15869" max="15869" width="56.28515625" style="14" customWidth="1"/>
    <col min="15870" max="15913" width="12" style="14" customWidth="1"/>
    <col min="15914" max="16121" width="13.28515625" style="14"/>
    <col min="16122" max="16122" width="40.28515625" style="14" customWidth="1"/>
    <col min="16123" max="16123" width="48.85546875" style="14" customWidth="1"/>
    <col min="16124" max="16124" width="53.28515625" style="14" customWidth="1"/>
    <col min="16125" max="16125" width="56.28515625" style="14" customWidth="1"/>
    <col min="16126" max="16169" width="12" style="14" customWidth="1"/>
    <col min="16170" max="16384" width="13.28515625" style="14"/>
  </cols>
  <sheetData>
    <row r="1" spans="1:11" ht="30" customHeight="1" x14ac:dyDescent="0.2">
      <c r="A1" s="18"/>
      <c r="B1" s="18"/>
      <c r="C1" s="19"/>
      <c r="D1" s="19"/>
      <c r="E1" s="19"/>
      <c r="F1" s="19"/>
      <c r="G1" s="19"/>
      <c r="H1" s="19"/>
      <c r="I1" s="19"/>
      <c r="J1" s="19"/>
    </row>
    <row r="2" spans="1:11" s="13" customFormat="1" ht="45" x14ac:dyDescent="0.2">
      <c r="A2" s="11" t="s">
        <v>1042</v>
      </c>
      <c r="B2" s="11" t="s">
        <v>1050</v>
      </c>
      <c r="C2" s="11" t="s">
        <v>1041</v>
      </c>
      <c r="D2" s="11" t="s">
        <v>185</v>
      </c>
      <c r="E2" s="11" t="s">
        <v>1476</v>
      </c>
      <c r="F2" s="11" t="s">
        <v>1049</v>
      </c>
      <c r="G2" s="11" t="s">
        <v>1040</v>
      </c>
      <c r="H2" s="11" t="s">
        <v>1477</v>
      </c>
      <c r="I2" s="11" t="s">
        <v>1480</v>
      </c>
      <c r="J2" s="11" t="s">
        <v>1051</v>
      </c>
      <c r="K2" s="4" t="s">
        <v>7</v>
      </c>
    </row>
    <row r="3" spans="1:11" ht="16.350000000000001" customHeight="1" x14ac:dyDescent="0.2">
      <c r="A3" s="500" t="s">
        <v>1141</v>
      </c>
      <c r="B3" s="525" t="s">
        <v>1142</v>
      </c>
      <c r="C3" s="275" t="s">
        <v>1201</v>
      </c>
      <c r="D3" s="275"/>
      <c r="E3" s="275" t="s">
        <v>515</v>
      </c>
      <c r="F3" s="288" t="s">
        <v>1143</v>
      </c>
      <c r="G3" s="501" t="s">
        <v>1203</v>
      </c>
      <c r="H3" s="272"/>
      <c r="I3" s="272"/>
      <c r="J3" s="109" t="s">
        <v>1144</v>
      </c>
      <c r="K3" s="7"/>
    </row>
    <row r="4" spans="1:11" x14ac:dyDescent="0.2">
      <c r="A4" s="500"/>
      <c r="B4" s="525"/>
      <c r="C4" s="275"/>
      <c r="D4" s="275"/>
      <c r="E4" s="275"/>
      <c r="F4" s="288"/>
      <c r="G4" s="501"/>
      <c r="H4" s="272"/>
      <c r="I4" s="272"/>
      <c r="J4" s="109" t="s">
        <v>1145</v>
      </c>
      <c r="K4" s="7"/>
    </row>
    <row r="5" spans="1:11" x14ac:dyDescent="0.2">
      <c r="A5" s="500"/>
      <c r="B5" s="526"/>
      <c r="C5" s="276"/>
      <c r="D5" s="276"/>
      <c r="E5" s="276"/>
      <c r="F5" s="273"/>
      <c r="G5" s="501"/>
      <c r="H5" s="273"/>
      <c r="I5" s="273"/>
      <c r="J5" s="109" t="s">
        <v>1146</v>
      </c>
      <c r="K5" s="7"/>
    </row>
    <row r="6" spans="1:11" x14ac:dyDescent="0.2">
      <c r="A6" s="500"/>
      <c r="B6" s="526"/>
      <c r="C6" s="276"/>
      <c r="D6" s="276"/>
      <c r="E6" s="276"/>
      <c r="F6" s="288" t="s">
        <v>1147</v>
      </c>
      <c r="G6" s="501" t="s">
        <v>1204</v>
      </c>
      <c r="H6" s="272"/>
      <c r="I6" s="289"/>
      <c r="J6" s="109" t="s">
        <v>1148</v>
      </c>
      <c r="K6" s="7"/>
    </row>
    <row r="7" spans="1:11" x14ac:dyDescent="0.2">
      <c r="A7" s="500"/>
      <c r="B7" s="526"/>
      <c r="C7" s="276"/>
      <c r="D7" s="276"/>
      <c r="E7" s="276"/>
      <c r="F7" s="288"/>
      <c r="G7" s="501"/>
      <c r="H7" s="272"/>
      <c r="I7" s="289"/>
      <c r="J7" s="109" t="s">
        <v>1149</v>
      </c>
      <c r="K7" s="7"/>
    </row>
    <row r="8" spans="1:11" x14ac:dyDescent="0.2">
      <c r="A8" s="500"/>
      <c r="B8" s="526"/>
      <c r="C8" s="276"/>
      <c r="D8" s="276"/>
      <c r="E8" s="276"/>
      <c r="F8" s="273"/>
      <c r="G8" s="501"/>
      <c r="H8" s="273"/>
      <c r="I8" s="273"/>
      <c r="J8" s="109" t="s">
        <v>1150</v>
      </c>
      <c r="K8" s="7"/>
    </row>
    <row r="9" spans="1:11" x14ac:dyDescent="0.2">
      <c r="A9" s="500"/>
      <c r="B9" s="526"/>
      <c r="C9" s="276"/>
      <c r="D9" s="276"/>
      <c r="E9" s="276"/>
      <c r="F9" s="288" t="s">
        <v>1151</v>
      </c>
      <c r="G9" s="501" t="s">
        <v>1205</v>
      </c>
      <c r="H9" s="272"/>
      <c r="I9" s="272"/>
      <c r="J9" s="26"/>
      <c r="K9" s="7"/>
    </row>
    <row r="10" spans="1:11" x14ac:dyDescent="0.2">
      <c r="A10" s="500"/>
      <c r="B10" s="526"/>
      <c r="C10" s="276"/>
      <c r="D10" s="276"/>
      <c r="E10" s="276"/>
      <c r="F10" s="288"/>
      <c r="G10" s="501"/>
      <c r="H10" s="272"/>
      <c r="I10" s="272"/>
      <c r="J10" s="26"/>
      <c r="K10" s="7"/>
    </row>
    <row r="11" spans="1:11" x14ac:dyDescent="0.2">
      <c r="A11" s="500"/>
      <c r="B11" s="526"/>
      <c r="C11" s="276"/>
      <c r="D11" s="276"/>
      <c r="E11" s="276"/>
      <c r="F11" s="273"/>
      <c r="G11" s="501"/>
      <c r="H11" s="273"/>
      <c r="I11" s="273"/>
      <c r="J11" s="89"/>
      <c r="K11" s="7"/>
    </row>
    <row r="12" spans="1:11" x14ac:dyDescent="0.2">
      <c r="A12" s="500"/>
      <c r="B12" s="526"/>
      <c r="C12" s="276"/>
      <c r="D12" s="276"/>
      <c r="E12" s="276"/>
      <c r="F12" s="288" t="s">
        <v>1152</v>
      </c>
      <c r="G12" s="501" t="s">
        <v>1206</v>
      </c>
      <c r="H12" s="272"/>
      <c r="I12" s="272"/>
      <c r="J12" s="26"/>
      <c r="K12" s="7"/>
    </row>
    <row r="13" spans="1:11" x14ac:dyDescent="0.2">
      <c r="A13" s="500"/>
      <c r="B13" s="526"/>
      <c r="C13" s="276"/>
      <c r="D13" s="276"/>
      <c r="E13" s="276"/>
      <c r="F13" s="288"/>
      <c r="G13" s="501"/>
      <c r="H13" s="272"/>
      <c r="I13" s="272"/>
      <c r="J13" s="26"/>
      <c r="K13" s="7"/>
    </row>
    <row r="14" spans="1:11" x14ac:dyDescent="0.2">
      <c r="A14" s="500"/>
      <c r="B14" s="526"/>
      <c r="C14" s="276"/>
      <c r="D14" s="276"/>
      <c r="E14" s="276"/>
      <c r="F14" s="273"/>
      <c r="G14" s="501"/>
      <c r="H14" s="273"/>
      <c r="I14" s="273"/>
      <c r="J14" s="89"/>
      <c r="K14" s="7"/>
    </row>
    <row r="15" spans="1:11" x14ac:dyDescent="0.2">
      <c r="A15" s="500"/>
      <c r="B15" s="526"/>
      <c r="C15" s="276"/>
      <c r="D15" s="276"/>
      <c r="E15" s="276"/>
      <c r="F15" s="288" t="s">
        <v>1153</v>
      </c>
      <c r="G15" s="272"/>
      <c r="H15" s="272"/>
      <c r="I15" s="272"/>
      <c r="J15" s="26"/>
      <c r="K15" s="7"/>
    </row>
    <row r="16" spans="1:11" x14ac:dyDescent="0.2">
      <c r="A16" s="500"/>
      <c r="B16" s="526"/>
      <c r="C16" s="276"/>
      <c r="D16" s="276"/>
      <c r="E16" s="276"/>
      <c r="F16" s="288"/>
      <c r="G16" s="272"/>
      <c r="H16" s="272"/>
      <c r="I16" s="272"/>
      <c r="J16" s="26"/>
      <c r="K16" s="7"/>
    </row>
    <row r="17" spans="1:11" x14ac:dyDescent="0.2">
      <c r="A17" s="500"/>
      <c r="B17" s="526"/>
      <c r="C17" s="276"/>
      <c r="D17" s="276"/>
      <c r="E17" s="276"/>
      <c r="F17" s="273"/>
      <c r="G17" s="273"/>
      <c r="H17" s="273"/>
      <c r="I17" s="273"/>
      <c r="J17" s="89"/>
      <c r="K17" s="7"/>
    </row>
    <row r="18" spans="1:11" x14ac:dyDescent="0.2">
      <c r="A18" s="500"/>
      <c r="B18" s="526"/>
      <c r="C18" s="276"/>
      <c r="D18" s="276"/>
      <c r="E18" s="276"/>
      <c r="F18" s="288" t="s">
        <v>1154</v>
      </c>
      <c r="G18" s="272"/>
      <c r="H18" s="272"/>
      <c r="I18" s="272"/>
      <c r="J18" s="26"/>
      <c r="K18" s="7"/>
    </row>
    <row r="19" spans="1:11" x14ac:dyDescent="0.2">
      <c r="A19" s="500"/>
      <c r="B19" s="526"/>
      <c r="C19" s="276"/>
      <c r="D19" s="276"/>
      <c r="E19" s="276"/>
      <c r="F19" s="288"/>
      <c r="G19" s="272"/>
      <c r="H19" s="272"/>
      <c r="I19" s="272"/>
      <c r="J19" s="26"/>
      <c r="K19" s="7"/>
    </row>
    <row r="20" spans="1:11" x14ac:dyDescent="0.2">
      <c r="A20" s="500"/>
      <c r="B20" s="526"/>
      <c r="C20" s="276"/>
      <c r="D20" s="276"/>
      <c r="E20" s="276"/>
      <c r="F20" s="273"/>
      <c r="G20" s="273"/>
      <c r="H20" s="273"/>
      <c r="I20" s="273"/>
      <c r="J20" s="89"/>
      <c r="K20" s="7"/>
    </row>
    <row r="21" spans="1:11" x14ac:dyDescent="0.2">
      <c r="A21" s="500"/>
      <c r="B21" s="522" t="s">
        <v>1155</v>
      </c>
      <c r="C21" s="277" t="s">
        <v>1285</v>
      </c>
      <c r="D21" s="277"/>
      <c r="E21" s="277"/>
      <c r="F21" s="288" t="s">
        <v>1156</v>
      </c>
      <c r="G21" s="501" t="s">
        <v>1291</v>
      </c>
      <c r="H21" s="272"/>
      <c r="I21" s="289"/>
      <c r="J21" s="39"/>
      <c r="K21" s="7"/>
    </row>
    <row r="22" spans="1:11" x14ac:dyDescent="0.2">
      <c r="A22" s="500"/>
      <c r="B22" s="523"/>
      <c r="C22" s="278"/>
      <c r="D22" s="278"/>
      <c r="E22" s="278"/>
      <c r="F22" s="288"/>
      <c r="G22" s="501"/>
      <c r="H22" s="272"/>
      <c r="I22" s="289"/>
      <c r="J22" s="39"/>
      <c r="K22" s="7"/>
    </row>
    <row r="23" spans="1:11" x14ac:dyDescent="0.2">
      <c r="A23" s="500"/>
      <c r="B23" s="524"/>
      <c r="C23" s="279"/>
      <c r="D23" s="279"/>
      <c r="E23" s="279"/>
      <c r="F23" s="273"/>
      <c r="G23" s="501"/>
      <c r="H23" s="273"/>
      <c r="I23" s="273"/>
      <c r="J23" s="89"/>
      <c r="K23" s="7"/>
    </row>
    <row r="24" spans="1:11" x14ac:dyDescent="0.2">
      <c r="A24" s="500"/>
      <c r="B24" s="524"/>
      <c r="C24" s="279"/>
      <c r="D24" s="279"/>
      <c r="E24" s="279"/>
      <c r="F24" s="288" t="s">
        <v>1157</v>
      </c>
      <c r="G24" s="501" t="s">
        <v>1290</v>
      </c>
      <c r="H24" s="272"/>
      <c r="I24" s="272"/>
      <c r="J24" s="26"/>
      <c r="K24" s="7"/>
    </row>
    <row r="25" spans="1:11" x14ac:dyDescent="0.2">
      <c r="A25" s="500"/>
      <c r="B25" s="524"/>
      <c r="C25" s="279"/>
      <c r="D25" s="279"/>
      <c r="E25" s="279"/>
      <c r="F25" s="288"/>
      <c r="G25" s="501"/>
      <c r="H25" s="272"/>
      <c r="I25" s="272"/>
      <c r="J25" s="26"/>
      <c r="K25" s="7"/>
    </row>
    <row r="26" spans="1:11" x14ac:dyDescent="0.2">
      <c r="A26" s="500"/>
      <c r="B26" s="524"/>
      <c r="C26" s="279"/>
      <c r="D26" s="279"/>
      <c r="E26" s="279"/>
      <c r="F26" s="273"/>
      <c r="G26" s="501"/>
      <c r="H26" s="273"/>
      <c r="I26" s="273"/>
      <c r="J26" s="89"/>
      <c r="K26" s="7"/>
    </row>
    <row r="27" spans="1:11" x14ac:dyDescent="0.2">
      <c r="A27" s="500"/>
      <c r="B27" s="524"/>
      <c r="C27" s="279"/>
      <c r="D27" s="279"/>
      <c r="E27" s="279"/>
      <c r="F27" s="288" t="s">
        <v>1158</v>
      </c>
      <c r="G27" s="501" t="s">
        <v>1289</v>
      </c>
      <c r="H27" s="272"/>
      <c r="I27" s="272"/>
      <c r="J27" s="26"/>
      <c r="K27" s="7"/>
    </row>
    <row r="28" spans="1:11" x14ac:dyDescent="0.2">
      <c r="A28" s="500"/>
      <c r="B28" s="524"/>
      <c r="C28" s="279"/>
      <c r="D28" s="279"/>
      <c r="E28" s="279"/>
      <c r="F28" s="288"/>
      <c r="G28" s="501"/>
      <c r="H28" s="272"/>
      <c r="I28" s="272"/>
      <c r="J28" s="26"/>
      <c r="K28" s="7"/>
    </row>
    <row r="29" spans="1:11" x14ac:dyDescent="0.2">
      <c r="A29" s="500"/>
      <c r="B29" s="524"/>
      <c r="C29" s="279"/>
      <c r="D29" s="279"/>
      <c r="E29" s="279"/>
      <c r="F29" s="273"/>
      <c r="G29" s="501"/>
      <c r="H29" s="273"/>
      <c r="I29" s="273"/>
      <c r="J29" s="89"/>
      <c r="K29" s="7"/>
    </row>
    <row r="30" spans="1:11" x14ac:dyDescent="0.2">
      <c r="A30" s="500"/>
      <c r="B30" s="524"/>
      <c r="C30" s="279"/>
      <c r="D30" s="279"/>
      <c r="E30" s="279"/>
      <c r="F30" s="288" t="s">
        <v>1159</v>
      </c>
      <c r="G30" s="501" t="s">
        <v>1288</v>
      </c>
      <c r="H30" s="272"/>
      <c r="I30" s="289"/>
      <c r="J30" s="39"/>
      <c r="K30" s="7"/>
    </row>
    <row r="31" spans="1:11" x14ac:dyDescent="0.2">
      <c r="A31" s="500"/>
      <c r="B31" s="524"/>
      <c r="C31" s="279"/>
      <c r="D31" s="279"/>
      <c r="E31" s="279"/>
      <c r="F31" s="288"/>
      <c r="G31" s="501"/>
      <c r="H31" s="272"/>
      <c r="I31" s="289"/>
      <c r="J31" s="39"/>
      <c r="K31" s="7"/>
    </row>
    <row r="32" spans="1:11" x14ac:dyDescent="0.2">
      <c r="A32" s="500"/>
      <c r="B32" s="524"/>
      <c r="C32" s="279"/>
      <c r="D32" s="279"/>
      <c r="E32" s="279"/>
      <c r="F32" s="273"/>
      <c r="G32" s="501"/>
      <c r="H32" s="273"/>
      <c r="I32" s="273"/>
      <c r="J32" s="89"/>
      <c r="K32" s="37"/>
    </row>
    <row r="33" spans="1:11" x14ac:dyDescent="0.2">
      <c r="A33" s="500"/>
      <c r="B33" s="524"/>
      <c r="C33" s="279"/>
      <c r="D33" s="279"/>
      <c r="E33" s="279"/>
      <c r="F33" s="288" t="s">
        <v>1160</v>
      </c>
      <c r="G33" s="501" t="s">
        <v>1287</v>
      </c>
      <c r="H33" s="272"/>
      <c r="I33" s="272"/>
      <c r="J33" s="26"/>
      <c r="K33" s="37"/>
    </row>
    <row r="34" spans="1:11" x14ac:dyDescent="0.2">
      <c r="A34" s="500"/>
      <c r="B34" s="524"/>
      <c r="C34" s="279"/>
      <c r="D34" s="279"/>
      <c r="E34" s="279"/>
      <c r="F34" s="288"/>
      <c r="G34" s="501"/>
      <c r="H34" s="272"/>
      <c r="I34" s="272"/>
      <c r="J34" s="26"/>
      <c r="K34" s="37"/>
    </row>
    <row r="35" spans="1:11" x14ac:dyDescent="0.2">
      <c r="A35" s="500"/>
      <c r="B35" s="524"/>
      <c r="C35" s="279"/>
      <c r="D35" s="279"/>
      <c r="E35" s="279"/>
      <c r="F35" s="273"/>
      <c r="G35" s="501"/>
      <c r="H35" s="273"/>
      <c r="I35" s="273"/>
      <c r="J35" s="89"/>
      <c r="K35" s="37"/>
    </row>
    <row r="36" spans="1:11" x14ac:dyDescent="0.25">
      <c r="A36" s="500"/>
      <c r="B36" s="524"/>
      <c r="C36" s="279"/>
      <c r="D36" s="279"/>
      <c r="E36" s="279"/>
      <c r="F36" s="288" t="s">
        <v>1161</v>
      </c>
      <c r="G36" s="501" t="s">
        <v>1286</v>
      </c>
      <c r="H36" s="272"/>
      <c r="I36" s="272"/>
      <c r="J36" s="26"/>
      <c r="K36" s="104"/>
    </row>
    <row r="37" spans="1:11" x14ac:dyDescent="0.25">
      <c r="A37" s="500"/>
      <c r="B37" s="524"/>
      <c r="C37" s="279"/>
      <c r="D37" s="279"/>
      <c r="E37" s="279"/>
      <c r="F37" s="288"/>
      <c r="G37" s="501"/>
      <c r="H37" s="272"/>
      <c r="I37" s="272"/>
      <c r="J37" s="26"/>
      <c r="K37" s="104"/>
    </row>
    <row r="38" spans="1:11" x14ac:dyDescent="0.25">
      <c r="A38" s="500"/>
      <c r="B38" s="524"/>
      <c r="C38" s="279"/>
      <c r="D38" s="279"/>
      <c r="E38" s="279"/>
      <c r="F38" s="273"/>
      <c r="G38" s="501"/>
      <c r="H38" s="273"/>
      <c r="I38" s="273"/>
      <c r="J38" s="89"/>
      <c r="K38" s="33"/>
    </row>
    <row r="39" spans="1:11" x14ac:dyDescent="0.25">
      <c r="A39" s="500"/>
      <c r="B39" s="517" t="s">
        <v>1162</v>
      </c>
      <c r="C39" s="280" t="s">
        <v>1292</v>
      </c>
      <c r="D39" s="280"/>
      <c r="E39" s="280"/>
      <c r="F39" s="288" t="s">
        <v>1163</v>
      </c>
      <c r="G39" s="501" t="s">
        <v>1209</v>
      </c>
      <c r="H39" s="272"/>
      <c r="I39" s="272"/>
      <c r="J39" s="26"/>
      <c r="K39" s="33"/>
    </row>
    <row r="40" spans="1:11" x14ac:dyDescent="0.25">
      <c r="A40" s="500"/>
      <c r="B40" s="517"/>
      <c r="C40" s="280"/>
      <c r="D40" s="280"/>
      <c r="E40" s="280"/>
      <c r="F40" s="288"/>
      <c r="G40" s="501"/>
      <c r="H40" s="272"/>
      <c r="I40" s="272"/>
      <c r="J40" s="26"/>
      <c r="K40" s="33"/>
    </row>
    <row r="41" spans="1:11" x14ac:dyDescent="0.25">
      <c r="A41" s="500"/>
      <c r="B41" s="518"/>
      <c r="C41" s="281"/>
      <c r="D41" s="281"/>
      <c r="E41" s="281"/>
      <c r="F41" s="273"/>
      <c r="G41" s="501"/>
      <c r="H41" s="273"/>
      <c r="I41" s="273"/>
      <c r="J41" s="89"/>
      <c r="K41" s="33"/>
    </row>
    <row r="42" spans="1:11" x14ac:dyDescent="0.25">
      <c r="A42" s="500"/>
      <c r="B42" s="518"/>
      <c r="C42" s="281"/>
      <c r="D42" s="281"/>
      <c r="E42" s="281"/>
      <c r="F42" s="288" t="s">
        <v>1164</v>
      </c>
      <c r="G42" s="501" t="s">
        <v>1210</v>
      </c>
      <c r="H42" s="272"/>
      <c r="I42" s="272"/>
      <c r="J42" s="26"/>
      <c r="K42" s="33"/>
    </row>
    <row r="43" spans="1:11" x14ac:dyDescent="0.25">
      <c r="A43" s="500"/>
      <c r="B43" s="518"/>
      <c r="C43" s="281"/>
      <c r="D43" s="281"/>
      <c r="E43" s="281"/>
      <c r="F43" s="288"/>
      <c r="G43" s="501"/>
      <c r="H43" s="272"/>
      <c r="I43" s="272"/>
      <c r="J43" s="26"/>
      <c r="K43" s="33"/>
    </row>
    <row r="44" spans="1:11" x14ac:dyDescent="0.25">
      <c r="A44" s="500"/>
      <c r="B44" s="518"/>
      <c r="C44" s="281"/>
      <c r="D44" s="281"/>
      <c r="E44" s="281"/>
      <c r="F44" s="273"/>
      <c r="G44" s="501"/>
      <c r="H44" s="273"/>
      <c r="I44" s="273"/>
      <c r="J44" s="89"/>
      <c r="K44" s="33"/>
    </row>
    <row r="45" spans="1:11" x14ac:dyDescent="0.25">
      <c r="A45" s="500"/>
      <c r="B45" s="518"/>
      <c r="C45" s="281"/>
      <c r="D45" s="281"/>
      <c r="E45" s="281"/>
      <c r="F45" s="288" t="s">
        <v>1165</v>
      </c>
      <c r="G45" s="501" t="s">
        <v>1211</v>
      </c>
      <c r="H45" s="272"/>
      <c r="I45" s="272"/>
      <c r="J45" s="26"/>
      <c r="K45" s="33"/>
    </row>
    <row r="46" spans="1:11" x14ac:dyDescent="0.25">
      <c r="A46" s="500"/>
      <c r="B46" s="518"/>
      <c r="C46" s="281"/>
      <c r="D46" s="281"/>
      <c r="E46" s="281"/>
      <c r="F46" s="288"/>
      <c r="G46" s="501"/>
      <c r="H46" s="272"/>
      <c r="I46" s="272"/>
      <c r="J46" s="26"/>
      <c r="K46" s="33"/>
    </row>
    <row r="47" spans="1:11" x14ac:dyDescent="0.25">
      <c r="A47" s="500"/>
      <c r="B47" s="518"/>
      <c r="C47" s="281"/>
      <c r="D47" s="281"/>
      <c r="E47" s="281"/>
      <c r="F47" s="273"/>
      <c r="G47" s="501"/>
      <c r="H47" s="273"/>
      <c r="I47" s="273"/>
      <c r="J47" s="89"/>
      <c r="K47" s="33"/>
    </row>
    <row r="48" spans="1:11" x14ac:dyDescent="0.25">
      <c r="A48" s="500"/>
      <c r="B48" s="518"/>
      <c r="C48" s="281"/>
      <c r="D48" s="281"/>
      <c r="E48" s="281"/>
      <c r="F48" s="288" t="s">
        <v>1166</v>
      </c>
      <c r="G48" s="501" t="s">
        <v>1212</v>
      </c>
      <c r="H48" s="272"/>
      <c r="I48" s="272"/>
      <c r="J48" s="26"/>
      <c r="K48" s="33"/>
    </row>
    <row r="49" spans="1:11" x14ac:dyDescent="0.25">
      <c r="A49" s="500"/>
      <c r="B49" s="518"/>
      <c r="C49" s="281"/>
      <c r="D49" s="281"/>
      <c r="E49" s="281"/>
      <c r="F49" s="288"/>
      <c r="G49" s="501"/>
      <c r="H49" s="272"/>
      <c r="I49" s="272"/>
      <c r="J49" s="26"/>
      <c r="K49" s="33"/>
    </row>
    <row r="50" spans="1:11" x14ac:dyDescent="0.25">
      <c r="A50" s="500"/>
      <c r="B50" s="518"/>
      <c r="C50" s="281"/>
      <c r="D50" s="281"/>
      <c r="E50" s="281"/>
      <c r="F50" s="273"/>
      <c r="G50" s="501"/>
      <c r="H50" s="273"/>
      <c r="I50" s="273"/>
      <c r="J50" s="89"/>
      <c r="K50" s="33"/>
    </row>
    <row r="51" spans="1:11" x14ac:dyDescent="0.25">
      <c r="A51" s="500"/>
      <c r="B51" s="518"/>
      <c r="C51" s="281"/>
      <c r="D51" s="281"/>
      <c r="E51" s="281"/>
      <c r="F51" s="288" t="s">
        <v>1167</v>
      </c>
      <c r="G51" s="501" t="s">
        <v>1213</v>
      </c>
      <c r="H51" s="272"/>
      <c r="I51" s="272"/>
      <c r="J51" s="26"/>
      <c r="K51" s="33"/>
    </row>
    <row r="52" spans="1:11" x14ac:dyDescent="0.25">
      <c r="A52" s="500"/>
      <c r="B52" s="518"/>
      <c r="C52" s="281"/>
      <c r="D52" s="281"/>
      <c r="E52" s="281"/>
      <c r="F52" s="288"/>
      <c r="G52" s="501"/>
      <c r="H52" s="272"/>
      <c r="I52" s="272"/>
      <c r="J52" s="26"/>
      <c r="K52" s="33"/>
    </row>
    <row r="53" spans="1:11" x14ac:dyDescent="0.25">
      <c r="A53" s="500"/>
      <c r="B53" s="518"/>
      <c r="C53" s="281"/>
      <c r="D53" s="281"/>
      <c r="E53" s="281"/>
      <c r="F53" s="273"/>
      <c r="G53" s="501"/>
      <c r="H53" s="273"/>
      <c r="I53" s="273"/>
      <c r="J53" s="89"/>
      <c r="K53" s="33"/>
    </row>
    <row r="54" spans="1:11" x14ac:dyDescent="0.25">
      <c r="A54" s="500"/>
      <c r="B54" s="518"/>
      <c r="C54" s="281"/>
      <c r="D54" s="281"/>
      <c r="E54" s="281"/>
      <c r="F54" s="288" t="s">
        <v>1168</v>
      </c>
      <c r="G54" s="501" t="s">
        <v>1214</v>
      </c>
      <c r="H54" s="272"/>
      <c r="I54" s="272"/>
      <c r="J54" s="89"/>
      <c r="K54" s="33"/>
    </row>
    <row r="55" spans="1:11" x14ac:dyDescent="0.25">
      <c r="A55" s="500"/>
      <c r="B55" s="518"/>
      <c r="C55" s="281"/>
      <c r="D55" s="281"/>
      <c r="E55" s="281"/>
      <c r="F55" s="288"/>
      <c r="G55" s="501"/>
      <c r="H55" s="272"/>
      <c r="I55" s="272"/>
      <c r="J55" s="89"/>
      <c r="K55" s="33"/>
    </row>
    <row r="56" spans="1:11" x14ac:dyDescent="0.25">
      <c r="A56" s="500"/>
      <c r="B56" s="518"/>
      <c r="C56" s="281"/>
      <c r="D56" s="281"/>
      <c r="E56" s="281"/>
      <c r="F56" s="273"/>
      <c r="G56" s="501"/>
      <c r="H56" s="273"/>
      <c r="I56" s="273"/>
      <c r="J56" s="89"/>
      <c r="K56" s="33"/>
    </row>
    <row r="57" spans="1:11" x14ac:dyDescent="0.25">
      <c r="A57" s="500"/>
      <c r="B57" s="518"/>
      <c r="C57" s="281"/>
      <c r="D57" s="281"/>
      <c r="E57" s="281"/>
      <c r="F57" s="288" t="s">
        <v>1207</v>
      </c>
      <c r="G57" s="501" t="s">
        <v>1215</v>
      </c>
      <c r="H57" s="272"/>
      <c r="I57" s="272"/>
      <c r="J57" s="89"/>
      <c r="K57" s="33"/>
    </row>
    <row r="58" spans="1:11" x14ac:dyDescent="0.25">
      <c r="A58" s="500"/>
      <c r="B58" s="518"/>
      <c r="C58" s="281"/>
      <c r="D58" s="281"/>
      <c r="E58" s="281"/>
      <c r="F58" s="288"/>
      <c r="G58" s="501"/>
      <c r="H58" s="272"/>
      <c r="I58" s="272"/>
      <c r="J58" s="89"/>
      <c r="K58" s="33"/>
    </row>
    <row r="59" spans="1:11" x14ac:dyDescent="0.25">
      <c r="A59" s="500"/>
      <c r="B59" s="518"/>
      <c r="C59" s="281"/>
      <c r="D59" s="281"/>
      <c r="E59" s="281"/>
      <c r="F59" s="273"/>
      <c r="G59" s="501"/>
      <c r="H59" s="273"/>
      <c r="I59" s="273"/>
      <c r="J59" s="89"/>
      <c r="K59" s="33"/>
    </row>
    <row r="60" spans="1:11" x14ac:dyDescent="0.25">
      <c r="A60" s="500"/>
      <c r="B60" s="518"/>
      <c r="C60" s="281"/>
      <c r="D60" s="281"/>
      <c r="E60" s="281"/>
      <c r="F60" s="288" t="s">
        <v>1208</v>
      </c>
      <c r="G60" s="519"/>
      <c r="H60" s="272"/>
      <c r="I60" s="272"/>
      <c r="J60" s="89"/>
      <c r="K60" s="33"/>
    </row>
    <row r="61" spans="1:11" x14ac:dyDescent="0.25">
      <c r="A61" s="500"/>
      <c r="B61" s="518"/>
      <c r="C61" s="281"/>
      <c r="D61" s="281"/>
      <c r="E61" s="281"/>
      <c r="F61" s="288"/>
      <c r="G61" s="520"/>
      <c r="H61" s="272"/>
      <c r="I61" s="272"/>
      <c r="J61" s="89"/>
      <c r="K61" s="33"/>
    </row>
    <row r="62" spans="1:11" x14ac:dyDescent="0.25">
      <c r="A62" s="500"/>
      <c r="B62" s="518"/>
      <c r="C62" s="281"/>
      <c r="D62" s="281"/>
      <c r="E62" s="281"/>
      <c r="F62" s="273"/>
      <c r="G62" s="521"/>
      <c r="H62" s="273"/>
      <c r="I62" s="273"/>
      <c r="J62" s="89"/>
      <c r="K62" s="33"/>
    </row>
    <row r="63" spans="1:11" x14ac:dyDescent="0.25">
      <c r="A63" s="500"/>
      <c r="B63" s="518"/>
      <c r="C63" s="281"/>
      <c r="D63" s="281"/>
      <c r="E63" s="281"/>
      <c r="F63" s="288" t="s">
        <v>1168</v>
      </c>
      <c r="G63" s="501"/>
      <c r="H63" s="272"/>
      <c r="I63" s="272"/>
      <c r="J63" s="26"/>
      <c r="K63" s="33"/>
    </row>
    <row r="64" spans="1:11" x14ac:dyDescent="0.25">
      <c r="A64" s="500"/>
      <c r="B64" s="518"/>
      <c r="C64" s="281"/>
      <c r="D64" s="281"/>
      <c r="E64" s="281"/>
      <c r="F64" s="288"/>
      <c r="G64" s="501"/>
      <c r="H64" s="272"/>
      <c r="I64" s="272"/>
      <c r="J64" s="26"/>
      <c r="K64" s="33"/>
    </row>
    <row r="65" spans="1:11" x14ac:dyDescent="0.25">
      <c r="A65" s="500"/>
      <c r="B65" s="518"/>
      <c r="C65" s="281"/>
      <c r="D65" s="281"/>
      <c r="E65" s="281"/>
      <c r="F65" s="273"/>
      <c r="G65" s="501"/>
      <c r="H65" s="273"/>
      <c r="I65" s="273"/>
      <c r="J65" s="89"/>
      <c r="K65" s="33"/>
    </row>
    <row r="66" spans="1:11" x14ac:dyDescent="0.25">
      <c r="A66" s="500"/>
      <c r="B66" s="510" t="s">
        <v>1169</v>
      </c>
      <c r="C66" s="282" t="s">
        <v>1293</v>
      </c>
      <c r="D66" s="282"/>
      <c r="E66" s="282"/>
      <c r="F66" s="288" t="s">
        <v>1170</v>
      </c>
      <c r="G66" s="501" t="s">
        <v>1310</v>
      </c>
      <c r="H66" s="272"/>
      <c r="I66" s="272"/>
      <c r="J66" s="26"/>
      <c r="K66" s="33"/>
    </row>
    <row r="67" spans="1:11" x14ac:dyDescent="0.25">
      <c r="A67" s="500"/>
      <c r="B67" s="511"/>
      <c r="C67" s="283"/>
      <c r="D67" s="283"/>
      <c r="E67" s="283"/>
      <c r="F67" s="288"/>
      <c r="G67" s="501"/>
      <c r="H67" s="272"/>
      <c r="I67" s="272"/>
      <c r="J67" s="26"/>
      <c r="K67" s="33"/>
    </row>
    <row r="68" spans="1:11" x14ac:dyDescent="0.2">
      <c r="A68" s="500"/>
      <c r="B68" s="512"/>
      <c r="C68" s="284"/>
      <c r="D68" s="284"/>
      <c r="E68" s="284"/>
      <c r="F68" s="273"/>
      <c r="G68" s="501"/>
      <c r="H68" s="273"/>
      <c r="I68" s="273"/>
      <c r="J68" s="89"/>
      <c r="K68" s="34"/>
    </row>
    <row r="69" spans="1:11" x14ac:dyDescent="0.2">
      <c r="A69" s="500"/>
      <c r="B69" s="513"/>
      <c r="C69" s="285"/>
      <c r="D69" s="285"/>
      <c r="E69" s="285"/>
      <c r="F69" s="288" t="s">
        <v>1171</v>
      </c>
      <c r="G69" s="501" t="s">
        <v>1311</v>
      </c>
      <c r="H69" s="272"/>
      <c r="I69" s="272"/>
      <c r="J69" s="26"/>
      <c r="K69" s="34"/>
    </row>
    <row r="70" spans="1:11" x14ac:dyDescent="0.2">
      <c r="A70" s="500"/>
      <c r="B70" s="513"/>
      <c r="C70" s="285"/>
      <c r="D70" s="285"/>
      <c r="E70" s="285"/>
      <c r="F70" s="288"/>
      <c r="G70" s="501"/>
      <c r="H70" s="272"/>
      <c r="I70" s="272"/>
      <c r="J70" s="26"/>
      <c r="K70" s="34"/>
    </row>
    <row r="71" spans="1:11" x14ac:dyDescent="0.2">
      <c r="A71" s="500"/>
      <c r="B71" s="513"/>
      <c r="C71" s="285"/>
      <c r="D71" s="285"/>
      <c r="E71" s="285"/>
      <c r="F71" s="273"/>
      <c r="G71" s="501"/>
      <c r="H71" s="273"/>
      <c r="I71" s="273"/>
      <c r="J71" s="89"/>
      <c r="K71" s="34"/>
    </row>
    <row r="72" spans="1:11" x14ac:dyDescent="0.2">
      <c r="A72" s="500"/>
      <c r="B72" s="513"/>
      <c r="C72" s="285"/>
      <c r="D72" s="285"/>
      <c r="E72" s="285"/>
      <c r="F72" s="288" t="s">
        <v>1172</v>
      </c>
      <c r="G72" s="501" t="s">
        <v>1216</v>
      </c>
      <c r="H72" s="272"/>
      <c r="I72" s="272"/>
      <c r="J72" s="26"/>
      <c r="K72" s="34"/>
    </row>
    <row r="73" spans="1:11" x14ac:dyDescent="0.2">
      <c r="A73" s="500"/>
      <c r="B73" s="513"/>
      <c r="C73" s="285"/>
      <c r="D73" s="285"/>
      <c r="E73" s="285"/>
      <c r="F73" s="288"/>
      <c r="G73" s="501"/>
      <c r="H73" s="272"/>
      <c r="I73" s="272"/>
      <c r="J73" s="26"/>
      <c r="K73" s="34"/>
    </row>
    <row r="74" spans="1:11" x14ac:dyDescent="0.2">
      <c r="A74" s="500"/>
      <c r="B74" s="513"/>
      <c r="C74" s="285"/>
      <c r="D74" s="285"/>
      <c r="E74" s="285"/>
      <c r="F74" s="273"/>
      <c r="G74" s="501"/>
      <c r="H74" s="273"/>
      <c r="I74" s="273"/>
      <c r="J74" s="89"/>
      <c r="K74" s="34"/>
    </row>
    <row r="75" spans="1:11" x14ac:dyDescent="0.2">
      <c r="A75" s="500"/>
      <c r="B75" s="513"/>
      <c r="C75" s="285"/>
      <c r="D75" s="285"/>
      <c r="E75" s="285"/>
      <c r="F75" s="288" t="s">
        <v>1173</v>
      </c>
      <c r="G75" s="501" t="s">
        <v>1217</v>
      </c>
      <c r="H75" s="272"/>
      <c r="I75" s="272"/>
      <c r="J75" s="26"/>
      <c r="K75" s="34"/>
    </row>
    <row r="76" spans="1:11" x14ac:dyDescent="0.2">
      <c r="A76" s="500"/>
      <c r="B76" s="513"/>
      <c r="C76" s="285"/>
      <c r="D76" s="285"/>
      <c r="E76" s="285"/>
      <c r="F76" s="288"/>
      <c r="G76" s="501"/>
      <c r="H76" s="272"/>
      <c r="I76" s="272"/>
      <c r="J76" s="26"/>
      <c r="K76" s="34"/>
    </row>
    <row r="77" spans="1:11" x14ac:dyDescent="0.2">
      <c r="A77" s="500"/>
      <c r="B77" s="513"/>
      <c r="C77" s="285"/>
      <c r="D77" s="285"/>
      <c r="E77" s="285"/>
      <c r="F77" s="273"/>
      <c r="G77" s="501"/>
      <c r="H77" s="273"/>
      <c r="I77" s="273"/>
      <c r="J77" s="89"/>
      <c r="K77" s="100"/>
    </row>
    <row r="78" spans="1:11" x14ac:dyDescent="0.2">
      <c r="A78" s="500"/>
      <c r="B78" s="513"/>
      <c r="C78" s="285"/>
      <c r="D78" s="285"/>
      <c r="E78" s="285"/>
      <c r="F78" s="288" t="s">
        <v>1174</v>
      </c>
      <c r="G78" s="501" t="s">
        <v>1218</v>
      </c>
      <c r="H78" s="272"/>
      <c r="I78" s="272"/>
      <c r="J78" s="26"/>
      <c r="K78" s="100"/>
    </row>
    <row r="79" spans="1:11" x14ac:dyDescent="0.2">
      <c r="A79" s="500"/>
      <c r="B79" s="513"/>
      <c r="C79" s="285"/>
      <c r="D79" s="285"/>
      <c r="E79" s="285"/>
      <c r="F79" s="288"/>
      <c r="G79" s="501"/>
      <c r="H79" s="272"/>
      <c r="I79" s="272"/>
      <c r="J79" s="26"/>
      <c r="K79" s="100"/>
    </row>
    <row r="80" spans="1:11" x14ac:dyDescent="0.2">
      <c r="A80" s="500"/>
      <c r="B80" s="513"/>
      <c r="C80" s="285"/>
      <c r="D80" s="285"/>
      <c r="E80" s="285"/>
      <c r="F80" s="273"/>
      <c r="G80" s="501"/>
      <c r="H80" s="273"/>
      <c r="I80" s="273"/>
      <c r="J80" s="89"/>
      <c r="K80" s="37"/>
    </row>
    <row r="81" spans="1:11" x14ac:dyDescent="0.2">
      <c r="A81" s="500"/>
      <c r="B81" s="513"/>
      <c r="C81" s="285"/>
      <c r="D81" s="285"/>
      <c r="E81" s="285"/>
      <c r="F81" s="288" t="s">
        <v>1175</v>
      </c>
      <c r="G81" s="501" t="s">
        <v>1219</v>
      </c>
      <c r="H81" s="272"/>
      <c r="I81" s="272"/>
      <c r="J81" s="89"/>
      <c r="K81" s="37"/>
    </row>
    <row r="82" spans="1:11" x14ac:dyDescent="0.2">
      <c r="A82" s="500"/>
      <c r="B82" s="513"/>
      <c r="C82" s="285"/>
      <c r="D82" s="285"/>
      <c r="E82" s="285"/>
      <c r="F82" s="288"/>
      <c r="G82" s="501"/>
      <c r="H82" s="272"/>
      <c r="I82" s="272"/>
      <c r="J82" s="89"/>
      <c r="K82" s="37"/>
    </row>
    <row r="83" spans="1:11" x14ac:dyDescent="0.2">
      <c r="A83" s="500"/>
      <c r="B83" s="513"/>
      <c r="C83" s="285"/>
      <c r="D83" s="285"/>
      <c r="E83" s="285"/>
      <c r="F83" s="273"/>
      <c r="G83" s="501"/>
      <c r="H83" s="273"/>
      <c r="I83" s="273"/>
      <c r="J83" s="89"/>
      <c r="K83" s="37"/>
    </row>
    <row r="84" spans="1:11" x14ac:dyDescent="0.2">
      <c r="A84" s="500"/>
      <c r="B84" s="513"/>
      <c r="C84" s="285"/>
      <c r="D84" s="285"/>
      <c r="E84" s="285"/>
      <c r="F84" s="288" t="s">
        <v>1301</v>
      </c>
      <c r="G84" s="501" t="s">
        <v>1220</v>
      </c>
      <c r="H84" s="272"/>
      <c r="I84" s="272"/>
      <c r="J84" s="89"/>
      <c r="K84" s="37"/>
    </row>
    <row r="85" spans="1:11" x14ac:dyDescent="0.2">
      <c r="A85" s="500"/>
      <c r="B85" s="513"/>
      <c r="C85" s="285"/>
      <c r="D85" s="285"/>
      <c r="E85" s="285"/>
      <c r="F85" s="288"/>
      <c r="G85" s="501"/>
      <c r="H85" s="272"/>
      <c r="I85" s="272"/>
      <c r="J85" s="89"/>
      <c r="K85" s="37"/>
    </row>
    <row r="86" spans="1:11" x14ac:dyDescent="0.2">
      <c r="A86" s="500"/>
      <c r="B86" s="513"/>
      <c r="C86" s="285"/>
      <c r="D86" s="285"/>
      <c r="E86" s="285"/>
      <c r="F86" s="273"/>
      <c r="G86" s="501"/>
      <c r="H86" s="273"/>
      <c r="I86" s="273"/>
      <c r="J86" s="89"/>
      <c r="K86" s="37"/>
    </row>
    <row r="87" spans="1:11" x14ac:dyDescent="0.2">
      <c r="A87" s="500"/>
      <c r="B87" s="513"/>
      <c r="C87" s="285"/>
      <c r="D87" s="285"/>
      <c r="E87" s="285"/>
      <c r="F87" s="288" t="s">
        <v>1302</v>
      </c>
      <c r="G87" s="501" t="s">
        <v>1221</v>
      </c>
      <c r="H87" s="272"/>
      <c r="I87" s="272"/>
      <c r="J87" s="89"/>
      <c r="K87" s="37"/>
    </row>
    <row r="88" spans="1:11" x14ac:dyDescent="0.2">
      <c r="A88" s="500"/>
      <c r="B88" s="513"/>
      <c r="C88" s="285"/>
      <c r="D88" s="285"/>
      <c r="E88" s="285"/>
      <c r="F88" s="288"/>
      <c r="G88" s="501"/>
      <c r="H88" s="272"/>
      <c r="I88" s="272"/>
      <c r="J88" s="89"/>
      <c r="K88" s="37"/>
    </row>
    <row r="89" spans="1:11" x14ac:dyDescent="0.2">
      <c r="A89" s="500"/>
      <c r="B89" s="513"/>
      <c r="C89" s="285"/>
      <c r="D89" s="285"/>
      <c r="E89" s="285"/>
      <c r="F89" s="273"/>
      <c r="G89" s="501"/>
      <c r="H89" s="273"/>
      <c r="I89" s="273"/>
      <c r="J89" s="89"/>
      <c r="K89" s="37"/>
    </row>
    <row r="90" spans="1:11" x14ac:dyDescent="0.2">
      <c r="A90" s="500"/>
      <c r="B90" s="513"/>
      <c r="C90" s="285"/>
      <c r="D90" s="285"/>
      <c r="E90" s="285"/>
      <c r="F90" s="288" t="s">
        <v>1303</v>
      </c>
      <c r="G90" s="501" t="s">
        <v>1222</v>
      </c>
      <c r="H90" s="272"/>
      <c r="I90" s="272"/>
      <c r="J90" s="89"/>
      <c r="K90" s="37"/>
    </row>
    <row r="91" spans="1:11" x14ac:dyDescent="0.2">
      <c r="A91" s="500"/>
      <c r="B91" s="513"/>
      <c r="C91" s="285"/>
      <c r="D91" s="285"/>
      <c r="E91" s="285"/>
      <c r="F91" s="288"/>
      <c r="G91" s="501"/>
      <c r="H91" s="272"/>
      <c r="I91" s="272"/>
      <c r="J91" s="89"/>
      <c r="K91" s="37"/>
    </row>
    <row r="92" spans="1:11" x14ac:dyDescent="0.2">
      <c r="A92" s="500"/>
      <c r="B92" s="513"/>
      <c r="C92" s="285"/>
      <c r="D92" s="285"/>
      <c r="E92" s="285"/>
      <c r="F92" s="273"/>
      <c r="G92" s="501"/>
      <c r="H92" s="273"/>
      <c r="I92" s="273"/>
      <c r="J92" s="89"/>
      <c r="K92" s="37"/>
    </row>
    <row r="93" spans="1:11" x14ac:dyDescent="0.2">
      <c r="A93" s="500"/>
      <c r="B93" s="513"/>
      <c r="C93" s="285"/>
      <c r="D93" s="285"/>
      <c r="E93" s="285"/>
      <c r="F93" s="288" t="s">
        <v>1304</v>
      </c>
      <c r="G93" s="501" t="s">
        <v>1223</v>
      </c>
      <c r="H93" s="272"/>
      <c r="I93" s="272"/>
      <c r="J93" s="89"/>
      <c r="K93" s="37"/>
    </row>
    <row r="94" spans="1:11" x14ac:dyDescent="0.2">
      <c r="A94" s="500"/>
      <c r="B94" s="513"/>
      <c r="C94" s="285"/>
      <c r="D94" s="285"/>
      <c r="E94" s="285"/>
      <c r="F94" s="288"/>
      <c r="G94" s="501"/>
      <c r="H94" s="272"/>
      <c r="I94" s="272"/>
      <c r="J94" s="89"/>
      <c r="K94" s="37"/>
    </row>
    <row r="95" spans="1:11" x14ac:dyDescent="0.2">
      <c r="A95" s="500"/>
      <c r="B95" s="513"/>
      <c r="C95" s="285"/>
      <c r="D95" s="285"/>
      <c r="E95" s="285"/>
      <c r="F95" s="273"/>
      <c r="G95" s="501"/>
      <c r="H95" s="273"/>
      <c r="I95" s="273"/>
      <c r="J95" s="89"/>
      <c r="K95" s="37"/>
    </row>
    <row r="96" spans="1:11" x14ac:dyDescent="0.2">
      <c r="A96" s="500"/>
      <c r="B96" s="513"/>
      <c r="C96" s="285"/>
      <c r="D96" s="285"/>
      <c r="E96" s="285"/>
      <c r="F96" s="288" t="s">
        <v>1305</v>
      </c>
      <c r="G96" s="501" t="s">
        <v>1224</v>
      </c>
      <c r="H96" s="272"/>
      <c r="I96" s="272"/>
      <c r="J96" s="89"/>
      <c r="K96" s="37"/>
    </row>
    <row r="97" spans="1:11" x14ac:dyDescent="0.2">
      <c r="A97" s="500"/>
      <c r="B97" s="513"/>
      <c r="C97" s="285"/>
      <c r="D97" s="285"/>
      <c r="E97" s="285"/>
      <c r="F97" s="288"/>
      <c r="G97" s="501"/>
      <c r="H97" s="272"/>
      <c r="I97" s="272"/>
      <c r="J97" s="89"/>
      <c r="K97" s="37"/>
    </row>
    <row r="98" spans="1:11" x14ac:dyDescent="0.2">
      <c r="A98" s="500"/>
      <c r="B98" s="513"/>
      <c r="C98" s="285"/>
      <c r="D98" s="285"/>
      <c r="E98" s="285"/>
      <c r="F98" s="273"/>
      <c r="G98" s="501"/>
      <c r="H98" s="273"/>
      <c r="I98" s="273"/>
      <c r="J98" s="89"/>
      <c r="K98" s="37"/>
    </row>
    <row r="99" spans="1:11" x14ac:dyDescent="0.2">
      <c r="A99" s="500"/>
      <c r="B99" s="513"/>
      <c r="C99" s="285"/>
      <c r="D99" s="285"/>
      <c r="E99" s="285"/>
      <c r="F99" s="288" t="s">
        <v>1306</v>
      </c>
      <c r="G99" s="501" t="s">
        <v>1225</v>
      </c>
      <c r="H99" s="272"/>
      <c r="I99" s="272"/>
      <c r="J99" s="89"/>
      <c r="K99" s="37"/>
    </row>
    <row r="100" spans="1:11" x14ac:dyDescent="0.2">
      <c r="A100" s="500"/>
      <c r="B100" s="513"/>
      <c r="C100" s="285"/>
      <c r="D100" s="285"/>
      <c r="E100" s="285"/>
      <c r="F100" s="288"/>
      <c r="G100" s="501"/>
      <c r="H100" s="272"/>
      <c r="I100" s="272"/>
      <c r="J100" s="89"/>
      <c r="K100" s="37"/>
    </row>
    <row r="101" spans="1:11" x14ac:dyDescent="0.2">
      <c r="A101" s="500"/>
      <c r="B101" s="513"/>
      <c r="C101" s="285"/>
      <c r="D101" s="285"/>
      <c r="E101" s="285"/>
      <c r="F101" s="273"/>
      <c r="G101" s="501"/>
      <c r="H101" s="273"/>
      <c r="I101" s="273"/>
      <c r="J101" s="89"/>
      <c r="K101" s="37"/>
    </row>
    <row r="102" spans="1:11" x14ac:dyDescent="0.2">
      <c r="A102" s="500"/>
      <c r="B102" s="513"/>
      <c r="C102" s="285"/>
      <c r="D102" s="285"/>
      <c r="E102" s="285"/>
      <c r="F102" s="288" t="s">
        <v>1307</v>
      </c>
      <c r="G102" s="501" t="s">
        <v>1226</v>
      </c>
      <c r="H102" s="272"/>
      <c r="I102" s="272"/>
      <c r="J102" s="89"/>
      <c r="K102" s="37"/>
    </row>
    <row r="103" spans="1:11" x14ac:dyDescent="0.2">
      <c r="A103" s="500"/>
      <c r="B103" s="513"/>
      <c r="C103" s="285"/>
      <c r="D103" s="285"/>
      <c r="E103" s="285"/>
      <c r="F103" s="288"/>
      <c r="G103" s="501"/>
      <c r="H103" s="272"/>
      <c r="I103" s="272"/>
      <c r="J103" s="89"/>
      <c r="K103" s="37"/>
    </row>
    <row r="104" spans="1:11" x14ac:dyDescent="0.2">
      <c r="A104" s="500"/>
      <c r="B104" s="513"/>
      <c r="C104" s="285"/>
      <c r="D104" s="285"/>
      <c r="E104" s="285"/>
      <c r="F104" s="273"/>
      <c r="G104" s="501"/>
      <c r="H104" s="273"/>
      <c r="I104" s="273"/>
      <c r="J104" s="89"/>
      <c r="K104" s="37"/>
    </row>
    <row r="105" spans="1:11" x14ac:dyDescent="0.2">
      <c r="A105" s="500"/>
      <c r="B105" s="513"/>
      <c r="C105" s="285"/>
      <c r="D105" s="285"/>
      <c r="E105" s="285"/>
      <c r="F105" s="288" t="s">
        <v>1308</v>
      </c>
      <c r="G105" s="501" t="s">
        <v>1314</v>
      </c>
      <c r="H105" s="272"/>
      <c r="I105" s="272"/>
      <c r="J105" s="89"/>
      <c r="K105" s="37"/>
    </row>
    <row r="106" spans="1:11" x14ac:dyDescent="0.2">
      <c r="A106" s="500"/>
      <c r="B106" s="513"/>
      <c r="C106" s="285"/>
      <c r="D106" s="285"/>
      <c r="E106" s="285"/>
      <c r="F106" s="288"/>
      <c r="G106" s="501"/>
      <c r="H106" s="272"/>
      <c r="I106" s="272"/>
      <c r="J106" s="89"/>
      <c r="K106" s="37"/>
    </row>
    <row r="107" spans="1:11" x14ac:dyDescent="0.2">
      <c r="A107" s="500"/>
      <c r="B107" s="513"/>
      <c r="C107" s="285"/>
      <c r="D107" s="285"/>
      <c r="E107" s="285"/>
      <c r="F107" s="273"/>
      <c r="G107" s="501"/>
      <c r="H107" s="273"/>
      <c r="I107" s="273"/>
      <c r="J107" s="89"/>
      <c r="K107" s="37"/>
    </row>
    <row r="108" spans="1:11" x14ac:dyDescent="0.2">
      <c r="A108" s="500"/>
      <c r="B108" s="513"/>
      <c r="C108" s="285"/>
      <c r="D108" s="285"/>
      <c r="E108" s="285"/>
      <c r="F108" s="288" t="s">
        <v>1309</v>
      </c>
      <c r="G108" s="501" t="s">
        <v>1313</v>
      </c>
      <c r="H108" s="272"/>
      <c r="I108" s="272"/>
      <c r="J108" s="89"/>
      <c r="K108" s="37"/>
    </row>
    <row r="109" spans="1:11" x14ac:dyDescent="0.2">
      <c r="A109" s="500"/>
      <c r="B109" s="513"/>
      <c r="C109" s="285"/>
      <c r="D109" s="285"/>
      <c r="E109" s="285"/>
      <c r="F109" s="288"/>
      <c r="G109" s="501"/>
      <c r="H109" s="272"/>
      <c r="I109" s="272"/>
      <c r="J109" s="89"/>
      <c r="K109" s="37"/>
    </row>
    <row r="110" spans="1:11" x14ac:dyDescent="0.2">
      <c r="A110" s="500"/>
      <c r="B110" s="513"/>
      <c r="C110" s="285"/>
      <c r="D110" s="285"/>
      <c r="E110" s="285"/>
      <c r="F110" s="273"/>
      <c r="G110" s="501"/>
      <c r="H110" s="273"/>
      <c r="I110" s="273"/>
      <c r="J110" s="89"/>
      <c r="K110" s="37"/>
    </row>
    <row r="111" spans="1:11" ht="15" customHeight="1" x14ac:dyDescent="0.2">
      <c r="A111" s="500"/>
      <c r="B111" s="513"/>
      <c r="C111" s="285"/>
      <c r="D111" s="285"/>
      <c r="E111" s="285"/>
      <c r="F111" s="288" t="s">
        <v>1511</v>
      </c>
      <c r="G111" s="501" t="s">
        <v>1312</v>
      </c>
      <c r="H111" s="272"/>
      <c r="I111" s="272"/>
      <c r="J111" s="26"/>
      <c r="K111" s="34"/>
    </row>
    <row r="112" spans="1:11" x14ac:dyDescent="0.2">
      <c r="A112" s="500"/>
      <c r="B112" s="513"/>
      <c r="C112" s="285"/>
      <c r="D112" s="285"/>
      <c r="E112" s="285"/>
      <c r="F112" s="288"/>
      <c r="G112" s="501"/>
      <c r="H112" s="272"/>
      <c r="I112" s="272"/>
      <c r="J112" s="26"/>
      <c r="K112" s="34"/>
    </row>
    <row r="113" spans="1:11" x14ac:dyDescent="0.2">
      <c r="A113" s="500"/>
      <c r="B113" s="513"/>
      <c r="C113" s="285"/>
      <c r="D113" s="285"/>
      <c r="E113" s="285"/>
      <c r="F113" s="273"/>
      <c r="G113" s="501"/>
      <c r="H113" s="273"/>
      <c r="I113" s="273"/>
      <c r="J113" s="89"/>
      <c r="K113" s="100"/>
    </row>
    <row r="114" spans="1:11" x14ac:dyDescent="0.25">
      <c r="A114" s="500"/>
      <c r="B114" s="510" t="s">
        <v>1176</v>
      </c>
      <c r="C114" s="282" t="s">
        <v>1315</v>
      </c>
      <c r="D114" s="282"/>
      <c r="E114" s="282"/>
      <c r="F114" s="288" t="s">
        <v>1177</v>
      </c>
      <c r="G114" s="501" t="s">
        <v>1227</v>
      </c>
      <c r="H114" s="272"/>
      <c r="I114" s="272"/>
      <c r="J114" s="26"/>
      <c r="K114" s="33"/>
    </row>
    <row r="115" spans="1:11" x14ac:dyDescent="0.25">
      <c r="A115" s="500"/>
      <c r="B115" s="511"/>
      <c r="C115" s="283"/>
      <c r="D115" s="283"/>
      <c r="E115" s="283"/>
      <c r="F115" s="288"/>
      <c r="G115" s="501"/>
      <c r="H115" s="272"/>
      <c r="I115" s="272"/>
      <c r="J115" s="26"/>
      <c r="K115" s="33"/>
    </row>
    <row r="116" spans="1:11" x14ac:dyDescent="0.2">
      <c r="A116" s="500"/>
      <c r="B116" s="512"/>
      <c r="C116" s="284"/>
      <c r="D116" s="284"/>
      <c r="E116" s="284"/>
      <c r="F116" s="273"/>
      <c r="G116" s="501"/>
      <c r="H116" s="273"/>
      <c r="I116" s="273"/>
      <c r="J116" s="89"/>
      <c r="K116" s="34"/>
    </row>
    <row r="117" spans="1:11" x14ac:dyDescent="0.2">
      <c r="A117" s="500"/>
      <c r="B117" s="513"/>
      <c r="C117" s="285"/>
      <c r="D117" s="285"/>
      <c r="E117" s="285"/>
      <c r="F117" s="288" t="s">
        <v>1178</v>
      </c>
      <c r="G117" s="501" t="s">
        <v>1228</v>
      </c>
      <c r="H117" s="272"/>
      <c r="I117" s="272"/>
      <c r="J117" s="26"/>
      <c r="K117" s="34"/>
    </row>
    <row r="118" spans="1:11" x14ac:dyDescent="0.2">
      <c r="A118" s="500"/>
      <c r="B118" s="513"/>
      <c r="C118" s="285"/>
      <c r="D118" s="285"/>
      <c r="E118" s="285"/>
      <c r="F118" s="288"/>
      <c r="G118" s="501"/>
      <c r="H118" s="272"/>
      <c r="I118" s="272"/>
      <c r="J118" s="26"/>
      <c r="K118" s="34"/>
    </row>
    <row r="119" spans="1:11" x14ac:dyDescent="0.2">
      <c r="A119" s="500"/>
      <c r="B119" s="513"/>
      <c r="C119" s="285"/>
      <c r="D119" s="285"/>
      <c r="E119" s="285"/>
      <c r="F119" s="273"/>
      <c r="G119" s="501"/>
      <c r="H119" s="273"/>
      <c r="I119" s="273"/>
      <c r="J119" s="89"/>
      <c r="K119" s="34"/>
    </row>
    <row r="120" spans="1:11" x14ac:dyDescent="0.2">
      <c r="A120" s="500"/>
      <c r="B120" s="513"/>
      <c r="C120" s="285"/>
      <c r="D120" s="285"/>
      <c r="E120" s="285"/>
      <c r="F120" s="288" t="s">
        <v>1179</v>
      </c>
      <c r="G120" s="501" t="s">
        <v>1229</v>
      </c>
      <c r="H120" s="272"/>
      <c r="I120" s="272"/>
      <c r="J120" s="26"/>
      <c r="K120" s="34"/>
    </row>
    <row r="121" spans="1:11" x14ac:dyDescent="0.2">
      <c r="A121" s="500"/>
      <c r="B121" s="513"/>
      <c r="C121" s="285"/>
      <c r="D121" s="285"/>
      <c r="E121" s="285"/>
      <c r="F121" s="288"/>
      <c r="G121" s="501"/>
      <c r="H121" s="272"/>
      <c r="I121" s="272"/>
      <c r="J121" s="26"/>
      <c r="K121" s="34"/>
    </row>
    <row r="122" spans="1:11" x14ac:dyDescent="0.2">
      <c r="A122" s="500"/>
      <c r="B122" s="513"/>
      <c r="C122" s="285"/>
      <c r="D122" s="285"/>
      <c r="E122" s="285"/>
      <c r="F122" s="273"/>
      <c r="G122" s="501"/>
      <c r="H122" s="273"/>
      <c r="I122" s="273"/>
      <c r="J122" s="89"/>
      <c r="K122" s="34"/>
    </row>
    <row r="123" spans="1:11" x14ac:dyDescent="0.2">
      <c r="A123" s="500"/>
      <c r="B123" s="513"/>
      <c r="C123" s="285"/>
      <c r="D123" s="285"/>
      <c r="E123" s="285"/>
      <c r="F123" s="288" t="s">
        <v>1180</v>
      </c>
      <c r="G123" s="501" t="s">
        <v>1230</v>
      </c>
      <c r="H123" s="272"/>
      <c r="I123" s="272"/>
      <c r="J123" s="26"/>
      <c r="K123" s="34"/>
    </row>
    <row r="124" spans="1:11" x14ac:dyDescent="0.2">
      <c r="A124" s="500"/>
      <c r="B124" s="513"/>
      <c r="C124" s="285"/>
      <c r="D124" s="285"/>
      <c r="E124" s="285"/>
      <c r="F124" s="288"/>
      <c r="G124" s="501"/>
      <c r="H124" s="272"/>
      <c r="I124" s="272"/>
      <c r="J124" s="26"/>
      <c r="K124" s="34"/>
    </row>
    <row r="125" spans="1:11" x14ac:dyDescent="0.2">
      <c r="A125" s="500"/>
      <c r="B125" s="513"/>
      <c r="C125" s="285"/>
      <c r="D125" s="285"/>
      <c r="E125" s="285"/>
      <c r="F125" s="273"/>
      <c r="G125" s="501"/>
      <c r="H125" s="273"/>
      <c r="I125" s="273"/>
      <c r="J125" s="89"/>
      <c r="K125" s="100"/>
    </row>
    <row r="126" spans="1:11" x14ac:dyDescent="0.2">
      <c r="A126" s="500"/>
      <c r="B126" s="513"/>
      <c r="C126" s="285"/>
      <c r="D126" s="285"/>
      <c r="E126" s="285"/>
      <c r="F126" s="288" t="s">
        <v>1181</v>
      </c>
      <c r="G126" s="501" t="s">
        <v>1231</v>
      </c>
      <c r="H126" s="272"/>
      <c r="I126" s="272"/>
      <c r="J126" s="26"/>
      <c r="K126" s="100"/>
    </row>
    <row r="127" spans="1:11" x14ac:dyDescent="0.2">
      <c r="A127" s="500"/>
      <c r="B127" s="513"/>
      <c r="C127" s="285"/>
      <c r="D127" s="285"/>
      <c r="E127" s="285"/>
      <c r="F127" s="288"/>
      <c r="G127" s="501"/>
      <c r="H127" s="272"/>
      <c r="I127" s="272"/>
      <c r="J127" s="26"/>
      <c r="K127" s="100"/>
    </row>
    <row r="128" spans="1:11" x14ac:dyDescent="0.2">
      <c r="A128" s="500"/>
      <c r="B128" s="513"/>
      <c r="C128" s="285"/>
      <c r="D128" s="285"/>
      <c r="E128" s="285"/>
      <c r="F128" s="273"/>
      <c r="G128" s="501"/>
      <c r="H128" s="273"/>
      <c r="I128" s="273"/>
      <c r="J128" s="89"/>
      <c r="K128" s="37"/>
    </row>
    <row r="129" spans="1:11" x14ac:dyDescent="0.2">
      <c r="A129" s="500"/>
      <c r="B129" s="513"/>
      <c r="C129" s="285"/>
      <c r="D129" s="285"/>
      <c r="E129" s="285"/>
      <c r="F129" s="288" t="s">
        <v>1182</v>
      </c>
      <c r="G129" s="501" t="s">
        <v>1232</v>
      </c>
      <c r="H129" s="272"/>
      <c r="I129" s="272"/>
      <c r="J129" s="89"/>
      <c r="K129" s="37"/>
    </row>
    <row r="130" spans="1:11" x14ac:dyDescent="0.2">
      <c r="A130" s="500"/>
      <c r="B130" s="513"/>
      <c r="C130" s="285"/>
      <c r="D130" s="285"/>
      <c r="E130" s="285"/>
      <c r="F130" s="288"/>
      <c r="G130" s="501"/>
      <c r="H130" s="272"/>
      <c r="I130" s="272"/>
      <c r="J130" s="89"/>
      <c r="K130" s="37"/>
    </row>
    <row r="131" spans="1:11" x14ac:dyDescent="0.2">
      <c r="A131" s="500"/>
      <c r="B131" s="513"/>
      <c r="C131" s="285"/>
      <c r="D131" s="285"/>
      <c r="E131" s="285"/>
      <c r="F131" s="273"/>
      <c r="G131" s="501"/>
      <c r="H131" s="273"/>
      <c r="I131" s="273"/>
      <c r="J131" s="89"/>
      <c r="K131" s="37"/>
    </row>
    <row r="132" spans="1:11" x14ac:dyDescent="0.2">
      <c r="A132" s="500"/>
      <c r="B132" s="513"/>
      <c r="C132" s="285"/>
      <c r="D132" s="285"/>
      <c r="E132" s="285"/>
      <c r="F132" s="288" t="s">
        <v>1294</v>
      </c>
      <c r="G132" s="501" t="s">
        <v>1233</v>
      </c>
      <c r="H132" s="272"/>
      <c r="I132" s="272"/>
      <c r="J132" s="89"/>
      <c r="K132" s="37"/>
    </row>
    <row r="133" spans="1:11" x14ac:dyDescent="0.2">
      <c r="A133" s="500"/>
      <c r="B133" s="513"/>
      <c r="C133" s="285"/>
      <c r="D133" s="285"/>
      <c r="E133" s="285"/>
      <c r="F133" s="288"/>
      <c r="G133" s="501"/>
      <c r="H133" s="272"/>
      <c r="I133" s="272"/>
      <c r="J133" s="89"/>
      <c r="K133" s="37"/>
    </row>
    <row r="134" spans="1:11" x14ac:dyDescent="0.2">
      <c r="A134" s="500"/>
      <c r="B134" s="513"/>
      <c r="C134" s="285"/>
      <c r="D134" s="285"/>
      <c r="E134" s="285"/>
      <c r="F134" s="273"/>
      <c r="G134" s="501"/>
      <c r="H134" s="273"/>
      <c r="I134" s="273"/>
      <c r="J134" s="89"/>
      <c r="K134" s="37"/>
    </row>
    <row r="135" spans="1:11" x14ac:dyDescent="0.2">
      <c r="A135" s="500"/>
      <c r="B135" s="513"/>
      <c r="C135" s="285"/>
      <c r="D135" s="285"/>
      <c r="E135" s="285"/>
      <c r="F135" s="288" t="s">
        <v>1295</v>
      </c>
      <c r="G135" s="501" t="s">
        <v>1234</v>
      </c>
      <c r="H135" s="272"/>
      <c r="I135" s="272"/>
      <c r="J135" s="89"/>
      <c r="K135" s="37"/>
    </row>
    <row r="136" spans="1:11" x14ac:dyDescent="0.2">
      <c r="A136" s="500"/>
      <c r="B136" s="513"/>
      <c r="C136" s="285"/>
      <c r="D136" s="285"/>
      <c r="E136" s="285"/>
      <c r="F136" s="288"/>
      <c r="G136" s="501"/>
      <c r="H136" s="272"/>
      <c r="I136" s="272"/>
      <c r="J136" s="89"/>
      <c r="K136" s="37"/>
    </row>
    <row r="137" spans="1:11" x14ac:dyDescent="0.2">
      <c r="A137" s="500"/>
      <c r="B137" s="513"/>
      <c r="C137" s="285"/>
      <c r="D137" s="285"/>
      <c r="E137" s="285"/>
      <c r="F137" s="273"/>
      <c r="G137" s="501"/>
      <c r="H137" s="273"/>
      <c r="I137" s="273"/>
      <c r="J137" s="89"/>
      <c r="K137" s="37"/>
    </row>
    <row r="138" spans="1:11" x14ac:dyDescent="0.2">
      <c r="A138" s="500"/>
      <c r="B138" s="513"/>
      <c r="C138" s="285"/>
      <c r="D138" s="285"/>
      <c r="E138" s="285"/>
      <c r="F138" s="288" t="s">
        <v>1296</v>
      </c>
      <c r="G138" s="501" t="s">
        <v>1235</v>
      </c>
      <c r="H138" s="272"/>
      <c r="I138" s="272"/>
      <c r="J138" s="89"/>
      <c r="K138" s="37"/>
    </row>
    <row r="139" spans="1:11" x14ac:dyDescent="0.2">
      <c r="A139" s="500"/>
      <c r="B139" s="513"/>
      <c r="C139" s="285"/>
      <c r="D139" s="285"/>
      <c r="E139" s="285"/>
      <c r="F139" s="288"/>
      <c r="G139" s="501"/>
      <c r="H139" s="272"/>
      <c r="I139" s="272"/>
      <c r="J139" s="89"/>
      <c r="K139" s="37"/>
    </row>
    <row r="140" spans="1:11" x14ac:dyDescent="0.2">
      <c r="A140" s="500"/>
      <c r="B140" s="513"/>
      <c r="C140" s="285"/>
      <c r="D140" s="285"/>
      <c r="E140" s="285"/>
      <c r="F140" s="273"/>
      <c r="G140" s="501"/>
      <c r="H140" s="273"/>
      <c r="I140" s="273"/>
      <c r="J140" s="89"/>
      <c r="K140" s="37"/>
    </row>
    <row r="141" spans="1:11" x14ac:dyDescent="0.2">
      <c r="A141" s="500"/>
      <c r="B141" s="513"/>
      <c r="C141" s="285"/>
      <c r="D141" s="285"/>
      <c r="E141" s="285"/>
      <c r="F141" s="288" t="s">
        <v>1297</v>
      </c>
      <c r="G141" s="501" t="s">
        <v>1236</v>
      </c>
      <c r="H141" s="272"/>
      <c r="I141" s="272"/>
      <c r="J141" s="89"/>
      <c r="K141" s="37"/>
    </row>
    <row r="142" spans="1:11" x14ac:dyDescent="0.2">
      <c r="A142" s="500"/>
      <c r="B142" s="513"/>
      <c r="C142" s="285"/>
      <c r="D142" s="285"/>
      <c r="E142" s="285"/>
      <c r="F142" s="288"/>
      <c r="G142" s="501"/>
      <c r="H142" s="272"/>
      <c r="I142" s="272"/>
      <c r="J142" s="89"/>
      <c r="K142" s="37"/>
    </row>
    <row r="143" spans="1:11" x14ac:dyDescent="0.2">
      <c r="A143" s="500"/>
      <c r="B143" s="513"/>
      <c r="C143" s="285"/>
      <c r="D143" s="285"/>
      <c r="E143" s="285"/>
      <c r="F143" s="273"/>
      <c r="G143" s="501"/>
      <c r="H143" s="273"/>
      <c r="I143" s="273"/>
      <c r="J143" s="89"/>
      <c r="K143" s="37"/>
    </row>
    <row r="144" spans="1:11" x14ac:dyDescent="0.2">
      <c r="A144" s="500"/>
      <c r="B144" s="513"/>
      <c r="C144" s="285"/>
      <c r="D144" s="285"/>
      <c r="E144" s="285"/>
      <c r="F144" s="288" t="s">
        <v>1298</v>
      </c>
      <c r="G144" s="501" t="s">
        <v>1237</v>
      </c>
      <c r="H144" s="272"/>
      <c r="I144" s="272"/>
      <c r="J144" s="89"/>
      <c r="K144" s="37"/>
    </row>
    <row r="145" spans="1:11" x14ac:dyDescent="0.2">
      <c r="A145" s="500"/>
      <c r="B145" s="513"/>
      <c r="C145" s="285"/>
      <c r="D145" s="285"/>
      <c r="E145" s="285"/>
      <c r="F145" s="288"/>
      <c r="G145" s="501"/>
      <c r="H145" s="272"/>
      <c r="I145" s="272"/>
      <c r="J145" s="89"/>
      <c r="K145" s="37"/>
    </row>
    <row r="146" spans="1:11" x14ac:dyDescent="0.2">
      <c r="A146" s="500"/>
      <c r="B146" s="513"/>
      <c r="C146" s="285"/>
      <c r="D146" s="285"/>
      <c r="E146" s="285"/>
      <c r="F146" s="273"/>
      <c r="G146" s="501"/>
      <c r="H146" s="273"/>
      <c r="I146" s="273"/>
      <c r="J146" s="89"/>
      <c r="K146" s="37"/>
    </row>
    <row r="147" spans="1:11" x14ac:dyDescent="0.2">
      <c r="A147" s="500"/>
      <c r="B147" s="513"/>
      <c r="C147" s="285"/>
      <c r="D147" s="285"/>
      <c r="E147" s="285"/>
      <c r="F147" s="288" t="s">
        <v>1299</v>
      </c>
      <c r="G147" s="272"/>
      <c r="H147" s="272"/>
      <c r="I147" s="272"/>
      <c r="J147" s="89"/>
      <c r="K147" s="37"/>
    </row>
    <row r="148" spans="1:11" x14ac:dyDescent="0.2">
      <c r="A148" s="500"/>
      <c r="B148" s="513"/>
      <c r="C148" s="285"/>
      <c r="D148" s="285"/>
      <c r="E148" s="285"/>
      <c r="F148" s="288"/>
      <c r="G148" s="272"/>
      <c r="H148" s="272"/>
      <c r="I148" s="272"/>
      <c r="J148" s="89"/>
      <c r="K148" s="37"/>
    </row>
    <row r="149" spans="1:11" x14ac:dyDescent="0.2">
      <c r="A149" s="500"/>
      <c r="B149" s="513"/>
      <c r="C149" s="285"/>
      <c r="D149" s="285"/>
      <c r="E149" s="285"/>
      <c r="F149" s="273"/>
      <c r="G149" s="273"/>
      <c r="H149" s="273"/>
      <c r="I149" s="273"/>
      <c r="J149" s="89"/>
      <c r="K149" s="37"/>
    </row>
    <row r="150" spans="1:11" x14ac:dyDescent="0.2">
      <c r="A150" s="500"/>
      <c r="B150" s="513"/>
      <c r="C150" s="285"/>
      <c r="D150" s="285"/>
      <c r="E150" s="285"/>
      <c r="F150" s="288" t="s">
        <v>1300</v>
      </c>
      <c r="G150" s="272"/>
      <c r="H150" s="272"/>
      <c r="I150" s="272"/>
      <c r="J150" s="89"/>
      <c r="K150" s="37"/>
    </row>
    <row r="151" spans="1:11" x14ac:dyDescent="0.2">
      <c r="A151" s="500"/>
      <c r="B151" s="513"/>
      <c r="C151" s="285"/>
      <c r="D151" s="285"/>
      <c r="E151" s="285"/>
      <c r="F151" s="288"/>
      <c r="G151" s="272"/>
      <c r="H151" s="272"/>
      <c r="I151" s="272"/>
      <c r="J151" s="89"/>
      <c r="K151" s="37"/>
    </row>
    <row r="152" spans="1:11" x14ac:dyDescent="0.2">
      <c r="A152" s="500"/>
      <c r="B152" s="513"/>
      <c r="C152" s="285"/>
      <c r="D152" s="285"/>
      <c r="E152" s="285"/>
      <c r="F152" s="273"/>
      <c r="G152" s="273"/>
      <c r="H152" s="273"/>
      <c r="I152" s="273"/>
      <c r="J152" s="89"/>
      <c r="K152" s="37"/>
    </row>
    <row r="153" spans="1:11" x14ac:dyDescent="0.25">
      <c r="A153" s="500"/>
      <c r="B153" s="510" t="s">
        <v>830</v>
      </c>
      <c r="C153" s="282" t="s">
        <v>1316</v>
      </c>
      <c r="D153" s="282"/>
      <c r="E153" s="282"/>
      <c r="F153" s="288" t="s">
        <v>1183</v>
      </c>
      <c r="G153" s="508" t="s">
        <v>1238</v>
      </c>
      <c r="H153" s="272"/>
      <c r="I153" s="272"/>
      <c r="J153" s="26"/>
      <c r="K153" s="33"/>
    </row>
    <row r="154" spans="1:11" x14ac:dyDescent="0.25">
      <c r="A154" s="500"/>
      <c r="B154" s="511"/>
      <c r="C154" s="283"/>
      <c r="D154" s="283"/>
      <c r="E154" s="283"/>
      <c r="F154" s="288"/>
      <c r="G154" s="508"/>
      <c r="H154" s="272"/>
      <c r="I154" s="272"/>
      <c r="J154" s="26"/>
      <c r="K154" s="33"/>
    </row>
    <row r="155" spans="1:11" x14ac:dyDescent="0.2">
      <c r="A155" s="500"/>
      <c r="B155" s="512"/>
      <c r="C155" s="284"/>
      <c r="D155" s="284"/>
      <c r="E155" s="284"/>
      <c r="F155" s="273"/>
      <c r="G155" s="508"/>
      <c r="H155" s="273"/>
      <c r="I155" s="273"/>
      <c r="J155" s="89"/>
      <c r="K155" s="34"/>
    </row>
    <row r="156" spans="1:11" x14ac:dyDescent="0.2">
      <c r="A156" s="500"/>
      <c r="B156" s="513"/>
      <c r="C156" s="285"/>
      <c r="D156" s="285"/>
      <c r="E156" s="285"/>
      <c r="F156" s="288" t="s">
        <v>1184</v>
      </c>
      <c r="G156" s="508" t="s">
        <v>1239</v>
      </c>
      <c r="H156" s="272"/>
      <c r="I156" s="272"/>
      <c r="J156" s="26"/>
      <c r="K156" s="34"/>
    </row>
    <row r="157" spans="1:11" x14ac:dyDescent="0.2">
      <c r="A157" s="500"/>
      <c r="B157" s="513"/>
      <c r="C157" s="285"/>
      <c r="D157" s="285"/>
      <c r="E157" s="285"/>
      <c r="F157" s="288"/>
      <c r="G157" s="508"/>
      <c r="H157" s="272"/>
      <c r="I157" s="272"/>
      <c r="J157" s="26"/>
      <c r="K157" s="34"/>
    </row>
    <row r="158" spans="1:11" x14ac:dyDescent="0.2">
      <c r="A158" s="500"/>
      <c r="B158" s="513"/>
      <c r="C158" s="285"/>
      <c r="D158" s="285"/>
      <c r="E158" s="285"/>
      <c r="F158" s="273"/>
      <c r="G158" s="508"/>
      <c r="H158" s="273"/>
      <c r="I158" s="273"/>
      <c r="J158" s="89"/>
      <c r="K158" s="34"/>
    </row>
    <row r="159" spans="1:11" x14ac:dyDescent="0.2">
      <c r="A159" s="500"/>
      <c r="B159" s="513"/>
      <c r="C159" s="285"/>
      <c r="D159" s="285"/>
      <c r="E159" s="285"/>
      <c r="F159" s="288" t="s">
        <v>1185</v>
      </c>
      <c r="G159" s="508" t="s">
        <v>1240</v>
      </c>
      <c r="H159" s="272"/>
      <c r="I159" s="272"/>
      <c r="J159" s="26"/>
      <c r="K159" s="34"/>
    </row>
    <row r="160" spans="1:11" x14ac:dyDescent="0.2">
      <c r="A160" s="500"/>
      <c r="B160" s="513"/>
      <c r="C160" s="285"/>
      <c r="D160" s="285"/>
      <c r="E160" s="285"/>
      <c r="F160" s="288"/>
      <c r="G160" s="508"/>
      <c r="H160" s="272"/>
      <c r="I160" s="272"/>
      <c r="J160" s="26"/>
      <c r="K160" s="34"/>
    </row>
    <row r="161" spans="1:11" x14ac:dyDescent="0.2">
      <c r="A161" s="500"/>
      <c r="B161" s="513"/>
      <c r="C161" s="285"/>
      <c r="D161" s="285"/>
      <c r="E161" s="285"/>
      <c r="F161" s="273"/>
      <c r="G161" s="508"/>
      <c r="H161" s="273"/>
      <c r="I161" s="273"/>
      <c r="J161" s="89"/>
      <c r="K161" s="34"/>
    </row>
    <row r="162" spans="1:11" x14ac:dyDescent="0.2">
      <c r="A162" s="500"/>
      <c r="B162" s="513"/>
      <c r="C162" s="285"/>
      <c r="D162" s="285"/>
      <c r="E162" s="285"/>
      <c r="F162" s="288" t="s">
        <v>1186</v>
      </c>
      <c r="G162" s="508" t="s">
        <v>1241</v>
      </c>
      <c r="H162" s="272"/>
      <c r="I162" s="272"/>
      <c r="J162" s="26"/>
      <c r="K162" s="34"/>
    </row>
    <row r="163" spans="1:11" x14ac:dyDescent="0.2">
      <c r="A163" s="500"/>
      <c r="B163" s="513"/>
      <c r="C163" s="285"/>
      <c r="D163" s="285"/>
      <c r="E163" s="285"/>
      <c r="F163" s="288"/>
      <c r="G163" s="508"/>
      <c r="H163" s="272"/>
      <c r="I163" s="272"/>
      <c r="J163" s="26"/>
      <c r="K163" s="34"/>
    </row>
    <row r="164" spans="1:11" x14ac:dyDescent="0.2">
      <c r="A164" s="500"/>
      <c r="B164" s="513"/>
      <c r="C164" s="285"/>
      <c r="D164" s="285"/>
      <c r="E164" s="285"/>
      <c r="F164" s="273"/>
      <c r="G164" s="508"/>
      <c r="H164" s="273"/>
      <c r="I164" s="273"/>
      <c r="J164" s="89"/>
      <c r="K164" s="100"/>
    </row>
    <row r="165" spans="1:11" x14ac:dyDescent="0.2">
      <c r="A165" s="500"/>
      <c r="B165" s="513"/>
      <c r="C165" s="285"/>
      <c r="D165" s="285"/>
      <c r="E165" s="285"/>
      <c r="F165" s="288" t="s">
        <v>1187</v>
      </c>
      <c r="G165" s="508" t="s">
        <v>1242</v>
      </c>
      <c r="H165" s="272"/>
      <c r="I165" s="272"/>
      <c r="J165" s="26"/>
      <c r="K165" s="100"/>
    </row>
    <row r="166" spans="1:11" x14ac:dyDescent="0.2">
      <c r="A166" s="500"/>
      <c r="B166" s="513"/>
      <c r="C166" s="285"/>
      <c r="D166" s="285"/>
      <c r="E166" s="285"/>
      <c r="F166" s="288"/>
      <c r="G166" s="508"/>
      <c r="H166" s="272"/>
      <c r="I166" s="272"/>
      <c r="J166" s="26"/>
      <c r="K166" s="100"/>
    </row>
    <row r="167" spans="1:11" x14ac:dyDescent="0.2">
      <c r="A167" s="500"/>
      <c r="B167" s="513"/>
      <c r="C167" s="285"/>
      <c r="D167" s="285"/>
      <c r="E167" s="285"/>
      <c r="F167" s="273"/>
      <c r="G167" s="508"/>
      <c r="H167" s="273"/>
      <c r="I167" s="273"/>
      <c r="J167" s="89"/>
      <c r="K167" s="37"/>
    </row>
    <row r="168" spans="1:11" x14ac:dyDescent="0.2">
      <c r="A168" s="500"/>
      <c r="B168" s="513"/>
      <c r="C168" s="285"/>
      <c r="D168" s="285"/>
      <c r="E168" s="285"/>
      <c r="F168" s="288" t="s">
        <v>1188</v>
      </c>
      <c r="G168" s="508" t="s">
        <v>1243</v>
      </c>
      <c r="H168" s="272"/>
      <c r="I168" s="272"/>
      <c r="J168" s="89"/>
      <c r="K168" s="37"/>
    </row>
    <row r="169" spans="1:11" x14ac:dyDescent="0.2">
      <c r="A169" s="500"/>
      <c r="B169" s="513"/>
      <c r="C169" s="285"/>
      <c r="D169" s="285"/>
      <c r="E169" s="285"/>
      <c r="F169" s="288"/>
      <c r="G169" s="508"/>
      <c r="H169" s="272"/>
      <c r="I169" s="272"/>
      <c r="J169" s="89"/>
      <c r="K169" s="37"/>
    </row>
    <row r="170" spans="1:11" x14ac:dyDescent="0.2">
      <c r="A170" s="500"/>
      <c r="B170" s="513"/>
      <c r="C170" s="285"/>
      <c r="D170" s="285"/>
      <c r="E170" s="285"/>
      <c r="F170" s="273"/>
      <c r="G170" s="508"/>
      <c r="H170" s="273"/>
      <c r="I170" s="273"/>
      <c r="J170" s="89"/>
      <c r="K170" s="37"/>
    </row>
    <row r="171" spans="1:11" x14ac:dyDescent="0.2">
      <c r="A171" s="500"/>
      <c r="B171" s="513"/>
      <c r="C171" s="285"/>
      <c r="D171" s="285"/>
      <c r="E171" s="285"/>
      <c r="F171" s="288" t="s">
        <v>1317</v>
      </c>
      <c r="G171" s="508" t="s">
        <v>1244</v>
      </c>
      <c r="H171" s="272"/>
      <c r="I171" s="272"/>
      <c r="J171" s="89"/>
      <c r="K171" s="37"/>
    </row>
    <row r="172" spans="1:11" x14ac:dyDescent="0.2">
      <c r="A172" s="500"/>
      <c r="B172" s="513"/>
      <c r="C172" s="285"/>
      <c r="D172" s="285"/>
      <c r="E172" s="285"/>
      <c r="F172" s="288"/>
      <c r="G172" s="508"/>
      <c r="H172" s="272"/>
      <c r="I172" s="272"/>
      <c r="J172" s="89"/>
      <c r="K172" s="37"/>
    </row>
    <row r="173" spans="1:11" x14ac:dyDescent="0.2">
      <c r="A173" s="500"/>
      <c r="B173" s="513"/>
      <c r="C173" s="285"/>
      <c r="D173" s="285"/>
      <c r="E173" s="285"/>
      <c r="F173" s="273"/>
      <c r="G173" s="508"/>
      <c r="H173" s="273"/>
      <c r="I173" s="273"/>
      <c r="J173" s="89"/>
      <c r="K173" s="37"/>
    </row>
    <row r="174" spans="1:11" x14ac:dyDescent="0.2">
      <c r="A174" s="500"/>
      <c r="B174" s="513"/>
      <c r="C174" s="285"/>
      <c r="D174" s="285"/>
      <c r="E174" s="285"/>
      <c r="F174" s="288" t="s">
        <v>1318</v>
      </c>
      <c r="G174" s="508" t="s">
        <v>1245</v>
      </c>
      <c r="H174" s="272"/>
      <c r="I174" s="272"/>
      <c r="J174" s="89"/>
      <c r="K174" s="37"/>
    </row>
    <row r="175" spans="1:11" x14ac:dyDescent="0.2">
      <c r="A175" s="500"/>
      <c r="B175" s="513"/>
      <c r="C175" s="285"/>
      <c r="D175" s="285"/>
      <c r="E175" s="285"/>
      <c r="F175" s="288"/>
      <c r="G175" s="508"/>
      <c r="H175" s="272"/>
      <c r="I175" s="272"/>
      <c r="J175" s="89"/>
      <c r="K175" s="37"/>
    </row>
    <row r="176" spans="1:11" x14ac:dyDescent="0.2">
      <c r="A176" s="500"/>
      <c r="B176" s="513"/>
      <c r="C176" s="285"/>
      <c r="D176" s="285"/>
      <c r="E176" s="285"/>
      <c r="F176" s="273"/>
      <c r="G176" s="508"/>
      <c r="H176" s="273"/>
      <c r="I176" s="273"/>
      <c r="J176" s="89"/>
      <c r="K176" s="37"/>
    </row>
    <row r="177" spans="1:16" x14ac:dyDescent="0.2">
      <c r="A177" s="500"/>
      <c r="B177" s="513"/>
      <c r="C177" s="285"/>
      <c r="D177" s="285"/>
      <c r="E177" s="285"/>
      <c r="F177" s="288" t="s">
        <v>1319</v>
      </c>
      <c r="G177" s="502" t="s">
        <v>1246</v>
      </c>
      <c r="H177" s="272"/>
      <c r="I177" s="272"/>
      <c r="J177" s="89"/>
      <c r="K177" s="37"/>
    </row>
    <row r="178" spans="1:16" x14ac:dyDescent="0.2">
      <c r="A178" s="500"/>
      <c r="B178" s="513"/>
      <c r="C178" s="285"/>
      <c r="D178" s="285"/>
      <c r="E178" s="285"/>
      <c r="F178" s="288"/>
      <c r="G178" s="503"/>
      <c r="H178" s="272"/>
      <c r="I178" s="272"/>
      <c r="J178" s="89"/>
      <c r="K178" s="37"/>
    </row>
    <row r="179" spans="1:16" x14ac:dyDescent="0.2">
      <c r="A179" s="500"/>
      <c r="B179" s="513"/>
      <c r="C179" s="285"/>
      <c r="D179" s="285"/>
      <c r="E179" s="285"/>
      <c r="F179" s="273"/>
      <c r="G179" s="503"/>
      <c r="H179" s="273"/>
      <c r="I179" s="273"/>
      <c r="J179" s="89"/>
      <c r="K179" s="37"/>
    </row>
    <row r="180" spans="1:16" x14ac:dyDescent="0.2">
      <c r="A180" s="500"/>
      <c r="B180" s="513"/>
      <c r="C180" s="285"/>
      <c r="D180" s="285"/>
      <c r="E180" s="285"/>
      <c r="F180" s="288" t="s">
        <v>1320</v>
      </c>
      <c r="G180" s="502" t="s">
        <v>1247</v>
      </c>
      <c r="H180" s="272"/>
      <c r="I180" s="272"/>
      <c r="J180" s="89"/>
      <c r="K180" s="37"/>
    </row>
    <row r="181" spans="1:16" x14ac:dyDescent="0.2">
      <c r="A181" s="500"/>
      <c r="B181" s="513"/>
      <c r="C181" s="285"/>
      <c r="D181" s="285"/>
      <c r="E181" s="285"/>
      <c r="F181" s="288"/>
      <c r="G181" s="503"/>
      <c r="H181" s="272"/>
      <c r="I181" s="272"/>
      <c r="J181" s="89"/>
      <c r="K181" s="37"/>
    </row>
    <row r="182" spans="1:16" x14ac:dyDescent="0.2">
      <c r="A182" s="500"/>
      <c r="B182" s="513"/>
      <c r="C182" s="285"/>
      <c r="D182" s="285"/>
      <c r="E182" s="285"/>
      <c r="F182" s="273"/>
      <c r="G182" s="503"/>
      <c r="H182" s="273"/>
      <c r="I182" s="273"/>
      <c r="J182" s="89"/>
      <c r="K182" s="37"/>
    </row>
    <row r="183" spans="1:16" x14ac:dyDescent="0.2">
      <c r="A183" s="500"/>
      <c r="B183" s="513"/>
      <c r="C183" s="285"/>
      <c r="D183" s="285"/>
      <c r="E183" s="285"/>
      <c r="F183" s="288" t="s">
        <v>1321</v>
      </c>
      <c r="G183" s="502" t="s">
        <v>1248</v>
      </c>
      <c r="H183" s="272"/>
      <c r="I183" s="272"/>
      <c r="J183" s="89"/>
      <c r="K183" s="37"/>
    </row>
    <row r="184" spans="1:16" x14ac:dyDescent="0.2">
      <c r="A184" s="500"/>
      <c r="B184" s="513"/>
      <c r="C184" s="285"/>
      <c r="D184" s="285"/>
      <c r="E184" s="285"/>
      <c r="F184" s="288"/>
      <c r="G184" s="503"/>
      <c r="H184" s="272"/>
      <c r="I184" s="272"/>
      <c r="J184" s="89"/>
      <c r="K184" s="37"/>
    </row>
    <row r="185" spans="1:16" x14ac:dyDescent="0.2">
      <c r="A185" s="500"/>
      <c r="B185" s="513"/>
      <c r="C185" s="285"/>
      <c r="D185" s="285"/>
      <c r="E185" s="285"/>
      <c r="F185" s="273"/>
      <c r="G185" s="504"/>
      <c r="H185" s="273"/>
      <c r="I185" s="273"/>
      <c r="J185" s="89"/>
      <c r="K185" s="37"/>
      <c r="O185" s="509"/>
      <c r="P185" s="501"/>
    </row>
    <row r="186" spans="1:16" x14ac:dyDescent="0.2">
      <c r="A186" s="500"/>
      <c r="B186" s="513"/>
      <c r="C186" s="285"/>
      <c r="D186" s="285"/>
      <c r="E186" s="285"/>
      <c r="F186" s="288" t="s">
        <v>1322</v>
      </c>
      <c r="G186" s="514" t="s">
        <v>1249</v>
      </c>
      <c r="H186" s="272"/>
      <c r="I186" s="272"/>
      <c r="J186" s="89"/>
      <c r="K186" s="37"/>
      <c r="O186" s="509"/>
      <c r="P186" s="501"/>
    </row>
    <row r="187" spans="1:16" x14ac:dyDescent="0.2">
      <c r="A187" s="500"/>
      <c r="B187" s="513"/>
      <c r="C187" s="285"/>
      <c r="D187" s="285"/>
      <c r="E187" s="285"/>
      <c r="F187" s="288"/>
      <c r="G187" s="515"/>
      <c r="H187" s="272"/>
      <c r="I187" s="272"/>
      <c r="J187" s="89"/>
      <c r="K187" s="37"/>
      <c r="O187" s="509"/>
      <c r="P187" s="501"/>
    </row>
    <row r="188" spans="1:16" x14ac:dyDescent="0.2">
      <c r="A188" s="500"/>
      <c r="B188" s="513"/>
      <c r="C188" s="285"/>
      <c r="D188" s="285"/>
      <c r="E188" s="285"/>
      <c r="F188" s="273"/>
      <c r="G188" s="516"/>
      <c r="H188" s="273"/>
      <c r="I188" s="273"/>
      <c r="J188" s="89"/>
      <c r="K188" s="37"/>
      <c r="O188" s="509"/>
      <c r="P188" s="501"/>
    </row>
    <row r="189" spans="1:16" x14ac:dyDescent="0.2">
      <c r="A189" s="500"/>
      <c r="B189" s="513"/>
      <c r="C189" s="285"/>
      <c r="D189" s="285"/>
      <c r="E189" s="285"/>
      <c r="F189" s="288" t="s">
        <v>1323</v>
      </c>
      <c r="G189" s="502" t="s">
        <v>1250</v>
      </c>
      <c r="H189" s="272"/>
      <c r="I189" s="272"/>
      <c r="J189" s="89"/>
      <c r="K189" s="37"/>
      <c r="O189" s="509"/>
      <c r="P189" s="501"/>
    </row>
    <row r="190" spans="1:16" x14ac:dyDescent="0.2">
      <c r="A190" s="500"/>
      <c r="B190" s="513"/>
      <c r="C190" s="285"/>
      <c r="D190" s="285"/>
      <c r="E190" s="285"/>
      <c r="F190" s="288"/>
      <c r="G190" s="503"/>
      <c r="H190" s="272"/>
      <c r="I190" s="272"/>
      <c r="J190" s="89"/>
      <c r="K190" s="37"/>
      <c r="O190" s="509"/>
      <c r="P190" s="501"/>
    </row>
    <row r="191" spans="1:16" x14ac:dyDescent="0.2">
      <c r="A191" s="500"/>
      <c r="B191" s="513"/>
      <c r="C191" s="285"/>
      <c r="D191" s="285"/>
      <c r="E191" s="285"/>
      <c r="F191" s="273"/>
      <c r="G191" s="503"/>
      <c r="H191" s="273"/>
      <c r="I191" s="273"/>
      <c r="J191" s="89"/>
      <c r="K191" s="37"/>
      <c r="O191" s="509"/>
      <c r="P191" s="501"/>
    </row>
    <row r="192" spans="1:16" x14ac:dyDescent="0.2">
      <c r="A192" s="500"/>
      <c r="B192" s="513"/>
      <c r="C192" s="285"/>
      <c r="D192" s="285"/>
      <c r="E192" s="285"/>
      <c r="F192" s="288" t="s">
        <v>1324</v>
      </c>
      <c r="G192" s="272"/>
      <c r="H192" s="272"/>
      <c r="I192" s="505"/>
      <c r="J192" s="89"/>
      <c r="K192" s="37"/>
      <c r="O192" s="509"/>
      <c r="P192" s="501"/>
    </row>
    <row r="193" spans="1:16" x14ac:dyDescent="0.2">
      <c r="A193" s="500"/>
      <c r="B193" s="513"/>
      <c r="C193" s="285"/>
      <c r="D193" s="285"/>
      <c r="E193" s="285"/>
      <c r="F193" s="288"/>
      <c r="G193" s="272"/>
      <c r="H193" s="272"/>
      <c r="I193" s="506"/>
      <c r="J193" s="89"/>
      <c r="K193" s="37"/>
      <c r="O193" s="509"/>
      <c r="P193" s="501"/>
    </row>
    <row r="194" spans="1:16" x14ac:dyDescent="0.2">
      <c r="A194" s="500"/>
      <c r="B194" s="513"/>
      <c r="C194" s="285"/>
      <c r="D194" s="285"/>
      <c r="E194" s="285"/>
      <c r="F194" s="273"/>
      <c r="G194" s="273"/>
      <c r="H194" s="273"/>
      <c r="I194" s="507"/>
      <c r="J194" s="89"/>
      <c r="K194" s="37"/>
      <c r="O194" s="509"/>
      <c r="P194" s="501"/>
    </row>
    <row r="195" spans="1:16" x14ac:dyDescent="0.25">
      <c r="A195" s="500"/>
      <c r="B195" s="510" t="s">
        <v>831</v>
      </c>
      <c r="C195" s="282" t="s">
        <v>1325</v>
      </c>
      <c r="D195" s="282"/>
      <c r="E195" s="282"/>
      <c r="F195" s="288" t="s">
        <v>1189</v>
      </c>
      <c r="G195" s="501" t="s">
        <v>1251</v>
      </c>
      <c r="H195" s="272"/>
      <c r="I195" s="272"/>
      <c r="J195" s="26"/>
      <c r="K195" s="33"/>
      <c r="O195" s="509"/>
      <c r="P195" s="501"/>
    </row>
    <row r="196" spans="1:16" x14ac:dyDescent="0.25">
      <c r="A196" s="500"/>
      <c r="B196" s="511"/>
      <c r="C196" s="283"/>
      <c r="D196" s="283"/>
      <c r="E196" s="283"/>
      <c r="F196" s="288"/>
      <c r="G196" s="501"/>
      <c r="H196" s="272"/>
      <c r="I196" s="272"/>
      <c r="J196" s="26"/>
      <c r="K196" s="33"/>
      <c r="O196" s="509"/>
      <c r="P196" s="501"/>
    </row>
    <row r="197" spans="1:16" x14ac:dyDescent="0.2">
      <c r="A197" s="500"/>
      <c r="B197" s="512"/>
      <c r="C197" s="284"/>
      <c r="D197" s="284"/>
      <c r="E197" s="284"/>
      <c r="F197" s="273"/>
      <c r="G197" s="501"/>
      <c r="H197" s="273"/>
      <c r="I197" s="273"/>
      <c r="J197" s="89"/>
      <c r="K197" s="34"/>
      <c r="O197" s="509"/>
      <c r="P197" s="501"/>
    </row>
    <row r="198" spans="1:16" x14ac:dyDescent="0.2">
      <c r="A198" s="500"/>
      <c r="B198" s="513"/>
      <c r="C198" s="285"/>
      <c r="D198" s="285"/>
      <c r="E198" s="285"/>
      <c r="F198" s="288" t="s">
        <v>1190</v>
      </c>
      <c r="G198" s="501" t="s">
        <v>1252</v>
      </c>
      <c r="H198" s="272"/>
      <c r="I198" s="272"/>
      <c r="J198" s="26"/>
      <c r="K198" s="34"/>
      <c r="O198" s="509"/>
      <c r="P198" s="501"/>
    </row>
    <row r="199" spans="1:16" x14ac:dyDescent="0.2">
      <c r="A199" s="500"/>
      <c r="B199" s="513"/>
      <c r="C199" s="285"/>
      <c r="D199" s="285"/>
      <c r="E199" s="285"/>
      <c r="F199" s="288"/>
      <c r="G199" s="501"/>
      <c r="H199" s="272"/>
      <c r="I199" s="272"/>
      <c r="J199" s="26"/>
      <c r="K199" s="34"/>
      <c r="O199" s="509"/>
      <c r="P199" s="501"/>
    </row>
    <row r="200" spans="1:16" x14ac:dyDescent="0.2">
      <c r="A200" s="500"/>
      <c r="B200" s="513"/>
      <c r="C200" s="285"/>
      <c r="D200" s="285"/>
      <c r="E200" s="285"/>
      <c r="F200" s="273"/>
      <c r="G200" s="501"/>
      <c r="H200" s="273"/>
      <c r="I200" s="273"/>
      <c r="J200" s="89"/>
      <c r="K200" s="34"/>
      <c r="M200" s="509"/>
      <c r="N200" s="501"/>
      <c r="O200" s="509"/>
      <c r="P200" s="505"/>
    </row>
    <row r="201" spans="1:16" x14ac:dyDescent="0.2">
      <c r="A201" s="500"/>
      <c r="B201" s="513"/>
      <c r="C201" s="285"/>
      <c r="D201" s="285"/>
      <c r="E201" s="285"/>
      <c r="F201" s="288" t="s">
        <v>1191</v>
      </c>
      <c r="G201" s="501" t="s">
        <v>1253</v>
      </c>
      <c r="H201" s="272"/>
      <c r="I201" s="272"/>
      <c r="J201" s="26"/>
      <c r="K201" s="34"/>
      <c r="M201" s="509"/>
      <c r="N201" s="501"/>
      <c r="O201" s="509"/>
      <c r="P201" s="506"/>
    </row>
    <row r="202" spans="1:16" x14ac:dyDescent="0.2">
      <c r="A202" s="500"/>
      <c r="B202" s="513"/>
      <c r="C202" s="285"/>
      <c r="D202" s="285"/>
      <c r="E202" s="285"/>
      <c r="F202" s="288"/>
      <c r="G202" s="501"/>
      <c r="H202" s="272"/>
      <c r="I202" s="272"/>
      <c r="J202" s="26"/>
      <c r="K202" s="34"/>
      <c r="M202" s="509"/>
      <c r="N202" s="501"/>
      <c r="O202" s="509"/>
      <c r="P202" s="507"/>
    </row>
    <row r="203" spans="1:16" x14ac:dyDescent="0.2">
      <c r="A203" s="500"/>
      <c r="B203" s="513"/>
      <c r="C203" s="285"/>
      <c r="D203" s="285"/>
      <c r="E203" s="285"/>
      <c r="F203" s="273"/>
      <c r="G203" s="501"/>
      <c r="H203" s="273"/>
      <c r="I203" s="273"/>
      <c r="J203" s="89"/>
      <c r="K203" s="34"/>
      <c r="M203" s="509"/>
      <c r="N203" s="501"/>
      <c r="O203" s="509"/>
      <c r="P203" s="501"/>
    </row>
    <row r="204" spans="1:16" x14ac:dyDescent="0.2">
      <c r="A204" s="500"/>
      <c r="B204" s="513"/>
      <c r="C204" s="285"/>
      <c r="D204" s="285"/>
      <c r="E204" s="285"/>
      <c r="F204" s="288" t="s">
        <v>1192</v>
      </c>
      <c r="G204" s="501" t="s">
        <v>1254</v>
      </c>
      <c r="H204" s="272"/>
      <c r="I204" s="272"/>
      <c r="J204" s="26"/>
      <c r="K204" s="34"/>
      <c r="M204" s="509"/>
      <c r="N204" s="501"/>
      <c r="O204" s="509"/>
      <c r="P204" s="501"/>
    </row>
    <row r="205" spans="1:16" x14ac:dyDescent="0.2">
      <c r="A205" s="500"/>
      <c r="B205" s="513"/>
      <c r="C205" s="285"/>
      <c r="D205" s="285"/>
      <c r="E205" s="285"/>
      <c r="F205" s="288"/>
      <c r="G205" s="501"/>
      <c r="H205" s="272"/>
      <c r="I205" s="272"/>
      <c r="J205" s="26"/>
      <c r="K205" s="34"/>
      <c r="M205" s="509"/>
      <c r="N205" s="501"/>
      <c r="O205" s="509"/>
      <c r="P205" s="501"/>
    </row>
    <row r="206" spans="1:16" x14ac:dyDescent="0.2">
      <c r="A206" s="500"/>
      <c r="B206" s="513"/>
      <c r="C206" s="285"/>
      <c r="D206" s="285"/>
      <c r="E206" s="285"/>
      <c r="F206" s="273"/>
      <c r="G206" s="501"/>
      <c r="H206" s="273"/>
      <c r="I206" s="273"/>
      <c r="J206" s="89"/>
      <c r="K206" s="100"/>
      <c r="M206" s="509"/>
      <c r="N206" s="501"/>
      <c r="O206" s="509"/>
      <c r="P206" s="501"/>
    </row>
    <row r="207" spans="1:16" x14ac:dyDescent="0.2">
      <c r="A207" s="500"/>
      <c r="B207" s="513"/>
      <c r="C207" s="285"/>
      <c r="D207" s="285"/>
      <c r="E207" s="285"/>
      <c r="F207" s="288" t="s">
        <v>1193</v>
      </c>
      <c r="G207" s="501" t="s">
        <v>1255</v>
      </c>
      <c r="H207" s="272"/>
      <c r="I207" s="272"/>
      <c r="J207" s="26"/>
      <c r="K207" s="100"/>
      <c r="M207" s="509"/>
      <c r="N207" s="501"/>
      <c r="O207" s="509"/>
      <c r="P207" s="501"/>
    </row>
    <row r="208" spans="1:16" x14ac:dyDescent="0.2">
      <c r="A208" s="500"/>
      <c r="B208" s="513"/>
      <c r="C208" s="285"/>
      <c r="D208" s="285"/>
      <c r="E208" s="285"/>
      <c r="F208" s="288"/>
      <c r="G208" s="501"/>
      <c r="H208" s="272"/>
      <c r="I208" s="272"/>
      <c r="J208" s="26"/>
      <c r="K208" s="100"/>
      <c r="M208" s="509"/>
      <c r="N208" s="501"/>
      <c r="O208" s="509"/>
      <c r="P208" s="501"/>
    </row>
    <row r="209" spans="1:16" x14ac:dyDescent="0.2">
      <c r="A209" s="500"/>
      <c r="B209" s="513"/>
      <c r="C209" s="285"/>
      <c r="D209" s="285"/>
      <c r="E209" s="285"/>
      <c r="F209" s="273"/>
      <c r="G209" s="501"/>
      <c r="H209" s="273"/>
      <c r="I209" s="273"/>
      <c r="J209" s="89"/>
      <c r="K209" s="37"/>
      <c r="M209" s="509"/>
      <c r="N209" s="501"/>
      <c r="O209" s="509"/>
      <c r="P209" s="501"/>
    </row>
    <row r="210" spans="1:16" x14ac:dyDescent="0.2">
      <c r="A210" s="500"/>
      <c r="B210" s="513"/>
      <c r="C210" s="285"/>
      <c r="D210" s="285"/>
      <c r="E210" s="285"/>
      <c r="F210" s="288" t="s">
        <v>1194</v>
      </c>
      <c r="G210" s="505" t="s">
        <v>1256</v>
      </c>
      <c r="H210" s="272"/>
      <c r="I210" s="272"/>
      <c r="J210" s="89"/>
      <c r="K210" s="37"/>
      <c r="M210" s="509"/>
      <c r="N210" s="501"/>
      <c r="O210" s="509"/>
      <c r="P210" s="501"/>
    </row>
    <row r="211" spans="1:16" x14ac:dyDescent="0.2">
      <c r="A211" s="500"/>
      <c r="B211" s="513"/>
      <c r="C211" s="285"/>
      <c r="D211" s="285"/>
      <c r="E211" s="285"/>
      <c r="F211" s="288"/>
      <c r="G211" s="506"/>
      <c r="H211" s="272"/>
      <c r="I211" s="272"/>
      <c r="J211" s="89"/>
      <c r="K211" s="37"/>
      <c r="M211" s="509"/>
      <c r="N211" s="501"/>
      <c r="O211" s="509"/>
      <c r="P211" s="501"/>
    </row>
    <row r="212" spans="1:16" x14ac:dyDescent="0.2">
      <c r="A212" s="500"/>
      <c r="B212" s="513"/>
      <c r="C212" s="285"/>
      <c r="D212" s="285"/>
      <c r="E212" s="285"/>
      <c r="F212" s="273"/>
      <c r="G212" s="507"/>
      <c r="H212" s="273"/>
      <c r="I212" s="273"/>
      <c r="J212" s="89"/>
      <c r="K212" s="37"/>
      <c r="M212" s="509"/>
      <c r="N212" s="501"/>
      <c r="O212" s="509"/>
      <c r="P212" s="501"/>
    </row>
    <row r="213" spans="1:16" x14ac:dyDescent="0.2">
      <c r="A213" s="500"/>
      <c r="B213" s="513"/>
      <c r="C213" s="285"/>
      <c r="D213" s="285"/>
      <c r="E213" s="285"/>
      <c r="F213" s="288" t="s">
        <v>1326</v>
      </c>
      <c r="G213" s="501" t="s">
        <v>1257</v>
      </c>
      <c r="H213" s="272"/>
      <c r="I213" s="272"/>
      <c r="J213" s="89"/>
      <c r="K213" s="37"/>
      <c r="M213" s="509"/>
      <c r="N213" s="501"/>
      <c r="O213" s="509"/>
      <c r="P213" s="501"/>
    </row>
    <row r="214" spans="1:16" x14ac:dyDescent="0.2">
      <c r="A214" s="500"/>
      <c r="B214" s="513"/>
      <c r="C214" s="285"/>
      <c r="D214" s="285"/>
      <c r="E214" s="285"/>
      <c r="F214" s="288"/>
      <c r="G214" s="501"/>
      <c r="H214" s="272"/>
      <c r="I214" s="272"/>
      <c r="J214" s="89"/>
      <c r="K214" s="37"/>
      <c r="M214" s="509"/>
      <c r="N214" s="501"/>
      <c r="O214" s="509"/>
      <c r="P214" s="501"/>
    </row>
    <row r="215" spans="1:16" x14ac:dyDescent="0.2">
      <c r="A215" s="500"/>
      <c r="B215" s="513"/>
      <c r="C215" s="285"/>
      <c r="D215" s="285"/>
      <c r="E215" s="285"/>
      <c r="F215" s="273"/>
      <c r="G215" s="501"/>
      <c r="H215" s="273"/>
      <c r="I215" s="273"/>
      <c r="J215" s="89"/>
      <c r="K215" s="37"/>
      <c r="M215" s="509"/>
      <c r="N215" s="501"/>
      <c r="O215" s="509"/>
      <c r="P215" s="501"/>
    </row>
    <row r="216" spans="1:16" x14ac:dyDescent="0.2">
      <c r="A216" s="500"/>
      <c r="B216" s="513"/>
      <c r="C216" s="285"/>
      <c r="D216" s="285"/>
      <c r="E216" s="285"/>
      <c r="F216" s="288" t="s">
        <v>1327</v>
      </c>
      <c r="G216" s="501" t="s">
        <v>1258</v>
      </c>
      <c r="H216" s="272"/>
      <c r="I216" s="272"/>
      <c r="J216" s="89"/>
      <c r="K216" s="37"/>
      <c r="M216" s="509"/>
      <c r="N216" s="501"/>
      <c r="O216" s="509"/>
      <c r="P216" s="501"/>
    </row>
    <row r="217" spans="1:16" x14ac:dyDescent="0.2">
      <c r="A217" s="500"/>
      <c r="B217" s="513"/>
      <c r="C217" s="285"/>
      <c r="D217" s="285"/>
      <c r="E217" s="285"/>
      <c r="F217" s="288"/>
      <c r="G217" s="501"/>
      <c r="H217" s="272"/>
      <c r="I217" s="272"/>
      <c r="J217" s="89"/>
      <c r="K217" s="37"/>
      <c r="M217" s="509"/>
      <c r="N217" s="501"/>
      <c r="O217" s="509"/>
      <c r="P217" s="501"/>
    </row>
    <row r="218" spans="1:16" x14ac:dyDescent="0.2">
      <c r="A218" s="500"/>
      <c r="B218" s="513"/>
      <c r="C218" s="285"/>
      <c r="D218" s="285"/>
      <c r="E218" s="285"/>
      <c r="F218" s="273"/>
      <c r="G218" s="501"/>
      <c r="H218" s="273"/>
      <c r="I218" s="273"/>
      <c r="J218" s="89"/>
      <c r="K218" s="37"/>
      <c r="M218" s="509"/>
      <c r="N218" s="501"/>
      <c r="O218" s="509"/>
      <c r="P218" s="501"/>
    </row>
    <row r="219" spans="1:16" x14ac:dyDescent="0.2">
      <c r="A219" s="500"/>
      <c r="B219" s="513"/>
      <c r="C219" s="285"/>
      <c r="D219" s="285"/>
      <c r="E219" s="285"/>
      <c r="F219" s="288" t="s">
        <v>1328</v>
      </c>
      <c r="G219" s="288" t="s">
        <v>1333</v>
      </c>
      <c r="H219" s="272"/>
      <c r="I219" s="272"/>
      <c r="J219" s="89"/>
      <c r="K219" s="37"/>
      <c r="M219" s="509"/>
      <c r="N219" s="501"/>
      <c r="O219" s="509"/>
      <c r="P219" s="501"/>
    </row>
    <row r="220" spans="1:16" x14ac:dyDescent="0.2">
      <c r="A220" s="500"/>
      <c r="B220" s="513"/>
      <c r="C220" s="285"/>
      <c r="D220" s="285"/>
      <c r="E220" s="285"/>
      <c r="F220" s="288"/>
      <c r="G220" s="272"/>
      <c r="H220" s="272"/>
      <c r="I220" s="272"/>
      <c r="J220" s="89"/>
      <c r="K220" s="37"/>
      <c r="M220" s="509"/>
      <c r="N220" s="501"/>
      <c r="O220" s="509"/>
      <c r="P220" s="501"/>
    </row>
    <row r="221" spans="1:16" x14ac:dyDescent="0.2">
      <c r="A221" s="500"/>
      <c r="B221" s="513"/>
      <c r="C221" s="285"/>
      <c r="D221" s="285"/>
      <c r="E221" s="285"/>
      <c r="F221" s="273"/>
      <c r="G221" s="273"/>
      <c r="H221" s="273"/>
      <c r="I221" s="273"/>
      <c r="J221" s="89"/>
      <c r="K221" s="37"/>
      <c r="M221" s="509"/>
      <c r="N221" s="501"/>
      <c r="O221" s="509"/>
      <c r="P221" s="501"/>
    </row>
    <row r="222" spans="1:16" x14ac:dyDescent="0.2">
      <c r="A222" s="500"/>
      <c r="B222" s="513"/>
      <c r="C222" s="285"/>
      <c r="D222" s="285"/>
      <c r="E222" s="285"/>
      <c r="F222" s="288" t="s">
        <v>1329</v>
      </c>
      <c r="G222" s="501" t="s">
        <v>1259</v>
      </c>
      <c r="H222" s="272"/>
      <c r="I222" s="272"/>
      <c r="J222" s="89"/>
      <c r="K222" s="37"/>
      <c r="M222" s="509"/>
      <c r="N222" s="501"/>
      <c r="O222" s="509"/>
      <c r="P222" s="501"/>
    </row>
    <row r="223" spans="1:16" x14ac:dyDescent="0.2">
      <c r="A223" s="500"/>
      <c r="B223" s="513"/>
      <c r="C223" s="285"/>
      <c r="D223" s="285"/>
      <c r="E223" s="285"/>
      <c r="F223" s="288"/>
      <c r="G223" s="501"/>
      <c r="H223" s="272"/>
      <c r="I223" s="272"/>
      <c r="J223" s="89"/>
      <c r="K223" s="37"/>
      <c r="M223" s="509"/>
      <c r="N223" s="501"/>
      <c r="O223" s="509"/>
      <c r="P223" s="501"/>
    </row>
    <row r="224" spans="1:16" x14ac:dyDescent="0.2">
      <c r="A224" s="500"/>
      <c r="B224" s="513"/>
      <c r="C224" s="285"/>
      <c r="D224" s="285"/>
      <c r="E224" s="285"/>
      <c r="F224" s="273"/>
      <c r="G224" s="501"/>
      <c r="H224" s="273"/>
      <c r="I224" s="273"/>
      <c r="J224" s="89"/>
      <c r="K224" s="37"/>
      <c r="M224" s="509"/>
      <c r="N224" s="501"/>
      <c r="O224" s="509"/>
      <c r="P224" s="501"/>
    </row>
    <row r="225" spans="1:16" x14ac:dyDescent="0.2">
      <c r="A225" s="500"/>
      <c r="B225" s="513"/>
      <c r="C225" s="285"/>
      <c r="D225" s="285"/>
      <c r="E225" s="285"/>
      <c r="F225" s="288" t="s">
        <v>1330</v>
      </c>
      <c r="G225" s="501" t="s">
        <v>1260</v>
      </c>
      <c r="H225" s="272"/>
      <c r="I225" s="272"/>
      <c r="J225" s="89"/>
      <c r="K225" s="37"/>
      <c r="M225" s="509"/>
      <c r="N225" s="501"/>
      <c r="O225" s="509"/>
      <c r="P225" s="501"/>
    </row>
    <row r="226" spans="1:16" x14ac:dyDescent="0.2">
      <c r="A226" s="500"/>
      <c r="B226" s="513"/>
      <c r="C226" s="285"/>
      <c r="D226" s="285"/>
      <c r="E226" s="285"/>
      <c r="F226" s="288"/>
      <c r="G226" s="501"/>
      <c r="H226" s="272"/>
      <c r="I226" s="272"/>
      <c r="J226" s="89"/>
      <c r="K226" s="37"/>
      <c r="M226" s="509"/>
      <c r="N226" s="501"/>
      <c r="O226" s="509"/>
      <c r="P226" s="501"/>
    </row>
    <row r="227" spans="1:16" x14ac:dyDescent="0.2">
      <c r="A227" s="500"/>
      <c r="B227" s="513"/>
      <c r="C227" s="285"/>
      <c r="D227" s="285"/>
      <c r="E227" s="285"/>
      <c r="F227" s="273"/>
      <c r="G227" s="501"/>
      <c r="H227" s="273"/>
      <c r="I227" s="273"/>
      <c r="J227" s="89"/>
      <c r="K227" s="37"/>
      <c r="M227" s="509"/>
      <c r="N227" s="501"/>
      <c r="O227" s="509"/>
      <c r="P227" s="501"/>
    </row>
    <row r="228" spans="1:16" x14ac:dyDescent="0.2">
      <c r="A228" s="500"/>
      <c r="B228" s="513"/>
      <c r="C228" s="285"/>
      <c r="D228" s="285"/>
      <c r="E228" s="285"/>
      <c r="F228" s="288" t="s">
        <v>1331</v>
      </c>
      <c r="G228" s="501" t="s">
        <v>1261</v>
      </c>
      <c r="H228" s="272"/>
      <c r="I228" s="272"/>
      <c r="J228" s="89"/>
      <c r="K228" s="37"/>
      <c r="M228" s="509"/>
      <c r="N228" s="501"/>
      <c r="O228" s="509"/>
      <c r="P228" s="501"/>
    </row>
    <row r="229" spans="1:16" x14ac:dyDescent="0.2">
      <c r="A229" s="500"/>
      <c r="B229" s="513"/>
      <c r="C229" s="285"/>
      <c r="D229" s="285"/>
      <c r="E229" s="285"/>
      <c r="F229" s="288"/>
      <c r="G229" s="501"/>
      <c r="H229" s="272"/>
      <c r="I229" s="272"/>
      <c r="J229" s="89"/>
      <c r="K229" s="37"/>
      <c r="M229" s="509"/>
      <c r="N229" s="501"/>
      <c r="O229" s="509"/>
      <c r="P229" s="501"/>
    </row>
    <row r="230" spans="1:16" x14ac:dyDescent="0.2">
      <c r="A230" s="500"/>
      <c r="B230" s="513"/>
      <c r="C230" s="285"/>
      <c r="D230" s="285"/>
      <c r="E230" s="285"/>
      <c r="F230" s="273"/>
      <c r="G230" s="501"/>
      <c r="H230" s="273"/>
      <c r="I230" s="273"/>
      <c r="J230" s="89"/>
      <c r="K230" s="37"/>
      <c r="O230" s="509"/>
      <c r="P230" s="501"/>
    </row>
    <row r="231" spans="1:16" x14ac:dyDescent="0.2">
      <c r="A231" s="500"/>
      <c r="B231" s="513"/>
      <c r="C231" s="285"/>
      <c r="D231" s="285"/>
      <c r="E231" s="285"/>
      <c r="F231" s="288" t="s">
        <v>1332</v>
      </c>
      <c r="G231" s="501" t="s">
        <v>1262</v>
      </c>
      <c r="H231" s="272"/>
      <c r="I231" s="272"/>
      <c r="J231" s="26"/>
      <c r="K231" s="34"/>
      <c r="O231" s="509"/>
      <c r="P231" s="501"/>
    </row>
    <row r="232" spans="1:16" x14ac:dyDescent="0.2">
      <c r="A232" s="500"/>
      <c r="B232" s="513"/>
      <c r="C232" s="285"/>
      <c r="D232" s="285"/>
      <c r="E232" s="285"/>
      <c r="F232" s="288"/>
      <c r="G232" s="501"/>
      <c r="H232" s="272"/>
      <c r="I232" s="272"/>
      <c r="J232" s="26"/>
      <c r="K232" s="34"/>
      <c r="O232" s="509"/>
      <c r="P232" s="501"/>
    </row>
    <row r="233" spans="1:16" x14ac:dyDescent="0.2">
      <c r="A233" s="500"/>
      <c r="B233" s="513"/>
      <c r="C233" s="285"/>
      <c r="D233" s="285"/>
      <c r="E233" s="285"/>
      <c r="F233" s="273"/>
      <c r="G233" s="501"/>
      <c r="H233" s="273"/>
      <c r="I233" s="273"/>
      <c r="J233" s="89"/>
      <c r="K233" s="100"/>
      <c r="O233" s="509"/>
      <c r="P233" s="501"/>
    </row>
    <row r="234" spans="1:16" x14ac:dyDescent="0.2">
      <c r="A234" s="500"/>
      <c r="B234" s="510" t="s">
        <v>832</v>
      </c>
      <c r="C234" s="275" t="s">
        <v>1339</v>
      </c>
      <c r="D234" s="286"/>
      <c r="E234" s="286"/>
      <c r="F234" s="288" t="s">
        <v>1195</v>
      </c>
      <c r="G234" s="501" t="s">
        <v>1263</v>
      </c>
      <c r="H234" s="272"/>
      <c r="I234" s="272"/>
      <c r="J234" s="26"/>
      <c r="K234" s="37"/>
      <c r="O234" s="509"/>
      <c r="P234" s="501"/>
    </row>
    <row r="235" spans="1:16" x14ac:dyDescent="0.2">
      <c r="A235" s="500"/>
      <c r="B235" s="511"/>
      <c r="C235" s="287"/>
      <c r="D235" s="287"/>
      <c r="E235" s="287"/>
      <c r="F235" s="274"/>
      <c r="G235" s="501"/>
      <c r="H235" s="272"/>
      <c r="I235" s="274"/>
      <c r="J235" s="91"/>
      <c r="K235" s="37"/>
      <c r="O235" s="509"/>
      <c r="P235" s="501"/>
    </row>
    <row r="236" spans="1:16" x14ac:dyDescent="0.2">
      <c r="A236" s="500"/>
      <c r="B236" s="512"/>
      <c r="C236" s="276"/>
      <c r="D236" s="276"/>
      <c r="E236" s="276"/>
      <c r="F236" s="273"/>
      <c r="G236" s="501"/>
      <c r="H236" s="273"/>
      <c r="I236" s="273"/>
      <c r="J236" s="89"/>
      <c r="K236" s="37"/>
      <c r="O236" s="509"/>
      <c r="P236" s="501"/>
    </row>
    <row r="237" spans="1:16" x14ac:dyDescent="0.2">
      <c r="A237" s="500"/>
      <c r="B237" s="513"/>
      <c r="C237" s="276"/>
      <c r="D237" s="276"/>
      <c r="E237" s="276"/>
      <c r="F237" s="288" t="s">
        <v>1196</v>
      </c>
      <c r="G237" s="501" t="s">
        <v>1264</v>
      </c>
      <c r="H237" s="272"/>
      <c r="I237" s="272"/>
      <c r="J237" s="26"/>
      <c r="K237" s="7"/>
      <c r="O237" s="509"/>
      <c r="P237" s="501"/>
    </row>
    <row r="238" spans="1:16" x14ac:dyDescent="0.2">
      <c r="A238" s="500"/>
      <c r="B238" s="513"/>
      <c r="C238" s="276"/>
      <c r="D238" s="276"/>
      <c r="E238" s="276"/>
      <c r="F238" s="274"/>
      <c r="G238" s="501"/>
      <c r="H238" s="272"/>
      <c r="I238" s="274"/>
      <c r="J238" s="91"/>
      <c r="K238" s="7"/>
      <c r="O238" s="509"/>
      <c r="P238" s="501"/>
    </row>
    <row r="239" spans="1:16" x14ac:dyDescent="0.2">
      <c r="A239" s="500"/>
      <c r="B239" s="513"/>
      <c r="C239" s="276"/>
      <c r="D239" s="276"/>
      <c r="E239" s="276"/>
      <c r="F239" s="273"/>
      <c r="G239" s="501"/>
      <c r="H239" s="273"/>
      <c r="I239" s="273"/>
      <c r="J239" s="89"/>
      <c r="K239" s="7"/>
      <c r="O239" s="509"/>
      <c r="P239" s="501"/>
    </row>
    <row r="240" spans="1:16" x14ac:dyDescent="0.2">
      <c r="A240" s="500"/>
      <c r="B240" s="513"/>
      <c r="C240" s="276"/>
      <c r="D240" s="276"/>
      <c r="E240" s="276"/>
      <c r="F240" s="288" t="s">
        <v>1197</v>
      </c>
      <c r="G240" s="501" t="s">
        <v>1265</v>
      </c>
      <c r="H240" s="272"/>
      <c r="I240" s="272"/>
      <c r="J240" s="26"/>
      <c r="K240" s="7"/>
      <c r="O240" s="509"/>
      <c r="P240" s="501"/>
    </row>
    <row r="241" spans="1:16" x14ac:dyDescent="0.2">
      <c r="A241" s="500"/>
      <c r="B241" s="513"/>
      <c r="C241" s="276"/>
      <c r="D241" s="276"/>
      <c r="E241" s="276"/>
      <c r="F241" s="274"/>
      <c r="G241" s="501"/>
      <c r="H241" s="272"/>
      <c r="I241" s="274"/>
      <c r="J241" s="91"/>
      <c r="K241" s="7"/>
      <c r="O241" s="509"/>
      <c r="P241" s="501"/>
    </row>
    <row r="242" spans="1:16" x14ac:dyDescent="0.2">
      <c r="A242" s="500"/>
      <c r="B242" s="513"/>
      <c r="C242" s="276"/>
      <c r="D242" s="276"/>
      <c r="E242" s="276"/>
      <c r="F242" s="273"/>
      <c r="G242" s="501"/>
      <c r="H242" s="273"/>
      <c r="I242" s="273"/>
      <c r="J242" s="89"/>
      <c r="K242" s="7"/>
      <c r="O242" s="509"/>
      <c r="P242" s="501"/>
    </row>
    <row r="243" spans="1:16" x14ac:dyDescent="0.2">
      <c r="A243" s="500"/>
      <c r="B243" s="513"/>
      <c r="C243" s="276"/>
      <c r="D243" s="276"/>
      <c r="E243" s="276"/>
      <c r="F243" s="288" t="s">
        <v>1198</v>
      </c>
      <c r="G243" s="501" t="s">
        <v>1266</v>
      </c>
      <c r="H243" s="272"/>
      <c r="I243" s="272"/>
      <c r="J243" s="26"/>
      <c r="K243" s="6"/>
      <c r="O243" s="509"/>
      <c r="P243" s="501"/>
    </row>
    <row r="244" spans="1:16" x14ac:dyDescent="0.2">
      <c r="A244" s="500"/>
      <c r="B244" s="513"/>
      <c r="C244" s="276"/>
      <c r="D244" s="276"/>
      <c r="E244" s="276"/>
      <c r="F244" s="274"/>
      <c r="G244" s="501"/>
      <c r="H244" s="272"/>
      <c r="I244" s="274"/>
      <c r="J244" s="91"/>
      <c r="K244" s="7"/>
      <c r="O244" s="509"/>
      <c r="P244" s="501"/>
    </row>
    <row r="245" spans="1:16" x14ac:dyDescent="0.2">
      <c r="A245" s="500"/>
      <c r="B245" s="513"/>
      <c r="C245" s="276"/>
      <c r="D245" s="276"/>
      <c r="E245" s="276"/>
      <c r="F245" s="273"/>
      <c r="G245" s="501"/>
      <c r="H245" s="273"/>
      <c r="I245" s="273"/>
      <c r="J245" s="89"/>
      <c r="K245" s="7"/>
    </row>
    <row r="246" spans="1:16" x14ac:dyDescent="0.2">
      <c r="A246" s="500"/>
      <c r="B246" s="513"/>
      <c r="C246" s="276"/>
      <c r="D246" s="276"/>
      <c r="E246" s="276"/>
      <c r="F246" s="288" t="s">
        <v>1199</v>
      </c>
      <c r="G246" s="501" t="s">
        <v>1267</v>
      </c>
      <c r="H246" s="272"/>
      <c r="I246" s="272"/>
      <c r="J246" s="26"/>
      <c r="K246" s="6"/>
    </row>
    <row r="247" spans="1:16" x14ac:dyDescent="0.2">
      <c r="A247" s="500"/>
      <c r="B247" s="513"/>
      <c r="C247" s="276"/>
      <c r="D247" s="276"/>
      <c r="E247" s="276"/>
      <c r="F247" s="274"/>
      <c r="G247" s="501"/>
      <c r="H247" s="272"/>
      <c r="I247" s="274"/>
      <c r="J247" s="91"/>
      <c r="K247" s="7"/>
    </row>
    <row r="248" spans="1:16" x14ac:dyDescent="0.2">
      <c r="A248" s="500"/>
      <c r="B248" s="513"/>
      <c r="C248" s="276"/>
      <c r="D248" s="276"/>
      <c r="E248" s="276"/>
      <c r="F248" s="273"/>
      <c r="G248" s="501"/>
      <c r="H248" s="273"/>
      <c r="I248" s="273"/>
      <c r="J248" s="89"/>
      <c r="K248" s="7"/>
    </row>
    <row r="249" spans="1:16" x14ac:dyDescent="0.2">
      <c r="A249" s="500"/>
      <c r="B249" s="513"/>
      <c r="C249" s="276"/>
      <c r="D249" s="276"/>
      <c r="E249" s="276"/>
      <c r="F249" s="288" t="s">
        <v>1200</v>
      </c>
      <c r="G249" s="501" t="s">
        <v>1268</v>
      </c>
      <c r="H249" s="272"/>
      <c r="I249" s="272"/>
      <c r="J249" s="89"/>
      <c r="K249" s="7"/>
    </row>
    <row r="250" spans="1:16" x14ac:dyDescent="0.2">
      <c r="A250" s="500"/>
      <c r="B250" s="513"/>
      <c r="C250" s="276"/>
      <c r="D250" s="276"/>
      <c r="E250" s="276"/>
      <c r="F250" s="274"/>
      <c r="G250" s="501"/>
      <c r="H250" s="272"/>
      <c r="I250" s="274"/>
      <c r="J250" s="89"/>
      <c r="K250" s="7"/>
    </row>
    <row r="251" spans="1:16" x14ac:dyDescent="0.2">
      <c r="A251" s="500"/>
      <c r="B251" s="513"/>
      <c r="C251" s="276"/>
      <c r="D251" s="276"/>
      <c r="E251" s="276"/>
      <c r="F251" s="273"/>
      <c r="G251" s="501"/>
      <c r="H251" s="273"/>
      <c r="I251" s="273"/>
      <c r="J251" s="89"/>
      <c r="K251" s="7"/>
    </row>
    <row r="252" spans="1:16" x14ac:dyDescent="0.2">
      <c r="A252" s="500"/>
      <c r="B252" s="513"/>
      <c r="C252" s="276"/>
      <c r="D252" s="276"/>
      <c r="E252" s="276"/>
      <c r="F252" s="288" t="s">
        <v>1334</v>
      </c>
      <c r="G252" s="501" t="s">
        <v>1269</v>
      </c>
      <c r="H252" s="272"/>
      <c r="I252" s="272"/>
      <c r="J252" s="89"/>
      <c r="K252" s="7"/>
    </row>
    <row r="253" spans="1:16" x14ac:dyDescent="0.2">
      <c r="A253" s="500"/>
      <c r="B253" s="513"/>
      <c r="C253" s="276"/>
      <c r="D253" s="276"/>
      <c r="E253" s="276"/>
      <c r="F253" s="274"/>
      <c r="G253" s="501"/>
      <c r="H253" s="272"/>
      <c r="I253" s="274"/>
      <c r="J253" s="89"/>
      <c r="K253" s="7"/>
    </row>
    <row r="254" spans="1:16" x14ac:dyDescent="0.2">
      <c r="A254" s="500"/>
      <c r="B254" s="513"/>
      <c r="C254" s="276"/>
      <c r="D254" s="276"/>
      <c r="E254" s="276"/>
      <c r="F254" s="273"/>
      <c r="G254" s="501"/>
      <c r="H254" s="273"/>
      <c r="I254" s="273"/>
      <c r="J254" s="89"/>
      <c r="K254" s="7"/>
    </row>
    <row r="255" spans="1:16" x14ac:dyDescent="0.2">
      <c r="A255" s="500"/>
      <c r="B255" s="513"/>
      <c r="C255" s="276"/>
      <c r="D255" s="276"/>
      <c r="E255" s="276"/>
      <c r="F255" s="288" t="s">
        <v>1335</v>
      </c>
      <c r="G255" s="501" t="s">
        <v>1270</v>
      </c>
      <c r="H255" s="272"/>
      <c r="I255" s="272"/>
      <c r="J255" s="89"/>
      <c r="K255" s="7"/>
    </row>
    <row r="256" spans="1:16" x14ac:dyDescent="0.2">
      <c r="A256" s="500"/>
      <c r="B256" s="513"/>
      <c r="C256" s="276"/>
      <c r="D256" s="276"/>
      <c r="E256" s="276"/>
      <c r="F256" s="274"/>
      <c r="G256" s="501"/>
      <c r="H256" s="272"/>
      <c r="I256" s="274"/>
      <c r="J256" s="89"/>
      <c r="K256" s="7"/>
    </row>
    <row r="257" spans="1:11" x14ac:dyDescent="0.2">
      <c r="A257" s="500"/>
      <c r="B257" s="513"/>
      <c r="C257" s="276"/>
      <c r="D257" s="276"/>
      <c r="E257" s="276"/>
      <c r="F257" s="273"/>
      <c r="G257" s="501"/>
      <c r="H257" s="273"/>
      <c r="I257" s="273"/>
      <c r="J257" s="89"/>
      <c r="K257" s="7"/>
    </row>
    <row r="258" spans="1:11" x14ac:dyDescent="0.2">
      <c r="A258" s="500"/>
      <c r="B258" s="513"/>
      <c r="C258" s="276"/>
      <c r="D258" s="276"/>
      <c r="E258" s="276"/>
      <c r="F258" s="288" t="s">
        <v>1336</v>
      </c>
      <c r="G258" s="501" t="s">
        <v>1271</v>
      </c>
      <c r="H258" s="272"/>
      <c r="I258" s="272"/>
      <c r="J258" s="89"/>
      <c r="K258" s="7"/>
    </row>
    <row r="259" spans="1:11" x14ac:dyDescent="0.2">
      <c r="A259" s="500"/>
      <c r="B259" s="513"/>
      <c r="C259" s="276"/>
      <c r="D259" s="276"/>
      <c r="E259" s="276"/>
      <c r="F259" s="274"/>
      <c r="G259" s="501"/>
      <c r="H259" s="272"/>
      <c r="I259" s="274"/>
      <c r="J259" s="89"/>
      <c r="K259" s="7"/>
    </row>
    <row r="260" spans="1:11" x14ac:dyDescent="0.2">
      <c r="A260" s="500"/>
      <c r="B260" s="513"/>
      <c r="C260" s="276"/>
      <c r="D260" s="276"/>
      <c r="E260" s="276"/>
      <c r="F260" s="273"/>
      <c r="G260" s="501"/>
      <c r="H260" s="273"/>
      <c r="I260" s="273"/>
      <c r="J260" s="89"/>
      <c r="K260" s="7"/>
    </row>
    <row r="261" spans="1:11" x14ac:dyDescent="0.2">
      <c r="A261" s="500"/>
      <c r="B261" s="513"/>
      <c r="C261" s="276"/>
      <c r="D261" s="276"/>
      <c r="E261" s="276"/>
      <c r="F261" s="288" t="s">
        <v>1337</v>
      </c>
      <c r="G261" s="501" t="s">
        <v>1272</v>
      </c>
      <c r="H261" s="272"/>
      <c r="I261" s="272"/>
      <c r="J261" s="89"/>
      <c r="K261" s="7"/>
    </row>
    <row r="262" spans="1:11" x14ac:dyDescent="0.2">
      <c r="A262" s="500"/>
      <c r="B262" s="513"/>
      <c r="C262" s="276"/>
      <c r="D262" s="276"/>
      <c r="E262" s="276"/>
      <c r="F262" s="274"/>
      <c r="G262" s="501"/>
      <c r="H262" s="272"/>
      <c r="I262" s="274"/>
      <c r="J262" s="89"/>
      <c r="K262" s="7"/>
    </row>
    <row r="263" spans="1:11" x14ac:dyDescent="0.2">
      <c r="A263" s="500"/>
      <c r="B263" s="513"/>
      <c r="C263" s="276"/>
      <c r="D263" s="276"/>
      <c r="E263" s="276"/>
      <c r="F263" s="273"/>
      <c r="G263" s="501"/>
      <c r="H263" s="273"/>
      <c r="I263" s="273"/>
      <c r="J263" s="89"/>
      <c r="K263" s="7"/>
    </row>
    <row r="264" spans="1:11" x14ac:dyDescent="0.2">
      <c r="A264" s="500"/>
      <c r="B264" s="513"/>
      <c r="C264" s="276"/>
      <c r="D264" s="276"/>
      <c r="E264" s="276"/>
      <c r="F264" s="288" t="s">
        <v>1338</v>
      </c>
      <c r="G264" s="272"/>
      <c r="H264" s="272"/>
      <c r="I264" s="272"/>
      <c r="J264" s="26"/>
      <c r="K264" s="6"/>
    </row>
    <row r="265" spans="1:11" x14ac:dyDescent="0.2">
      <c r="A265" s="500"/>
      <c r="B265" s="513"/>
      <c r="C265" s="276"/>
      <c r="D265" s="276"/>
      <c r="E265" s="276"/>
      <c r="F265" s="274"/>
      <c r="G265" s="274"/>
      <c r="H265" s="272"/>
      <c r="I265" s="274"/>
      <c r="J265" s="91"/>
      <c r="K265" s="7"/>
    </row>
    <row r="266" spans="1:11" x14ac:dyDescent="0.2">
      <c r="A266" s="500"/>
      <c r="B266" s="513"/>
      <c r="C266" s="276"/>
      <c r="D266" s="276"/>
      <c r="E266" s="276"/>
      <c r="F266" s="273"/>
      <c r="G266" s="273"/>
      <c r="H266" s="273"/>
      <c r="I266" s="273"/>
      <c r="J266" s="89"/>
      <c r="K266" s="7"/>
    </row>
    <row r="267" spans="1:11" x14ac:dyDescent="0.2">
      <c r="A267" s="500"/>
      <c r="B267" s="510" t="s">
        <v>833</v>
      </c>
      <c r="C267" s="275" t="s">
        <v>1341</v>
      </c>
      <c r="D267" s="286"/>
      <c r="E267" s="286"/>
      <c r="F267" s="288" t="s">
        <v>1340</v>
      </c>
      <c r="G267" s="501" t="s">
        <v>1273</v>
      </c>
      <c r="H267" s="272"/>
      <c r="I267" s="272"/>
      <c r="J267" s="26"/>
      <c r="K267" s="37"/>
    </row>
    <row r="268" spans="1:11" x14ac:dyDescent="0.2">
      <c r="A268" s="500"/>
      <c r="B268" s="511"/>
      <c r="C268" s="287"/>
      <c r="D268" s="287"/>
      <c r="E268" s="287"/>
      <c r="F268" s="274"/>
      <c r="G268" s="501"/>
      <c r="H268" s="272"/>
      <c r="I268" s="274"/>
      <c r="J268" s="91"/>
      <c r="K268" s="37"/>
    </row>
    <row r="269" spans="1:11" x14ac:dyDescent="0.2">
      <c r="A269" s="500"/>
      <c r="B269" s="512"/>
      <c r="C269" s="276"/>
      <c r="D269" s="276"/>
      <c r="E269" s="276"/>
      <c r="F269" s="273"/>
      <c r="G269" s="501"/>
      <c r="H269" s="273"/>
      <c r="I269" s="273"/>
      <c r="J269" s="89"/>
      <c r="K269" s="37"/>
    </row>
    <row r="270" spans="1:11" x14ac:dyDescent="0.2">
      <c r="A270" s="500"/>
      <c r="B270" s="513"/>
      <c r="C270" s="276"/>
      <c r="D270" s="276"/>
      <c r="E270" s="276"/>
      <c r="F270" s="288" t="s">
        <v>1347</v>
      </c>
      <c r="G270" s="501" t="s">
        <v>1274</v>
      </c>
      <c r="H270" s="272"/>
      <c r="I270" s="272"/>
      <c r="J270" s="26"/>
      <c r="K270" s="7"/>
    </row>
    <row r="271" spans="1:11" x14ac:dyDescent="0.2">
      <c r="A271" s="500"/>
      <c r="B271" s="513"/>
      <c r="C271" s="276"/>
      <c r="D271" s="276"/>
      <c r="E271" s="276"/>
      <c r="F271" s="274"/>
      <c r="G271" s="501"/>
      <c r="H271" s="272"/>
      <c r="I271" s="274"/>
      <c r="J271" s="91"/>
      <c r="K271" s="7"/>
    </row>
    <row r="272" spans="1:11" x14ac:dyDescent="0.2">
      <c r="A272" s="500"/>
      <c r="B272" s="513"/>
      <c r="C272" s="276"/>
      <c r="D272" s="276"/>
      <c r="E272" s="276"/>
      <c r="F272" s="273"/>
      <c r="G272" s="501"/>
      <c r="H272" s="273"/>
      <c r="I272" s="273"/>
      <c r="J272" s="89"/>
      <c r="K272" s="7"/>
    </row>
    <row r="273" spans="1:11" x14ac:dyDescent="0.2">
      <c r="A273" s="500"/>
      <c r="B273" s="513"/>
      <c r="C273" s="276"/>
      <c r="D273" s="276"/>
      <c r="E273" s="276"/>
      <c r="F273" s="288" t="s">
        <v>1348</v>
      </c>
      <c r="G273" s="501" t="s">
        <v>1275</v>
      </c>
      <c r="H273" s="272"/>
      <c r="I273" s="272"/>
      <c r="J273" s="26"/>
      <c r="K273" s="7"/>
    </row>
    <row r="274" spans="1:11" x14ac:dyDescent="0.2">
      <c r="A274" s="500"/>
      <c r="B274" s="513"/>
      <c r="C274" s="276"/>
      <c r="D274" s="276"/>
      <c r="E274" s="276"/>
      <c r="F274" s="274"/>
      <c r="G274" s="501"/>
      <c r="H274" s="272"/>
      <c r="I274" s="274"/>
      <c r="J274" s="91"/>
      <c r="K274" s="7"/>
    </row>
    <row r="275" spans="1:11" x14ac:dyDescent="0.2">
      <c r="A275" s="500"/>
      <c r="B275" s="513"/>
      <c r="C275" s="276"/>
      <c r="D275" s="276"/>
      <c r="E275" s="276"/>
      <c r="F275" s="273"/>
      <c r="G275" s="501"/>
      <c r="H275" s="273"/>
      <c r="I275" s="273"/>
      <c r="J275" s="89"/>
      <c r="K275" s="7"/>
    </row>
    <row r="276" spans="1:11" x14ac:dyDescent="0.2">
      <c r="A276" s="500"/>
      <c r="B276" s="513"/>
      <c r="C276" s="276"/>
      <c r="D276" s="276"/>
      <c r="E276" s="276"/>
      <c r="F276" s="288" t="s">
        <v>1349</v>
      </c>
      <c r="G276" s="501" t="s">
        <v>1276</v>
      </c>
      <c r="H276" s="272"/>
      <c r="I276" s="272"/>
      <c r="J276" s="26"/>
      <c r="K276" s="6"/>
    </row>
    <row r="277" spans="1:11" x14ac:dyDescent="0.2">
      <c r="A277" s="500"/>
      <c r="B277" s="513"/>
      <c r="C277" s="276"/>
      <c r="D277" s="276"/>
      <c r="E277" s="276"/>
      <c r="F277" s="274"/>
      <c r="G277" s="501"/>
      <c r="H277" s="272"/>
      <c r="I277" s="274"/>
      <c r="J277" s="91"/>
      <c r="K277" s="7"/>
    </row>
    <row r="278" spans="1:11" x14ac:dyDescent="0.2">
      <c r="A278" s="500"/>
      <c r="B278" s="513"/>
      <c r="C278" s="276"/>
      <c r="D278" s="276"/>
      <c r="E278" s="276"/>
      <c r="F278" s="273"/>
      <c r="G278" s="501"/>
      <c r="H278" s="273"/>
      <c r="I278" s="273"/>
      <c r="J278" s="89"/>
      <c r="K278" s="7"/>
    </row>
    <row r="279" spans="1:11" x14ac:dyDescent="0.2">
      <c r="A279" s="500"/>
      <c r="B279" s="513"/>
      <c r="C279" s="276"/>
      <c r="D279" s="276"/>
      <c r="E279" s="276"/>
      <c r="F279" s="288" t="s">
        <v>1350</v>
      </c>
      <c r="G279" s="501" t="s">
        <v>1277</v>
      </c>
      <c r="H279" s="272"/>
      <c r="I279" s="272"/>
      <c r="J279" s="89"/>
      <c r="K279" s="7"/>
    </row>
    <row r="280" spans="1:11" x14ac:dyDescent="0.2">
      <c r="A280" s="500"/>
      <c r="B280" s="513"/>
      <c r="C280" s="276"/>
      <c r="D280" s="276"/>
      <c r="E280" s="276"/>
      <c r="F280" s="274"/>
      <c r="G280" s="501"/>
      <c r="H280" s="272"/>
      <c r="I280" s="274"/>
      <c r="J280" s="89"/>
      <c r="K280" s="7"/>
    </row>
    <row r="281" spans="1:11" x14ac:dyDescent="0.2">
      <c r="A281" s="500"/>
      <c r="B281" s="513"/>
      <c r="C281" s="276"/>
      <c r="D281" s="276"/>
      <c r="E281" s="276"/>
      <c r="F281" s="273"/>
      <c r="G281" s="501"/>
      <c r="H281" s="273"/>
      <c r="I281" s="273"/>
      <c r="J281" s="89"/>
      <c r="K281" s="7"/>
    </row>
    <row r="282" spans="1:11" x14ac:dyDescent="0.2">
      <c r="A282" s="500"/>
      <c r="B282" s="513"/>
      <c r="C282" s="276"/>
      <c r="D282" s="276"/>
      <c r="E282" s="276"/>
      <c r="F282" s="288" t="s">
        <v>1351</v>
      </c>
      <c r="G282" s="501" t="s">
        <v>1278</v>
      </c>
      <c r="H282" s="272"/>
      <c r="I282" s="272"/>
      <c r="J282" s="89"/>
      <c r="K282" s="7"/>
    </row>
    <row r="283" spans="1:11" x14ac:dyDescent="0.2">
      <c r="A283" s="500"/>
      <c r="B283" s="513"/>
      <c r="C283" s="276"/>
      <c r="D283" s="276"/>
      <c r="E283" s="276"/>
      <c r="F283" s="274"/>
      <c r="G283" s="501"/>
      <c r="H283" s="272"/>
      <c r="I283" s="274"/>
      <c r="J283" s="89"/>
      <c r="K283" s="7"/>
    </row>
    <row r="284" spans="1:11" x14ac:dyDescent="0.2">
      <c r="A284" s="500"/>
      <c r="B284" s="513"/>
      <c r="C284" s="276"/>
      <c r="D284" s="276"/>
      <c r="E284" s="276"/>
      <c r="F284" s="273"/>
      <c r="G284" s="501"/>
      <c r="H284" s="273"/>
      <c r="I284" s="273"/>
      <c r="J284" s="89"/>
      <c r="K284" s="7"/>
    </row>
    <row r="285" spans="1:11" x14ac:dyDescent="0.2">
      <c r="A285" s="500"/>
      <c r="B285" s="513"/>
      <c r="C285" s="276"/>
      <c r="D285" s="276"/>
      <c r="E285" s="276"/>
      <c r="F285" s="288" t="s">
        <v>1352</v>
      </c>
      <c r="G285" s="501" t="s">
        <v>1279</v>
      </c>
      <c r="H285" s="272"/>
      <c r="I285" s="272"/>
      <c r="J285" s="89"/>
      <c r="K285" s="7"/>
    </row>
    <row r="286" spans="1:11" x14ac:dyDescent="0.2">
      <c r="A286" s="500"/>
      <c r="B286" s="513"/>
      <c r="C286" s="276"/>
      <c r="D286" s="276"/>
      <c r="E286" s="276"/>
      <c r="F286" s="274"/>
      <c r="G286" s="501"/>
      <c r="H286" s="272"/>
      <c r="I286" s="274"/>
      <c r="J286" s="89"/>
      <c r="K286" s="7"/>
    </row>
    <row r="287" spans="1:11" x14ac:dyDescent="0.2">
      <c r="A287" s="500"/>
      <c r="B287" s="513"/>
      <c r="C287" s="276"/>
      <c r="D287" s="276"/>
      <c r="E287" s="276"/>
      <c r="F287" s="273"/>
      <c r="G287" s="501"/>
      <c r="H287" s="273"/>
      <c r="I287" s="273"/>
      <c r="J287" s="89"/>
      <c r="K287" s="7"/>
    </row>
    <row r="288" spans="1:11" x14ac:dyDescent="0.2">
      <c r="A288" s="500"/>
      <c r="B288" s="513"/>
      <c r="C288" s="276"/>
      <c r="D288" s="276"/>
      <c r="E288" s="276"/>
      <c r="F288" s="288" t="s">
        <v>1353</v>
      </c>
      <c r="G288" s="501" t="s">
        <v>1280</v>
      </c>
      <c r="H288" s="272"/>
      <c r="I288" s="272"/>
      <c r="J288" s="89"/>
      <c r="K288" s="7"/>
    </row>
    <row r="289" spans="1:11" x14ac:dyDescent="0.2">
      <c r="A289" s="500"/>
      <c r="B289" s="513"/>
      <c r="C289" s="276"/>
      <c r="D289" s="276"/>
      <c r="E289" s="276"/>
      <c r="F289" s="274"/>
      <c r="G289" s="501"/>
      <c r="H289" s="272"/>
      <c r="I289" s="274"/>
      <c r="J289" s="89"/>
      <c r="K289" s="7"/>
    </row>
    <row r="290" spans="1:11" x14ac:dyDescent="0.2">
      <c r="A290" s="500"/>
      <c r="B290" s="513"/>
      <c r="C290" s="276"/>
      <c r="D290" s="276"/>
      <c r="E290" s="276"/>
      <c r="F290" s="273"/>
      <c r="G290" s="501"/>
      <c r="H290" s="273"/>
      <c r="I290" s="273"/>
      <c r="J290" s="89"/>
      <c r="K290" s="7"/>
    </row>
    <row r="291" spans="1:11" x14ac:dyDescent="0.2">
      <c r="A291" s="500"/>
      <c r="B291" s="513"/>
      <c r="C291" s="276"/>
      <c r="D291" s="276"/>
      <c r="E291" s="276"/>
      <c r="F291" s="288" t="s">
        <v>1354</v>
      </c>
      <c r="G291" s="501" t="s">
        <v>1281</v>
      </c>
      <c r="H291" s="272"/>
      <c r="I291" s="272"/>
      <c r="J291" s="89"/>
      <c r="K291" s="7"/>
    </row>
    <row r="292" spans="1:11" x14ac:dyDescent="0.2">
      <c r="A292" s="500"/>
      <c r="B292" s="513"/>
      <c r="C292" s="276"/>
      <c r="D292" s="276"/>
      <c r="E292" s="276"/>
      <c r="F292" s="274"/>
      <c r="G292" s="501"/>
      <c r="H292" s="272"/>
      <c r="I292" s="274"/>
      <c r="J292" s="89"/>
      <c r="K292" s="7"/>
    </row>
    <row r="293" spans="1:11" x14ac:dyDescent="0.2">
      <c r="A293" s="500"/>
      <c r="B293" s="513"/>
      <c r="C293" s="276"/>
      <c r="D293" s="276"/>
      <c r="E293" s="276"/>
      <c r="F293" s="273"/>
      <c r="G293" s="501"/>
      <c r="H293" s="273"/>
      <c r="I293" s="273"/>
      <c r="J293" s="89"/>
      <c r="K293" s="7"/>
    </row>
    <row r="294" spans="1:11" x14ac:dyDescent="0.2">
      <c r="A294" s="500"/>
      <c r="B294" s="513"/>
      <c r="C294" s="276"/>
      <c r="D294" s="276"/>
      <c r="E294" s="276"/>
      <c r="F294" s="288" t="s">
        <v>1355</v>
      </c>
      <c r="G294" s="501" t="s">
        <v>1282</v>
      </c>
      <c r="H294" s="272"/>
      <c r="I294" s="272"/>
      <c r="J294" s="89"/>
      <c r="K294" s="7"/>
    </row>
    <row r="295" spans="1:11" x14ac:dyDescent="0.2">
      <c r="A295" s="500"/>
      <c r="B295" s="513"/>
      <c r="C295" s="276"/>
      <c r="D295" s="276"/>
      <c r="E295" s="276"/>
      <c r="F295" s="274"/>
      <c r="G295" s="501"/>
      <c r="H295" s="272"/>
      <c r="I295" s="274"/>
      <c r="J295" s="89"/>
      <c r="K295" s="7"/>
    </row>
    <row r="296" spans="1:11" x14ac:dyDescent="0.2">
      <c r="A296" s="500"/>
      <c r="B296" s="513"/>
      <c r="C296" s="276"/>
      <c r="D296" s="276"/>
      <c r="E296" s="276"/>
      <c r="F296" s="273"/>
      <c r="G296" s="501"/>
      <c r="H296" s="273"/>
      <c r="I296" s="273"/>
      <c r="J296" s="89"/>
      <c r="K296" s="7"/>
    </row>
    <row r="297" spans="1:11" x14ac:dyDescent="0.2">
      <c r="A297" s="500"/>
      <c r="B297" s="513"/>
      <c r="C297" s="276"/>
      <c r="D297" s="276"/>
      <c r="E297" s="276"/>
      <c r="F297" s="288" t="s">
        <v>1356</v>
      </c>
      <c r="G297" s="501" t="s">
        <v>1283</v>
      </c>
      <c r="H297" s="272"/>
      <c r="I297" s="272"/>
      <c r="J297" s="89"/>
      <c r="K297" s="7"/>
    </row>
    <row r="298" spans="1:11" x14ac:dyDescent="0.2">
      <c r="A298" s="500"/>
      <c r="B298" s="513"/>
      <c r="C298" s="276"/>
      <c r="D298" s="276"/>
      <c r="E298" s="276"/>
      <c r="F298" s="274"/>
      <c r="G298" s="501"/>
      <c r="H298" s="272"/>
      <c r="I298" s="274"/>
      <c r="J298" s="89"/>
      <c r="K298" s="7"/>
    </row>
    <row r="299" spans="1:11" x14ac:dyDescent="0.2">
      <c r="A299" s="500"/>
      <c r="B299" s="513"/>
      <c r="C299" s="276"/>
      <c r="D299" s="276"/>
      <c r="E299" s="276"/>
      <c r="F299" s="273"/>
      <c r="G299" s="501"/>
      <c r="H299" s="273"/>
      <c r="I299" s="273"/>
      <c r="J299" s="89"/>
      <c r="K299" s="7"/>
    </row>
    <row r="300" spans="1:11" x14ac:dyDescent="0.2">
      <c r="A300" s="500"/>
      <c r="B300" s="513"/>
      <c r="C300" s="276"/>
      <c r="D300" s="276"/>
      <c r="E300" s="276"/>
      <c r="F300" s="288" t="s">
        <v>1357</v>
      </c>
      <c r="G300" s="501" t="s">
        <v>1284</v>
      </c>
      <c r="H300" s="272"/>
      <c r="I300" s="272"/>
      <c r="J300" s="89"/>
      <c r="K300" s="7"/>
    </row>
    <row r="301" spans="1:11" x14ac:dyDescent="0.2">
      <c r="A301" s="500"/>
      <c r="B301" s="513"/>
      <c r="C301" s="276"/>
      <c r="D301" s="276"/>
      <c r="E301" s="276"/>
      <c r="F301" s="274"/>
      <c r="G301" s="501"/>
      <c r="H301" s="272"/>
      <c r="I301" s="274"/>
      <c r="J301" s="89"/>
      <c r="K301" s="7"/>
    </row>
    <row r="302" spans="1:11" x14ac:dyDescent="0.2">
      <c r="A302" s="500"/>
      <c r="B302" s="513"/>
      <c r="C302" s="276"/>
      <c r="D302" s="276"/>
      <c r="E302" s="276"/>
      <c r="F302" s="273"/>
      <c r="G302" s="501"/>
      <c r="H302" s="273"/>
      <c r="I302" s="273"/>
      <c r="J302" s="89"/>
      <c r="K302" s="7"/>
    </row>
    <row r="303" spans="1:11" x14ac:dyDescent="0.2">
      <c r="A303" s="500"/>
      <c r="B303" s="513"/>
      <c r="C303" s="276"/>
      <c r="D303" s="276"/>
      <c r="E303" s="276"/>
      <c r="F303" s="288" t="s">
        <v>1358</v>
      </c>
      <c r="G303" s="272"/>
      <c r="H303" s="272"/>
      <c r="I303" s="272"/>
      <c r="J303" s="26"/>
      <c r="K303" s="6"/>
    </row>
    <row r="304" spans="1:11" x14ac:dyDescent="0.2">
      <c r="A304" s="500"/>
      <c r="B304" s="513"/>
      <c r="C304" s="276"/>
      <c r="D304" s="276"/>
      <c r="E304" s="276"/>
      <c r="F304" s="274"/>
      <c r="G304" s="274"/>
      <c r="H304" s="272"/>
      <c r="I304" s="274"/>
      <c r="J304" s="91"/>
      <c r="K304" s="7"/>
    </row>
    <row r="305" spans="1:11" x14ac:dyDescent="0.2">
      <c r="A305" s="500"/>
      <c r="B305" s="513"/>
      <c r="C305" s="276"/>
      <c r="D305" s="276"/>
      <c r="E305" s="276"/>
      <c r="F305" s="273"/>
      <c r="G305" s="273"/>
      <c r="H305" s="273"/>
      <c r="I305" s="273"/>
      <c r="J305" s="89"/>
      <c r="K305" s="7"/>
    </row>
    <row r="306" spans="1:11" x14ac:dyDescent="0.2">
      <c r="A306" s="500"/>
      <c r="B306" s="513"/>
      <c r="C306" s="276"/>
      <c r="D306" s="276"/>
      <c r="E306" s="276"/>
      <c r="F306" s="288" t="s">
        <v>1359</v>
      </c>
      <c r="G306" s="272"/>
      <c r="H306" s="272"/>
      <c r="I306" s="272"/>
      <c r="J306" s="26"/>
      <c r="K306" s="6"/>
    </row>
    <row r="307" spans="1:11" x14ac:dyDescent="0.2">
      <c r="A307" s="500"/>
      <c r="B307" s="513"/>
      <c r="C307" s="276"/>
      <c r="D307" s="276"/>
      <c r="E307" s="276"/>
      <c r="F307" s="274"/>
      <c r="G307" s="274"/>
      <c r="H307" s="272"/>
      <c r="I307" s="274"/>
      <c r="J307" s="91"/>
      <c r="K307" s="7"/>
    </row>
    <row r="308" spans="1:11" x14ac:dyDescent="0.2">
      <c r="A308" s="500"/>
      <c r="B308" s="513"/>
      <c r="C308" s="276"/>
      <c r="D308" s="276"/>
      <c r="E308" s="276"/>
      <c r="F308" s="273"/>
      <c r="G308" s="273"/>
      <c r="H308" s="273"/>
      <c r="I308" s="273"/>
      <c r="J308" s="89"/>
      <c r="K308" s="7"/>
    </row>
    <row r="309" spans="1:11" x14ac:dyDescent="0.2">
      <c r="A309" s="500"/>
      <c r="B309" s="510" t="s">
        <v>834</v>
      </c>
      <c r="C309" s="275" t="s">
        <v>1376</v>
      </c>
      <c r="D309" s="286"/>
      <c r="E309" s="286"/>
      <c r="F309" s="288" t="s">
        <v>1360</v>
      </c>
      <c r="G309" s="288" t="s">
        <v>1342</v>
      </c>
      <c r="H309" s="272"/>
      <c r="I309" s="272"/>
      <c r="J309" s="26"/>
      <c r="K309" s="37"/>
    </row>
    <row r="310" spans="1:11" x14ac:dyDescent="0.2">
      <c r="A310" s="500"/>
      <c r="B310" s="511"/>
      <c r="C310" s="287"/>
      <c r="D310" s="287"/>
      <c r="E310" s="287"/>
      <c r="F310" s="274"/>
      <c r="G310" s="274"/>
      <c r="H310" s="272"/>
      <c r="I310" s="274"/>
      <c r="J310" s="91"/>
      <c r="K310" s="37"/>
    </row>
    <row r="311" spans="1:11" x14ac:dyDescent="0.2">
      <c r="A311" s="500"/>
      <c r="B311" s="512"/>
      <c r="C311" s="276"/>
      <c r="D311" s="276"/>
      <c r="E311" s="276"/>
      <c r="F311" s="273"/>
      <c r="G311" s="273"/>
      <c r="H311" s="273"/>
      <c r="I311" s="273"/>
      <c r="J311" s="89"/>
      <c r="K311" s="37"/>
    </row>
    <row r="312" spans="1:11" x14ac:dyDescent="0.2">
      <c r="A312" s="500"/>
      <c r="B312" s="513"/>
      <c r="C312" s="276"/>
      <c r="D312" s="276"/>
      <c r="E312" s="276"/>
      <c r="F312" s="288" t="s">
        <v>1361</v>
      </c>
      <c r="G312" s="288" t="s">
        <v>1346</v>
      </c>
      <c r="H312" s="272"/>
      <c r="I312" s="272"/>
      <c r="J312" s="26"/>
      <c r="K312" s="7"/>
    </row>
    <row r="313" spans="1:11" x14ac:dyDescent="0.2">
      <c r="A313" s="500"/>
      <c r="B313" s="513"/>
      <c r="C313" s="276"/>
      <c r="D313" s="276"/>
      <c r="E313" s="276"/>
      <c r="F313" s="274"/>
      <c r="G313" s="274"/>
      <c r="H313" s="272"/>
      <c r="I313" s="274"/>
      <c r="J313" s="91"/>
      <c r="K313" s="7"/>
    </row>
    <row r="314" spans="1:11" x14ac:dyDescent="0.2">
      <c r="A314" s="500"/>
      <c r="B314" s="513"/>
      <c r="C314" s="276"/>
      <c r="D314" s="276"/>
      <c r="E314" s="276"/>
      <c r="F314" s="273"/>
      <c r="G314" s="273"/>
      <c r="H314" s="273"/>
      <c r="I314" s="273"/>
      <c r="J314" s="89"/>
      <c r="K314" s="7"/>
    </row>
    <row r="315" spans="1:11" x14ac:dyDescent="0.2">
      <c r="A315" s="500"/>
      <c r="B315" s="513"/>
      <c r="C315" s="276"/>
      <c r="D315" s="276"/>
      <c r="E315" s="276"/>
      <c r="F315" s="288" t="s">
        <v>1362</v>
      </c>
      <c r="G315" s="288" t="s">
        <v>1344</v>
      </c>
      <c r="H315" s="272"/>
      <c r="I315" s="272"/>
      <c r="J315" s="26"/>
      <c r="K315" s="7"/>
    </row>
    <row r="316" spans="1:11" x14ac:dyDescent="0.2">
      <c r="A316" s="500"/>
      <c r="B316" s="513"/>
      <c r="C316" s="276"/>
      <c r="D316" s="276"/>
      <c r="E316" s="276"/>
      <c r="F316" s="274"/>
      <c r="G316" s="274"/>
      <c r="H316" s="272"/>
      <c r="I316" s="274"/>
      <c r="J316" s="91"/>
      <c r="K316" s="7"/>
    </row>
    <row r="317" spans="1:11" x14ac:dyDescent="0.2">
      <c r="A317" s="500"/>
      <c r="B317" s="513"/>
      <c r="C317" s="276"/>
      <c r="D317" s="276"/>
      <c r="E317" s="276"/>
      <c r="F317" s="273"/>
      <c r="G317" s="273"/>
      <c r="H317" s="273"/>
      <c r="I317" s="273"/>
      <c r="J317" s="89"/>
      <c r="K317" s="7"/>
    </row>
    <row r="318" spans="1:11" x14ac:dyDescent="0.2">
      <c r="A318" s="500"/>
      <c r="B318" s="513"/>
      <c r="C318" s="276"/>
      <c r="D318" s="276"/>
      <c r="E318" s="276"/>
      <c r="F318" s="288" t="s">
        <v>1363</v>
      </c>
      <c r="G318" s="288" t="s">
        <v>1345</v>
      </c>
      <c r="H318" s="272"/>
      <c r="I318" s="272"/>
      <c r="J318" s="26"/>
      <c r="K318" s="6"/>
    </row>
    <row r="319" spans="1:11" x14ac:dyDescent="0.2">
      <c r="A319" s="500"/>
      <c r="B319" s="513"/>
      <c r="C319" s="276"/>
      <c r="D319" s="276"/>
      <c r="E319" s="276"/>
      <c r="F319" s="274"/>
      <c r="G319" s="274"/>
      <c r="H319" s="272"/>
      <c r="I319" s="274"/>
      <c r="J319" s="91"/>
      <c r="K319" s="7"/>
    </row>
    <row r="320" spans="1:11" x14ac:dyDescent="0.2">
      <c r="A320" s="500"/>
      <c r="B320" s="513"/>
      <c r="C320" s="276"/>
      <c r="D320" s="276"/>
      <c r="E320" s="276"/>
      <c r="F320" s="273"/>
      <c r="G320" s="273"/>
      <c r="H320" s="273"/>
      <c r="I320" s="273"/>
      <c r="J320" s="89"/>
      <c r="K320" s="7"/>
    </row>
    <row r="321" spans="1:11" x14ac:dyDescent="0.2">
      <c r="A321" s="500"/>
      <c r="B321" s="513"/>
      <c r="C321" s="276"/>
      <c r="D321" s="276"/>
      <c r="E321" s="276"/>
      <c r="F321" s="288" t="s">
        <v>1364</v>
      </c>
      <c r="G321" s="288" t="s">
        <v>1343</v>
      </c>
      <c r="H321" s="272"/>
      <c r="I321" s="272"/>
      <c r="J321" s="26"/>
      <c r="K321" s="6"/>
    </row>
    <row r="322" spans="1:11" x14ac:dyDescent="0.2">
      <c r="A322" s="500"/>
      <c r="B322" s="513"/>
      <c r="C322" s="276"/>
      <c r="D322" s="276"/>
      <c r="E322" s="276"/>
      <c r="F322" s="274"/>
      <c r="G322" s="274"/>
      <c r="H322" s="272"/>
      <c r="I322" s="274"/>
      <c r="J322" s="91"/>
      <c r="K322" s="7"/>
    </row>
    <row r="323" spans="1:11" x14ac:dyDescent="0.2">
      <c r="A323" s="500"/>
      <c r="B323" s="513"/>
      <c r="C323" s="276"/>
      <c r="D323" s="276"/>
      <c r="E323" s="276"/>
      <c r="F323" s="273"/>
      <c r="G323" s="273"/>
      <c r="H323" s="273"/>
      <c r="I323" s="273"/>
      <c r="J323" s="89"/>
      <c r="K323" s="7"/>
    </row>
    <row r="324" spans="1:11" ht="15" customHeight="1" x14ac:dyDescent="0.2">
      <c r="A324" s="500"/>
      <c r="B324" s="513"/>
      <c r="C324" s="276"/>
      <c r="D324" s="276"/>
      <c r="E324" s="276"/>
      <c r="F324" s="288" t="s">
        <v>1365</v>
      </c>
      <c r="G324" s="501" t="s">
        <v>1377</v>
      </c>
      <c r="H324" s="272"/>
      <c r="I324" s="272"/>
      <c r="J324" s="89"/>
      <c r="K324" s="7"/>
    </row>
    <row r="325" spans="1:11" x14ac:dyDescent="0.2">
      <c r="A325" s="500"/>
      <c r="B325" s="513"/>
      <c r="C325" s="276"/>
      <c r="D325" s="276"/>
      <c r="E325" s="276"/>
      <c r="F325" s="274"/>
      <c r="G325" s="501"/>
      <c r="H325" s="272"/>
      <c r="I325" s="274"/>
      <c r="J325" s="89"/>
      <c r="K325" s="7"/>
    </row>
    <row r="326" spans="1:11" x14ac:dyDescent="0.2">
      <c r="A326" s="500"/>
      <c r="B326" s="513"/>
      <c r="C326" s="276"/>
      <c r="D326" s="276"/>
      <c r="E326" s="276"/>
      <c r="F326" s="273"/>
      <c r="G326" s="501"/>
      <c r="H326" s="273"/>
      <c r="I326" s="273"/>
      <c r="J326" s="89"/>
      <c r="K326" s="7"/>
    </row>
    <row r="327" spans="1:11" x14ac:dyDescent="0.2">
      <c r="A327" s="500"/>
      <c r="B327" s="513"/>
      <c r="C327" s="276"/>
      <c r="D327" s="276"/>
      <c r="E327" s="276"/>
      <c r="F327" s="288" t="s">
        <v>1365</v>
      </c>
      <c r="G327" s="501" t="s">
        <v>1378</v>
      </c>
      <c r="H327" s="272"/>
      <c r="I327" s="272"/>
      <c r="J327" s="26"/>
      <c r="K327" s="6"/>
    </row>
    <row r="328" spans="1:11" x14ac:dyDescent="0.2">
      <c r="A328" s="500"/>
      <c r="B328" s="513"/>
      <c r="C328" s="276"/>
      <c r="D328" s="276"/>
      <c r="E328" s="276"/>
      <c r="F328" s="274"/>
      <c r="G328" s="501"/>
      <c r="H328" s="272"/>
      <c r="I328" s="274"/>
      <c r="J328" s="91"/>
      <c r="K328" s="7"/>
    </row>
    <row r="329" spans="1:11" x14ac:dyDescent="0.2">
      <c r="A329" s="500"/>
      <c r="B329" s="513"/>
      <c r="C329" s="276"/>
      <c r="D329" s="276"/>
      <c r="E329" s="276"/>
      <c r="F329" s="273"/>
      <c r="G329" s="501"/>
      <c r="H329" s="273"/>
      <c r="I329" s="273"/>
      <c r="J329" s="89"/>
      <c r="K329" s="7"/>
    </row>
    <row r="330" spans="1:11" x14ac:dyDescent="0.2">
      <c r="A330" s="500"/>
      <c r="B330" s="331" t="s">
        <v>835</v>
      </c>
      <c r="C330" s="275" t="s">
        <v>1202</v>
      </c>
      <c r="D330" s="286"/>
      <c r="E330" s="286"/>
      <c r="F330" s="288" t="s">
        <v>1366</v>
      </c>
      <c r="G330" s="501" t="s">
        <v>1372</v>
      </c>
      <c r="H330" s="272"/>
      <c r="I330" s="272"/>
      <c r="J330" s="26"/>
      <c r="K330" s="37"/>
    </row>
    <row r="331" spans="1:11" x14ac:dyDescent="0.2">
      <c r="A331" s="500"/>
      <c r="B331" s="331"/>
      <c r="C331" s="287"/>
      <c r="D331" s="287"/>
      <c r="E331" s="287"/>
      <c r="F331" s="274"/>
      <c r="G331" s="501"/>
      <c r="H331" s="272"/>
      <c r="I331" s="274"/>
      <c r="J331" s="91"/>
      <c r="K331" s="37"/>
    </row>
    <row r="332" spans="1:11" x14ac:dyDescent="0.2">
      <c r="A332" s="500"/>
      <c r="B332" s="332"/>
      <c r="C332" s="276"/>
      <c r="D332" s="276"/>
      <c r="E332" s="276"/>
      <c r="F332" s="273"/>
      <c r="G332" s="501"/>
      <c r="H332" s="273"/>
      <c r="I332" s="273"/>
      <c r="J332" s="89"/>
      <c r="K332" s="37"/>
    </row>
    <row r="333" spans="1:11" x14ac:dyDescent="0.2">
      <c r="A333" s="500"/>
      <c r="B333" s="333"/>
      <c r="C333" s="276"/>
      <c r="D333" s="276"/>
      <c r="E333" s="276"/>
      <c r="F333" s="288" t="s">
        <v>1367</v>
      </c>
      <c r="G333" s="501" t="s">
        <v>1373</v>
      </c>
      <c r="H333" s="272"/>
      <c r="I333" s="272"/>
      <c r="J333" s="26"/>
      <c r="K333" s="7"/>
    </row>
    <row r="334" spans="1:11" x14ac:dyDescent="0.2">
      <c r="A334" s="500"/>
      <c r="B334" s="333"/>
      <c r="C334" s="276"/>
      <c r="D334" s="276"/>
      <c r="E334" s="276"/>
      <c r="F334" s="274"/>
      <c r="G334" s="501"/>
      <c r="H334" s="272"/>
      <c r="I334" s="274"/>
      <c r="J334" s="91"/>
      <c r="K334" s="7"/>
    </row>
    <row r="335" spans="1:11" x14ac:dyDescent="0.2">
      <c r="A335" s="500"/>
      <c r="B335" s="333"/>
      <c r="C335" s="276"/>
      <c r="D335" s="276"/>
      <c r="E335" s="276"/>
      <c r="F335" s="273"/>
      <c r="G335" s="501"/>
      <c r="H335" s="273"/>
      <c r="I335" s="273"/>
      <c r="J335" s="89"/>
      <c r="K335" s="7"/>
    </row>
    <row r="336" spans="1:11" x14ac:dyDescent="0.2">
      <c r="A336" s="500"/>
      <c r="B336" s="333"/>
      <c r="C336" s="276"/>
      <c r="D336" s="276"/>
      <c r="E336" s="276"/>
      <c r="F336" s="288" t="s">
        <v>1368</v>
      </c>
      <c r="G336" s="501" t="s">
        <v>1374</v>
      </c>
      <c r="H336" s="272"/>
      <c r="I336" s="272"/>
      <c r="J336" s="26"/>
      <c r="K336" s="7"/>
    </row>
    <row r="337" spans="1:11" x14ac:dyDescent="0.2">
      <c r="A337" s="500"/>
      <c r="B337" s="333"/>
      <c r="C337" s="276"/>
      <c r="D337" s="276"/>
      <c r="E337" s="276"/>
      <c r="F337" s="274"/>
      <c r="G337" s="501"/>
      <c r="H337" s="272"/>
      <c r="I337" s="274"/>
      <c r="J337" s="91"/>
      <c r="K337" s="7"/>
    </row>
    <row r="338" spans="1:11" x14ac:dyDescent="0.2">
      <c r="A338" s="500"/>
      <c r="B338" s="333"/>
      <c r="C338" s="276"/>
      <c r="D338" s="276"/>
      <c r="E338" s="276"/>
      <c r="F338" s="273"/>
      <c r="G338" s="501"/>
      <c r="H338" s="273"/>
      <c r="I338" s="273"/>
      <c r="J338" s="89"/>
      <c r="K338" s="7"/>
    </row>
    <row r="339" spans="1:11" x14ac:dyDescent="0.2">
      <c r="A339" s="500"/>
      <c r="B339" s="333"/>
      <c r="C339" s="276"/>
      <c r="D339" s="276"/>
      <c r="E339" s="276"/>
      <c r="F339" s="288" t="s">
        <v>1369</v>
      </c>
      <c r="G339" s="501" t="s">
        <v>1375</v>
      </c>
      <c r="H339" s="272"/>
      <c r="I339" s="272"/>
      <c r="J339" s="26"/>
      <c r="K339" s="6"/>
    </row>
    <row r="340" spans="1:11" x14ac:dyDescent="0.2">
      <c r="A340" s="500"/>
      <c r="B340" s="333"/>
      <c r="C340" s="276"/>
      <c r="D340" s="276"/>
      <c r="E340" s="276"/>
      <c r="F340" s="274"/>
      <c r="G340" s="501"/>
      <c r="H340" s="272"/>
      <c r="I340" s="274"/>
      <c r="J340" s="91"/>
      <c r="K340" s="7"/>
    </row>
    <row r="341" spans="1:11" x14ac:dyDescent="0.2">
      <c r="A341" s="500"/>
      <c r="B341" s="333"/>
      <c r="C341" s="276"/>
      <c r="D341" s="276"/>
      <c r="E341" s="276"/>
      <c r="F341" s="273"/>
      <c r="G341" s="501"/>
      <c r="H341" s="273"/>
      <c r="I341" s="273"/>
      <c r="J341" s="89"/>
      <c r="K341" s="7"/>
    </row>
    <row r="342" spans="1:11" x14ac:dyDescent="0.2">
      <c r="A342" s="500"/>
      <c r="B342" s="333"/>
      <c r="C342" s="276"/>
      <c r="D342" s="276"/>
      <c r="E342" s="276"/>
      <c r="F342" s="288" t="s">
        <v>1370</v>
      </c>
      <c r="G342" s="272"/>
      <c r="H342" s="272"/>
      <c r="I342" s="272"/>
      <c r="J342" s="26"/>
      <c r="K342" s="6"/>
    </row>
    <row r="343" spans="1:11" x14ac:dyDescent="0.2">
      <c r="A343" s="500"/>
      <c r="B343" s="333"/>
      <c r="C343" s="276"/>
      <c r="D343" s="276"/>
      <c r="E343" s="276"/>
      <c r="F343" s="274"/>
      <c r="G343" s="274"/>
      <c r="H343" s="272"/>
      <c r="I343" s="274"/>
      <c r="J343" s="91"/>
      <c r="K343" s="7"/>
    </row>
    <row r="344" spans="1:11" x14ac:dyDescent="0.2">
      <c r="A344" s="500"/>
      <c r="B344" s="333"/>
      <c r="C344" s="276"/>
      <c r="D344" s="276"/>
      <c r="E344" s="276"/>
      <c r="F344" s="273"/>
      <c r="G344" s="273"/>
      <c r="H344" s="273"/>
      <c r="I344" s="273"/>
      <c r="J344" s="89"/>
      <c r="K344" s="7"/>
    </row>
    <row r="345" spans="1:11" x14ac:dyDescent="0.2">
      <c r="A345" s="500"/>
      <c r="B345" s="333"/>
      <c r="C345" s="276"/>
      <c r="D345" s="276"/>
      <c r="E345" s="276"/>
      <c r="F345" s="288" t="s">
        <v>1371</v>
      </c>
      <c r="G345" s="272"/>
      <c r="H345" s="272"/>
      <c r="I345" s="272"/>
      <c r="J345" s="26"/>
      <c r="K345" s="6"/>
    </row>
    <row r="346" spans="1:11" x14ac:dyDescent="0.2">
      <c r="A346" s="500"/>
      <c r="B346" s="333"/>
      <c r="C346" s="276"/>
      <c r="D346" s="276"/>
      <c r="E346" s="276"/>
      <c r="F346" s="274"/>
      <c r="G346" s="274"/>
      <c r="H346" s="272"/>
      <c r="I346" s="274"/>
      <c r="J346" s="91"/>
      <c r="K346" s="7"/>
    </row>
    <row r="347" spans="1:11" x14ac:dyDescent="0.2">
      <c r="A347" s="500"/>
      <c r="B347" s="333"/>
      <c r="C347" s="276"/>
      <c r="D347" s="276"/>
      <c r="E347" s="276"/>
      <c r="F347" s="273"/>
      <c r="G347" s="273"/>
      <c r="H347" s="273"/>
      <c r="I347" s="273"/>
      <c r="J347" s="89"/>
      <c r="K347" s="7"/>
    </row>
    <row r="348" spans="1:11" ht="15" customHeight="1" x14ac:dyDescent="0.2">
      <c r="A348" s="500"/>
      <c r="B348" s="331" t="s">
        <v>836</v>
      </c>
      <c r="C348" s="275" t="s">
        <v>1379</v>
      </c>
      <c r="D348" s="286"/>
      <c r="E348" s="286"/>
      <c r="F348" s="288" t="s">
        <v>1366</v>
      </c>
      <c r="G348" s="501" t="s">
        <v>1372</v>
      </c>
      <c r="H348" s="272"/>
      <c r="I348" s="272"/>
      <c r="J348" s="26"/>
      <c r="K348" s="37"/>
    </row>
    <row r="349" spans="1:11" x14ac:dyDescent="0.2">
      <c r="A349" s="500"/>
      <c r="B349" s="331"/>
      <c r="C349" s="287"/>
      <c r="D349" s="287"/>
      <c r="E349" s="287"/>
      <c r="F349" s="274"/>
      <c r="G349" s="501"/>
      <c r="H349" s="272"/>
      <c r="I349" s="274"/>
      <c r="J349" s="91"/>
      <c r="K349" s="37"/>
    </row>
    <row r="350" spans="1:11" x14ac:dyDescent="0.2">
      <c r="A350" s="500"/>
      <c r="B350" s="332"/>
      <c r="C350" s="276"/>
      <c r="D350" s="276"/>
      <c r="E350" s="276"/>
      <c r="F350" s="273"/>
      <c r="G350" s="501"/>
      <c r="H350" s="273"/>
      <c r="I350" s="273"/>
      <c r="J350" s="89"/>
      <c r="K350" s="37"/>
    </row>
    <row r="351" spans="1:11" x14ac:dyDescent="0.2">
      <c r="A351" s="500"/>
      <c r="B351" s="333"/>
      <c r="C351" s="276"/>
      <c r="D351" s="276"/>
      <c r="E351" s="276"/>
      <c r="F351" s="288" t="s">
        <v>1367</v>
      </c>
      <c r="G351" s="501" t="s">
        <v>1373</v>
      </c>
      <c r="H351" s="272"/>
      <c r="I351" s="272"/>
      <c r="J351" s="26"/>
      <c r="K351" s="7"/>
    </row>
    <row r="352" spans="1:11" x14ac:dyDescent="0.2">
      <c r="A352" s="500"/>
      <c r="B352" s="333"/>
      <c r="C352" s="276"/>
      <c r="D352" s="276"/>
      <c r="E352" s="276"/>
      <c r="F352" s="274"/>
      <c r="G352" s="501"/>
      <c r="H352" s="272"/>
      <c r="I352" s="274"/>
      <c r="J352" s="91"/>
      <c r="K352" s="7"/>
    </row>
    <row r="353" spans="1:11" x14ac:dyDescent="0.2">
      <c r="A353" s="500"/>
      <c r="B353" s="333"/>
      <c r="C353" s="276"/>
      <c r="D353" s="276"/>
      <c r="E353" s="276"/>
      <c r="F353" s="273"/>
      <c r="G353" s="501"/>
      <c r="H353" s="273"/>
      <c r="I353" s="273"/>
      <c r="J353" s="89"/>
      <c r="K353" s="7"/>
    </row>
    <row r="354" spans="1:11" x14ac:dyDescent="0.2">
      <c r="A354" s="500"/>
      <c r="B354" s="333"/>
      <c r="C354" s="276"/>
      <c r="D354" s="276"/>
      <c r="E354" s="276"/>
      <c r="F354" s="288" t="s">
        <v>1368</v>
      </c>
      <c r="G354" s="501" t="s">
        <v>1374</v>
      </c>
      <c r="H354" s="272"/>
      <c r="I354" s="272"/>
      <c r="J354" s="26"/>
      <c r="K354" s="7"/>
    </row>
    <row r="355" spans="1:11" x14ac:dyDescent="0.2">
      <c r="A355" s="500"/>
      <c r="B355" s="333"/>
      <c r="C355" s="276"/>
      <c r="D355" s="276"/>
      <c r="E355" s="276"/>
      <c r="F355" s="274"/>
      <c r="G355" s="501"/>
      <c r="H355" s="272"/>
      <c r="I355" s="274"/>
      <c r="J355" s="91"/>
      <c r="K355" s="7"/>
    </row>
    <row r="356" spans="1:11" x14ac:dyDescent="0.2">
      <c r="A356" s="500"/>
      <c r="B356" s="333"/>
      <c r="C356" s="276"/>
      <c r="D356" s="276"/>
      <c r="E356" s="276"/>
      <c r="F356" s="273"/>
      <c r="G356" s="501"/>
      <c r="H356" s="273"/>
      <c r="I356" s="273"/>
      <c r="J356" s="89"/>
      <c r="K356" s="7"/>
    </row>
    <row r="357" spans="1:11" x14ac:dyDescent="0.2">
      <c r="A357" s="500"/>
      <c r="B357" s="333"/>
      <c r="C357" s="276"/>
      <c r="D357" s="276"/>
      <c r="E357" s="276"/>
      <c r="F357" s="288" t="s">
        <v>1369</v>
      </c>
      <c r="G357" s="501" t="s">
        <v>1375</v>
      </c>
      <c r="H357" s="272"/>
      <c r="I357" s="272"/>
      <c r="J357" s="26"/>
      <c r="K357" s="6"/>
    </row>
    <row r="358" spans="1:11" x14ac:dyDescent="0.2">
      <c r="A358" s="500"/>
      <c r="B358" s="333"/>
      <c r="C358" s="276"/>
      <c r="D358" s="276"/>
      <c r="E358" s="276"/>
      <c r="F358" s="274"/>
      <c r="G358" s="501"/>
      <c r="H358" s="272"/>
      <c r="I358" s="274"/>
      <c r="J358" s="91"/>
      <c r="K358" s="7"/>
    </row>
    <row r="359" spans="1:11" x14ac:dyDescent="0.2">
      <c r="A359" s="500"/>
      <c r="B359" s="333"/>
      <c r="C359" s="276"/>
      <c r="D359" s="276"/>
      <c r="E359" s="276"/>
      <c r="F359" s="273"/>
      <c r="G359" s="501"/>
      <c r="H359" s="273"/>
      <c r="I359" s="273"/>
      <c r="J359" s="89"/>
      <c r="K359" s="7"/>
    </row>
    <row r="360" spans="1:11" x14ac:dyDescent="0.2">
      <c r="A360" s="500"/>
      <c r="B360" s="333"/>
      <c r="C360" s="276"/>
      <c r="D360" s="276"/>
      <c r="E360" s="276"/>
      <c r="F360" s="288" t="s">
        <v>1370</v>
      </c>
      <c r="G360" s="272"/>
      <c r="H360" s="272"/>
      <c r="I360" s="272"/>
      <c r="J360" s="26"/>
      <c r="K360" s="6"/>
    </row>
    <row r="361" spans="1:11" x14ac:dyDescent="0.2">
      <c r="A361" s="500"/>
      <c r="B361" s="333"/>
      <c r="C361" s="276"/>
      <c r="D361" s="276"/>
      <c r="E361" s="276"/>
      <c r="F361" s="274"/>
      <c r="G361" s="274"/>
      <c r="H361" s="272"/>
      <c r="I361" s="274"/>
      <c r="J361" s="91"/>
      <c r="K361" s="7"/>
    </row>
    <row r="362" spans="1:11" x14ac:dyDescent="0.2">
      <c r="A362" s="500"/>
      <c r="B362" s="333"/>
      <c r="C362" s="276"/>
      <c r="D362" s="276"/>
      <c r="E362" s="276"/>
      <c r="F362" s="273"/>
      <c r="G362" s="273"/>
      <c r="H362" s="273"/>
      <c r="I362" s="273"/>
      <c r="J362" s="89"/>
      <c r="K362" s="7"/>
    </row>
    <row r="363" spans="1:11" x14ac:dyDescent="0.2">
      <c r="A363" s="500"/>
      <c r="B363" s="333"/>
      <c r="C363" s="276"/>
      <c r="D363" s="276"/>
      <c r="E363" s="276"/>
      <c r="F363" s="288" t="s">
        <v>1371</v>
      </c>
      <c r="G363" s="272"/>
      <c r="H363" s="272"/>
      <c r="I363" s="272"/>
      <c r="J363" s="26"/>
      <c r="K363" s="6"/>
    </row>
    <row r="364" spans="1:11" x14ac:dyDescent="0.2">
      <c r="A364" s="500"/>
      <c r="B364" s="333"/>
      <c r="C364" s="276"/>
      <c r="D364" s="276"/>
      <c r="E364" s="276"/>
      <c r="F364" s="274"/>
      <c r="G364" s="274"/>
      <c r="H364" s="272"/>
      <c r="I364" s="274"/>
      <c r="J364" s="91"/>
      <c r="K364" s="7"/>
    </row>
    <row r="365" spans="1:11" x14ac:dyDescent="0.2">
      <c r="A365" s="500"/>
      <c r="B365" s="333"/>
      <c r="C365" s="276"/>
      <c r="D365" s="276"/>
      <c r="E365" s="276"/>
      <c r="F365" s="273"/>
      <c r="G365" s="273"/>
      <c r="H365" s="273"/>
      <c r="I365" s="273"/>
      <c r="J365" s="89"/>
      <c r="K365" s="7"/>
    </row>
    <row r="384" spans="5:5" hidden="1" x14ac:dyDescent="0.2">
      <c r="E384" s="92" t="s">
        <v>528</v>
      </c>
    </row>
    <row r="385" spans="5:5" hidden="1" x14ac:dyDescent="0.2">
      <c r="E385" s="92" t="s">
        <v>511</v>
      </c>
    </row>
    <row r="386" spans="5:5" hidden="1" x14ac:dyDescent="0.2">
      <c r="E386" s="92" t="s">
        <v>515</v>
      </c>
    </row>
    <row r="387" spans="5:5" hidden="1" x14ac:dyDescent="0.2">
      <c r="E387" s="92" t="s">
        <v>505</v>
      </c>
    </row>
    <row r="388" spans="5:5" hidden="1" x14ac:dyDescent="0.2">
      <c r="E388" s="92" t="s">
        <v>507</v>
      </c>
    </row>
  </sheetData>
  <mergeCells count="558">
    <mergeCell ref="B21:B38"/>
    <mergeCell ref="C21:C38"/>
    <mergeCell ref="G3:G5"/>
    <mergeCell ref="H3:H5"/>
    <mergeCell ref="I3:I5"/>
    <mergeCell ref="F6:F8"/>
    <mergeCell ref="G6:G8"/>
    <mergeCell ref="H6:H8"/>
    <mergeCell ref="I6:I8"/>
    <mergeCell ref="B3:B20"/>
    <mergeCell ref="C3:C20"/>
    <mergeCell ref="D3:D20"/>
    <mergeCell ref="E3:E20"/>
    <mergeCell ref="F3:F5"/>
    <mergeCell ref="F9:F11"/>
    <mergeCell ref="F15:F17"/>
    <mergeCell ref="G15:G17"/>
    <mergeCell ref="H15:H17"/>
    <mergeCell ref="I15:I17"/>
    <mergeCell ref="F18:F20"/>
    <mergeCell ref="G18:G20"/>
    <mergeCell ref="H18:H20"/>
    <mergeCell ref="I18:I20"/>
    <mergeCell ref="G9:G11"/>
    <mergeCell ref="H9:H11"/>
    <mergeCell ref="I9:I11"/>
    <mergeCell ref="F12:F14"/>
    <mergeCell ref="G12:G14"/>
    <mergeCell ref="H12:H14"/>
    <mergeCell ref="I12:I14"/>
    <mergeCell ref="D21:D38"/>
    <mergeCell ref="E21:E38"/>
    <mergeCell ref="F21:F23"/>
    <mergeCell ref="G21:G23"/>
    <mergeCell ref="H21:H23"/>
    <mergeCell ref="I21:I23"/>
    <mergeCell ref="F24:F26"/>
    <mergeCell ref="G24:G26"/>
    <mergeCell ref="H24:H26"/>
    <mergeCell ref="I24:I26"/>
    <mergeCell ref="F33:F35"/>
    <mergeCell ref="G33:G35"/>
    <mergeCell ref="H33:H35"/>
    <mergeCell ref="I33:I35"/>
    <mergeCell ref="F36:F38"/>
    <mergeCell ref="G36:G38"/>
    <mergeCell ref="H36:H38"/>
    <mergeCell ref="I36:I38"/>
    <mergeCell ref="F27:F29"/>
    <mergeCell ref="G27:G29"/>
    <mergeCell ref="H27:H29"/>
    <mergeCell ref="I27:I29"/>
    <mergeCell ref="F30:F32"/>
    <mergeCell ref="G30:G32"/>
    <mergeCell ref="H30:H32"/>
    <mergeCell ref="I30:I32"/>
    <mergeCell ref="H39:H41"/>
    <mergeCell ref="I39:I41"/>
    <mergeCell ref="H63:H65"/>
    <mergeCell ref="I63:I65"/>
    <mergeCell ref="F54:F56"/>
    <mergeCell ref="G54:G56"/>
    <mergeCell ref="F57:F59"/>
    <mergeCell ref="G57:G59"/>
    <mergeCell ref="H45:H47"/>
    <mergeCell ref="I45:I47"/>
    <mergeCell ref="F48:F50"/>
    <mergeCell ref="I54:I56"/>
    <mergeCell ref="I57:I59"/>
    <mergeCell ref="I60:I62"/>
    <mergeCell ref="H54:H56"/>
    <mergeCell ref="H57:H59"/>
    <mergeCell ref="H60:H62"/>
    <mergeCell ref="H51:H53"/>
    <mergeCell ref="I51:I53"/>
    <mergeCell ref="H48:H50"/>
    <mergeCell ref="I48:I50"/>
    <mergeCell ref="B39:B65"/>
    <mergeCell ref="C39:C65"/>
    <mergeCell ref="D39:D65"/>
    <mergeCell ref="E39:E65"/>
    <mergeCell ref="F39:F41"/>
    <mergeCell ref="G39:G41"/>
    <mergeCell ref="F45:F47"/>
    <mergeCell ref="F51:F53"/>
    <mergeCell ref="G51:G53"/>
    <mergeCell ref="F63:F65"/>
    <mergeCell ref="G63:G65"/>
    <mergeCell ref="F60:F62"/>
    <mergeCell ref="G60:G62"/>
    <mergeCell ref="G42:G44"/>
    <mergeCell ref="G48:G50"/>
    <mergeCell ref="F42:F44"/>
    <mergeCell ref="G45:G47"/>
    <mergeCell ref="H72:H74"/>
    <mergeCell ref="I72:I74"/>
    <mergeCell ref="F75:F77"/>
    <mergeCell ref="G75:G77"/>
    <mergeCell ref="H75:H77"/>
    <mergeCell ref="I75:I77"/>
    <mergeCell ref="H66:H68"/>
    <mergeCell ref="I66:I68"/>
    <mergeCell ref="F69:F71"/>
    <mergeCell ref="G69:G71"/>
    <mergeCell ref="H69:H71"/>
    <mergeCell ref="I69:I71"/>
    <mergeCell ref="B66:B113"/>
    <mergeCell ref="C66:C113"/>
    <mergeCell ref="D66:D113"/>
    <mergeCell ref="E66:E113"/>
    <mergeCell ref="F66:F68"/>
    <mergeCell ref="G66:G68"/>
    <mergeCell ref="F72:F74"/>
    <mergeCell ref="G72:G74"/>
    <mergeCell ref="F78:F80"/>
    <mergeCell ref="G78:G80"/>
    <mergeCell ref="H78:H80"/>
    <mergeCell ref="I78:I80"/>
    <mergeCell ref="F111:F113"/>
    <mergeCell ref="G111:G113"/>
    <mergeCell ref="H111:H113"/>
    <mergeCell ref="I111:I113"/>
    <mergeCell ref="G93:G95"/>
    <mergeCell ref="F96:F98"/>
    <mergeCell ref="G96:G98"/>
    <mergeCell ref="F99:F101"/>
    <mergeCell ref="F105:F107"/>
    <mergeCell ref="G105:G107"/>
    <mergeCell ref="F108:F110"/>
    <mergeCell ref="G108:G110"/>
    <mergeCell ref="F81:F83"/>
    <mergeCell ref="G81:G83"/>
    <mergeCell ref="F84:F86"/>
    <mergeCell ref="G84:G86"/>
    <mergeCell ref="F87:F89"/>
    <mergeCell ref="G87:G89"/>
    <mergeCell ref="F90:F92"/>
    <mergeCell ref="G90:G92"/>
    <mergeCell ref="F93:F95"/>
    <mergeCell ref="H81:H83"/>
    <mergeCell ref="B114:B152"/>
    <mergeCell ref="C114:C152"/>
    <mergeCell ref="D114:D152"/>
    <mergeCell ref="E114:E152"/>
    <mergeCell ref="F114:F116"/>
    <mergeCell ref="G114:G116"/>
    <mergeCell ref="F120:F122"/>
    <mergeCell ref="G120:G122"/>
    <mergeCell ref="F126:F128"/>
    <mergeCell ref="G126:G128"/>
    <mergeCell ref="F144:F146"/>
    <mergeCell ref="F147:F149"/>
    <mergeCell ref="F150:F152"/>
    <mergeCell ref="F123:F125"/>
    <mergeCell ref="G123:G125"/>
    <mergeCell ref="F132:F134"/>
    <mergeCell ref="F138:F140"/>
    <mergeCell ref="F141:F143"/>
    <mergeCell ref="F129:F131"/>
    <mergeCell ref="F117:F119"/>
    <mergeCell ref="G117:G119"/>
    <mergeCell ref="F177:F179"/>
    <mergeCell ref="G177:G179"/>
    <mergeCell ref="F180:F182"/>
    <mergeCell ref="G180:G182"/>
    <mergeCell ref="H117:H119"/>
    <mergeCell ref="I117:I119"/>
    <mergeCell ref="H120:H122"/>
    <mergeCell ref="I120:I122"/>
    <mergeCell ref="H123:H125"/>
    <mergeCell ref="I123:I125"/>
    <mergeCell ref="F135:F137"/>
    <mergeCell ref="F174:F176"/>
    <mergeCell ref="G174:G176"/>
    <mergeCell ref="F156:F158"/>
    <mergeCell ref="H156:H158"/>
    <mergeCell ref="I156:I158"/>
    <mergeCell ref="G129:G131"/>
    <mergeCell ref="H177:H179"/>
    <mergeCell ref="I177:I179"/>
    <mergeCell ref="H180:H182"/>
    <mergeCell ref="I180:I182"/>
    <mergeCell ref="H174:H176"/>
    <mergeCell ref="I174:I176"/>
    <mergeCell ref="H171:H173"/>
    <mergeCell ref="H231:H233"/>
    <mergeCell ref="I231:I233"/>
    <mergeCell ref="F210:F212"/>
    <mergeCell ref="G210:G212"/>
    <mergeCell ref="B153:B194"/>
    <mergeCell ref="C153:C194"/>
    <mergeCell ref="D153:D194"/>
    <mergeCell ref="E153:E194"/>
    <mergeCell ref="F153:F155"/>
    <mergeCell ref="F159:F161"/>
    <mergeCell ref="G159:G161"/>
    <mergeCell ref="F165:F167"/>
    <mergeCell ref="G165:G167"/>
    <mergeCell ref="F171:F173"/>
    <mergeCell ref="G171:G173"/>
    <mergeCell ref="F168:F170"/>
    <mergeCell ref="G168:G170"/>
    <mergeCell ref="F162:F164"/>
    <mergeCell ref="G162:G164"/>
    <mergeCell ref="G156:G158"/>
    <mergeCell ref="F186:F188"/>
    <mergeCell ref="G186:G188"/>
    <mergeCell ref="F189:F191"/>
    <mergeCell ref="G189:G191"/>
    <mergeCell ref="B195:B233"/>
    <mergeCell ref="C195:C233"/>
    <mergeCell ref="D195:D233"/>
    <mergeCell ref="E195:E233"/>
    <mergeCell ref="F195:F197"/>
    <mergeCell ref="F201:F203"/>
    <mergeCell ref="G201:G203"/>
    <mergeCell ref="F207:F209"/>
    <mergeCell ref="G207:G209"/>
    <mergeCell ref="F204:F206"/>
    <mergeCell ref="G204:G206"/>
    <mergeCell ref="F231:F233"/>
    <mergeCell ref="G231:G233"/>
    <mergeCell ref="F222:F224"/>
    <mergeCell ref="G222:G224"/>
    <mergeCell ref="F228:F230"/>
    <mergeCell ref="G228:G230"/>
    <mergeCell ref="H222:H224"/>
    <mergeCell ref="I222:I224"/>
    <mergeCell ref="F225:F227"/>
    <mergeCell ref="G225:G227"/>
    <mergeCell ref="H225:H227"/>
    <mergeCell ref="I225:I227"/>
    <mergeCell ref="H195:H197"/>
    <mergeCell ref="I195:I197"/>
    <mergeCell ref="F198:F200"/>
    <mergeCell ref="G198:G200"/>
    <mergeCell ref="H198:H200"/>
    <mergeCell ref="I198:I200"/>
    <mergeCell ref="G195:G197"/>
    <mergeCell ref="F219:F221"/>
    <mergeCell ref="G219:G221"/>
    <mergeCell ref="H219:H221"/>
    <mergeCell ref="I219:I221"/>
    <mergeCell ref="F213:F215"/>
    <mergeCell ref="G213:G215"/>
    <mergeCell ref="H213:H215"/>
    <mergeCell ref="I213:I215"/>
    <mergeCell ref="F216:F218"/>
    <mergeCell ref="G216:G218"/>
    <mergeCell ref="H216:H218"/>
    <mergeCell ref="H228:H230"/>
    <mergeCell ref="I228:I230"/>
    <mergeCell ref="B234:B266"/>
    <mergeCell ref="C234:C266"/>
    <mergeCell ref="D234:D266"/>
    <mergeCell ref="E234:E266"/>
    <mergeCell ref="F234:F236"/>
    <mergeCell ref="G234:G236"/>
    <mergeCell ref="F240:F242"/>
    <mergeCell ref="G240:G242"/>
    <mergeCell ref="F246:F248"/>
    <mergeCell ref="G246:G248"/>
    <mergeCell ref="H264:H266"/>
    <mergeCell ref="I264:I266"/>
    <mergeCell ref="F249:F251"/>
    <mergeCell ref="G249:G251"/>
    <mergeCell ref="H249:H251"/>
    <mergeCell ref="I249:I251"/>
    <mergeCell ref="H240:H242"/>
    <mergeCell ref="I240:I242"/>
    <mergeCell ref="F243:F245"/>
    <mergeCell ref="G243:G245"/>
    <mergeCell ref="H243:H245"/>
    <mergeCell ref="I243:I245"/>
    <mergeCell ref="F252:F254"/>
    <mergeCell ref="G252:G254"/>
    <mergeCell ref="H252:H254"/>
    <mergeCell ref="I252:I254"/>
    <mergeCell ref="F255:F257"/>
    <mergeCell ref="G255:G257"/>
    <mergeCell ref="H255:H257"/>
    <mergeCell ref="I255:I257"/>
    <mergeCell ref="H246:H248"/>
    <mergeCell ref="I246:I248"/>
    <mergeCell ref="F264:F266"/>
    <mergeCell ref="G264:G266"/>
    <mergeCell ref="B267:B308"/>
    <mergeCell ref="C267:C308"/>
    <mergeCell ref="D267:D308"/>
    <mergeCell ref="E267:E308"/>
    <mergeCell ref="F267:F269"/>
    <mergeCell ref="G267:G269"/>
    <mergeCell ref="F273:F275"/>
    <mergeCell ref="G273:G275"/>
    <mergeCell ref="F303:F305"/>
    <mergeCell ref="G303:G305"/>
    <mergeCell ref="F285:F287"/>
    <mergeCell ref="G285:G287"/>
    <mergeCell ref="F291:F293"/>
    <mergeCell ref="G291:G293"/>
    <mergeCell ref="H291:H293"/>
    <mergeCell ref="I291:I293"/>
    <mergeCell ref="F294:F296"/>
    <mergeCell ref="G294:G296"/>
    <mergeCell ref="H294:H296"/>
    <mergeCell ref="I294:I296"/>
    <mergeCell ref="H285:H287"/>
    <mergeCell ref="H273:H275"/>
    <mergeCell ref="I273:I275"/>
    <mergeCell ref="F276:F278"/>
    <mergeCell ref="G276:G278"/>
    <mergeCell ref="H276:H278"/>
    <mergeCell ref="I276:I278"/>
    <mergeCell ref="F282:F284"/>
    <mergeCell ref="G282:G284"/>
    <mergeCell ref="H282:H284"/>
    <mergeCell ref="I282:I284"/>
    <mergeCell ref="I285:I287"/>
    <mergeCell ref="F288:F290"/>
    <mergeCell ref="G288:G290"/>
    <mergeCell ref="H288:H290"/>
    <mergeCell ref="I288:I290"/>
    <mergeCell ref="H303:H305"/>
    <mergeCell ref="F312:F314"/>
    <mergeCell ref="G312:G314"/>
    <mergeCell ref="H312:H314"/>
    <mergeCell ref="I303:I305"/>
    <mergeCell ref="F306:F308"/>
    <mergeCell ref="G306:G308"/>
    <mergeCell ref="H306:H308"/>
    <mergeCell ref="I306:I308"/>
    <mergeCell ref="I315:I317"/>
    <mergeCell ref="B309:B329"/>
    <mergeCell ref="C309:C329"/>
    <mergeCell ref="D309:D329"/>
    <mergeCell ref="E309:E329"/>
    <mergeCell ref="F309:F311"/>
    <mergeCell ref="G309:G311"/>
    <mergeCell ref="F315:F317"/>
    <mergeCell ref="G315:G317"/>
    <mergeCell ref="F321:F323"/>
    <mergeCell ref="G321:G323"/>
    <mergeCell ref="F318:F320"/>
    <mergeCell ref="G318:G320"/>
    <mergeCell ref="B330:B347"/>
    <mergeCell ref="C330:C347"/>
    <mergeCell ref="D330:D347"/>
    <mergeCell ref="E330:E347"/>
    <mergeCell ref="F330:F332"/>
    <mergeCell ref="G330:G332"/>
    <mergeCell ref="F336:F338"/>
    <mergeCell ref="G336:G338"/>
    <mergeCell ref="F342:F344"/>
    <mergeCell ref="G342:G344"/>
    <mergeCell ref="P239:P241"/>
    <mergeCell ref="H342:H344"/>
    <mergeCell ref="I342:I344"/>
    <mergeCell ref="F345:F347"/>
    <mergeCell ref="G345:G347"/>
    <mergeCell ref="H345:H347"/>
    <mergeCell ref="I345:I347"/>
    <mergeCell ref="H336:H338"/>
    <mergeCell ref="I336:I338"/>
    <mergeCell ref="F339:F341"/>
    <mergeCell ref="G339:G341"/>
    <mergeCell ref="H339:H341"/>
    <mergeCell ref="I339:I341"/>
    <mergeCell ref="H330:H332"/>
    <mergeCell ref="I330:I332"/>
    <mergeCell ref="F333:F335"/>
    <mergeCell ref="G333:G335"/>
    <mergeCell ref="H333:H335"/>
    <mergeCell ref="I333:I335"/>
    <mergeCell ref="H321:H323"/>
    <mergeCell ref="H318:H320"/>
    <mergeCell ref="I318:I320"/>
    <mergeCell ref="H309:H311"/>
    <mergeCell ref="I309:I311"/>
    <mergeCell ref="H42:H44"/>
    <mergeCell ref="I42:I44"/>
    <mergeCell ref="P242:P244"/>
    <mergeCell ref="M200:M229"/>
    <mergeCell ref="N200:N202"/>
    <mergeCell ref="N203:N205"/>
    <mergeCell ref="N206:N208"/>
    <mergeCell ref="N209:N211"/>
    <mergeCell ref="N212:N214"/>
    <mergeCell ref="N215:N217"/>
    <mergeCell ref="N218:N220"/>
    <mergeCell ref="N221:N223"/>
    <mergeCell ref="O185:O244"/>
    <mergeCell ref="P185:P187"/>
    <mergeCell ref="P188:P190"/>
    <mergeCell ref="P191:P193"/>
    <mergeCell ref="P194:P196"/>
    <mergeCell ref="P197:P199"/>
    <mergeCell ref="P200:P202"/>
    <mergeCell ref="P203:P205"/>
    <mergeCell ref="P206:P208"/>
    <mergeCell ref="N224:N226"/>
    <mergeCell ref="N227:N229"/>
    <mergeCell ref="P209:P232"/>
    <mergeCell ref="P233:P235"/>
    <mergeCell ref="P236:P238"/>
    <mergeCell ref="G132:G134"/>
    <mergeCell ref="G135:G137"/>
    <mergeCell ref="G138:G140"/>
    <mergeCell ref="G141:G143"/>
    <mergeCell ref="G144:G146"/>
    <mergeCell ref="G147:G149"/>
    <mergeCell ref="G150:G152"/>
    <mergeCell ref="G153:G155"/>
    <mergeCell ref="H135:H137"/>
    <mergeCell ref="I135:I137"/>
    <mergeCell ref="H138:H140"/>
    <mergeCell ref="I138:I140"/>
    <mergeCell ref="H141:H143"/>
    <mergeCell ref="I141:I143"/>
    <mergeCell ref="H132:H134"/>
    <mergeCell ref="I132:I134"/>
    <mergeCell ref="H144:H146"/>
    <mergeCell ref="I144:I146"/>
    <mergeCell ref="H147:H149"/>
    <mergeCell ref="I147:I149"/>
    <mergeCell ref="H150:H152"/>
    <mergeCell ref="I150:I152"/>
    <mergeCell ref="I81:I83"/>
    <mergeCell ref="H84:H86"/>
    <mergeCell ref="I84:I86"/>
    <mergeCell ref="H87:H89"/>
    <mergeCell ref="I87:I89"/>
    <mergeCell ref="G99:G101"/>
    <mergeCell ref="F102:F104"/>
    <mergeCell ref="G102:G104"/>
    <mergeCell ref="H99:H101"/>
    <mergeCell ref="I99:I101"/>
    <mergeCell ref="H102:H104"/>
    <mergeCell ref="I102:I104"/>
    <mergeCell ref="I171:I173"/>
    <mergeCell ref="H165:H167"/>
    <mergeCell ref="I165:I167"/>
    <mergeCell ref="H168:H170"/>
    <mergeCell ref="I168:I170"/>
    <mergeCell ref="H159:H161"/>
    <mergeCell ref="I159:I161"/>
    <mergeCell ref="H162:H164"/>
    <mergeCell ref="I162:I164"/>
    <mergeCell ref="H105:H107"/>
    <mergeCell ref="I105:I107"/>
    <mergeCell ref="H90:H92"/>
    <mergeCell ref="I90:I92"/>
    <mergeCell ref="H93:H95"/>
    <mergeCell ref="I93:I95"/>
    <mergeCell ref="H96:H98"/>
    <mergeCell ref="I96:I98"/>
    <mergeCell ref="H153:H155"/>
    <mergeCell ref="I153:I155"/>
    <mergeCell ref="H108:H110"/>
    <mergeCell ref="I108:I110"/>
    <mergeCell ref="H129:H131"/>
    <mergeCell ref="I129:I131"/>
    <mergeCell ref="H126:H128"/>
    <mergeCell ref="I126:I128"/>
    <mergeCell ref="H114:H116"/>
    <mergeCell ref="I114:I116"/>
    <mergeCell ref="H189:H191"/>
    <mergeCell ref="I189:I191"/>
    <mergeCell ref="G183:G185"/>
    <mergeCell ref="H183:H185"/>
    <mergeCell ref="I183:I185"/>
    <mergeCell ref="F192:F194"/>
    <mergeCell ref="G192:G194"/>
    <mergeCell ref="H192:H194"/>
    <mergeCell ref="I192:I194"/>
    <mergeCell ref="H186:H188"/>
    <mergeCell ref="I186:I188"/>
    <mergeCell ref="F183:F185"/>
    <mergeCell ref="I216:I218"/>
    <mergeCell ref="H207:H209"/>
    <mergeCell ref="I207:I209"/>
    <mergeCell ref="H201:H203"/>
    <mergeCell ref="I201:I203"/>
    <mergeCell ref="H204:H206"/>
    <mergeCell ref="I204:I206"/>
    <mergeCell ref="H210:H212"/>
    <mergeCell ref="I210:I212"/>
    <mergeCell ref="H234:H236"/>
    <mergeCell ref="I234:I236"/>
    <mergeCell ref="F237:F239"/>
    <mergeCell ref="G237:G239"/>
    <mergeCell ref="H237:H239"/>
    <mergeCell ref="I237:I239"/>
    <mergeCell ref="F279:F281"/>
    <mergeCell ref="G279:G281"/>
    <mergeCell ref="H279:H281"/>
    <mergeCell ref="I279:I281"/>
    <mergeCell ref="F258:F260"/>
    <mergeCell ref="G258:G260"/>
    <mergeCell ref="H258:H260"/>
    <mergeCell ref="I258:I260"/>
    <mergeCell ref="F261:F263"/>
    <mergeCell ref="G261:G263"/>
    <mergeCell ref="H261:H263"/>
    <mergeCell ref="I261:I263"/>
    <mergeCell ref="H267:H269"/>
    <mergeCell ref="I267:I269"/>
    <mergeCell ref="F270:F272"/>
    <mergeCell ref="G270:G272"/>
    <mergeCell ref="H270:H272"/>
    <mergeCell ref="I270:I272"/>
    <mergeCell ref="C348:C365"/>
    <mergeCell ref="D348:D365"/>
    <mergeCell ref="E348:E365"/>
    <mergeCell ref="F348:F350"/>
    <mergeCell ref="G348:G350"/>
    <mergeCell ref="F297:F299"/>
    <mergeCell ref="G297:G299"/>
    <mergeCell ref="H297:H299"/>
    <mergeCell ref="I297:I299"/>
    <mergeCell ref="F300:F302"/>
    <mergeCell ref="G300:G302"/>
    <mergeCell ref="H300:H302"/>
    <mergeCell ref="I300:I302"/>
    <mergeCell ref="I321:I323"/>
    <mergeCell ref="F327:F329"/>
    <mergeCell ref="G327:G329"/>
    <mergeCell ref="H327:H329"/>
    <mergeCell ref="I327:I329"/>
    <mergeCell ref="I312:I314"/>
    <mergeCell ref="F324:F326"/>
    <mergeCell ref="G324:G326"/>
    <mergeCell ref="H324:H326"/>
    <mergeCell ref="I324:I326"/>
    <mergeCell ref="H315:H317"/>
    <mergeCell ref="A3:A365"/>
    <mergeCell ref="H360:H362"/>
    <mergeCell ref="I360:I362"/>
    <mergeCell ref="F363:F365"/>
    <mergeCell ref="G363:G365"/>
    <mergeCell ref="H363:H365"/>
    <mergeCell ref="I363:I365"/>
    <mergeCell ref="H354:H356"/>
    <mergeCell ref="I354:I356"/>
    <mergeCell ref="F357:F359"/>
    <mergeCell ref="G357:G359"/>
    <mergeCell ref="H357:H359"/>
    <mergeCell ref="I357:I359"/>
    <mergeCell ref="F360:F362"/>
    <mergeCell ref="G360:G362"/>
    <mergeCell ref="H348:H350"/>
    <mergeCell ref="I348:I350"/>
    <mergeCell ref="F351:F353"/>
    <mergeCell ref="G351:G353"/>
    <mergeCell ref="H351:H353"/>
    <mergeCell ref="I351:I353"/>
    <mergeCell ref="F354:F356"/>
    <mergeCell ref="G354:G356"/>
    <mergeCell ref="B348:B365"/>
  </mergeCells>
  <phoneticPr fontId="14" type="noConversion"/>
  <dataValidations count="1">
    <dataValidation type="list" allowBlank="1" showInputMessage="1" showErrorMessage="1" sqref="E3:E365 H3:H365" xr:uid="{6C47EDDF-E0AF-1A49-9CC8-EDEEB2E05A91}">
      <formula1>$E$384:$E$388</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C9C7-71E7-134A-8A04-DC9C2ED6FCEC}">
  <sheetPr>
    <tabColor theme="4"/>
  </sheetPr>
  <dimension ref="A1:M251"/>
  <sheetViews>
    <sheetView showGridLines="0" topLeftCell="A8" workbookViewId="0">
      <selection activeCell="I225" sqref="I225:I227"/>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58.140625" style="15" customWidth="1"/>
    <col min="10" max="10" width="9.7109375" style="15" hidden="1" customWidth="1"/>
    <col min="11" max="11" width="45.140625" style="3" hidden="1" customWidth="1"/>
    <col min="12" max="12" width="12" style="14" customWidth="1"/>
    <col min="13" max="13" width="8.7109375" style="14" customWidth="1"/>
    <col min="14" max="46" width="12" style="14" customWidth="1"/>
    <col min="47" max="254" width="13.28515625" style="14"/>
    <col min="255" max="255" width="40.28515625" style="14" customWidth="1"/>
    <col min="256" max="256" width="48.85546875" style="14" customWidth="1"/>
    <col min="257" max="257" width="53.28515625" style="14" customWidth="1"/>
    <col min="258" max="258" width="56.28515625" style="14" customWidth="1"/>
    <col min="259" max="302" width="12" style="14" customWidth="1"/>
    <col min="303" max="510" width="13.28515625" style="14"/>
    <col min="511" max="511" width="40.28515625" style="14" customWidth="1"/>
    <col min="512" max="512" width="48.85546875" style="14" customWidth="1"/>
    <col min="513" max="513" width="53.28515625" style="14" customWidth="1"/>
    <col min="514" max="514" width="56.28515625" style="14" customWidth="1"/>
    <col min="515" max="558" width="12" style="14" customWidth="1"/>
    <col min="559" max="766" width="13.28515625" style="14"/>
    <col min="767" max="767" width="40.28515625" style="14" customWidth="1"/>
    <col min="768" max="768" width="48.85546875" style="14" customWidth="1"/>
    <col min="769" max="769" width="53.28515625" style="14" customWidth="1"/>
    <col min="770" max="770" width="56.28515625" style="14" customWidth="1"/>
    <col min="771" max="814" width="12" style="14" customWidth="1"/>
    <col min="815" max="1022" width="13.28515625" style="14"/>
    <col min="1023" max="1023" width="40.28515625" style="14" customWidth="1"/>
    <col min="1024" max="1024" width="48.85546875" style="14" customWidth="1"/>
    <col min="1025" max="1025" width="53.28515625" style="14" customWidth="1"/>
    <col min="1026" max="1026" width="56.28515625" style="14" customWidth="1"/>
    <col min="1027" max="1070" width="12" style="14" customWidth="1"/>
    <col min="1071" max="1278" width="13.28515625" style="14"/>
    <col min="1279" max="1279" width="40.28515625" style="14" customWidth="1"/>
    <col min="1280" max="1280" width="48.85546875" style="14" customWidth="1"/>
    <col min="1281" max="1281" width="53.28515625" style="14" customWidth="1"/>
    <col min="1282" max="1282" width="56.28515625" style="14" customWidth="1"/>
    <col min="1283" max="1326" width="12" style="14" customWidth="1"/>
    <col min="1327" max="1534" width="13.28515625" style="14"/>
    <col min="1535" max="1535" width="40.28515625" style="14" customWidth="1"/>
    <col min="1536" max="1536" width="48.85546875" style="14" customWidth="1"/>
    <col min="1537" max="1537" width="53.28515625" style="14" customWidth="1"/>
    <col min="1538" max="1538" width="56.28515625" style="14" customWidth="1"/>
    <col min="1539" max="1582" width="12" style="14" customWidth="1"/>
    <col min="1583" max="1790" width="13.28515625" style="14"/>
    <col min="1791" max="1791" width="40.28515625" style="14" customWidth="1"/>
    <col min="1792" max="1792" width="48.85546875" style="14" customWidth="1"/>
    <col min="1793" max="1793" width="53.28515625" style="14" customWidth="1"/>
    <col min="1794" max="1794" width="56.28515625" style="14" customWidth="1"/>
    <col min="1795" max="1838" width="12" style="14" customWidth="1"/>
    <col min="1839" max="2046" width="13.28515625" style="14"/>
    <col min="2047" max="2047" width="40.28515625" style="14" customWidth="1"/>
    <col min="2048" max="2048" width="48.85546875" style="14" customWidth="1"/>
    <col min="2049" max="2049" width="53.28515625" style="14" customWidth="1"/>
    <col min="2050" max="2050" width="56.28515625" style="14" customWidth="1"/>
    <col min="2051" max="2094" width="12" style="14" customWidth="1"/>
    <col min="2095" max="2302" width="13.28515625" style="14"/>
    <col min="2303" max="2303" width="40.28515625" style="14" customWidth="1"/>
    <col min="2304" max="2304" width="48.85546875" style="14" customWidth="1"/>
    <col min="2305" max="2305" width="53.28515625" style="14" customWidth="1"/>
    <col min="2306" max="2306" width="56.28515625" style="14" customWidth="1"/>
    <col min="2307" max="2350" width="12" style="14" customWidth="1"/>
    <col min="2351" max="2558" width="13.28515625" style="14"/>
    <col min="2559" max="2559" width="40.28515625" style="14" customWidth="1"/>
    <col min="2560" max="2560" width="48.85546875" style="14" customWidth="1"/>
    <col min="2561" max="2561" width="53.28515625" style="14" customWidth="1"/>
    <col min="2562" max="2562" width="56.28515625" style="14" customWidth="1"/>
    <col min="2563" max="2606" width="12" style="14" customWidth="1"/>
    <col min="2607" max="2814" width="13.28515625" style="14"/>
    <col min="2815" max="2815" width="40.28515625" style="14" customWidth="1"/>
    <col min="2816" max="2816" width="48.85546875" style="14" customWidth="1"/>
    <col min="2817" max="2817" width="53.28515625" style="14" customWidth="1"/>
    <col min="2818" max="2818" width="56.28515625" style="14" customWidth="1"/>
    <col min="2819" max="2862" width="12" style="14" customWidth="1"/>
    <col min="2863" max="3070" width="13.28515625" style="14"/>
    <col min="3071" max="3071" width="40.28515625" style="14" customWidth="1"/>
    <col min="3072" max="3072" width="48.85546875" style="14" customWidth="1"/>
    <col min="3073" max="3073" width="53.28515625" style="14" customWidth="1"/>
    <col min="3074" max="3074" width="56.28515625" style="14" customWidth="1"/>
    <col min="3075" max="3118" width="12" style="14" customWidth="1"/>
    <col min="3119" max="3326" width="13.28515625" style="14"/>
    <col min="3327" max="3327" width="40.28515625" style="14" customWidth="1"/>
    <col min="3328" max="3328" width="48.85546875" style="14" customWidth="1"/>
    <col min="3329" max="3329" width="53.28515625" style="14" customWidth="1"/>
    <col min="3330" max="3330" width="56.28515625" style="14" customWidth="1"/>
    <col min="3331" max="3374" width="12" style="14" customWidth="1"/>
    <col min="3375" max="3582" width="13.28515625" style="14"/>
    <col min="3583" max="3583" width="40.28515625" style="14" customWidth="1"/>
    <col min="3584" max="3584" width="48.85546875" style="14" customWidth="1"/>
    <col min="3585" max="3585" width="53.28515625" style="14" customWidth="1"/>
    <col min="3586" max="3586" width="56.28515625" style="14" customWidth="1"/>
    <col min="3587" max="3630" width="12" style="14" customWidth="1"/>
    <col min="3631" max="3838" width="13.28515625" style="14"/>
    <col min="3839" max="3839" width="40.28515625" style="14" customWidth="1"/>
    <col min="3840" max="3840" width="48.85546875" style="14" customWidth="1"/>
    <col min="3841" max="3841" width="53.28515625" style="14" customWidth="1"/>
    <col min="3842" max="3842" width="56.28515625" style="14" customWidth="1"/>
    <col min="3843" max="3886" width="12" style="14" customWidth="1"/>
    <col min="3887" max="4094" width="13.28515625" style="14"/>
    <col min="4095" max="4095" width="40.28515625" style="14" customWidth="1"/>
    <col min="4096" max="4096" width="48.85546875" style="14" customWidth="1"/>
    <col min="4097" max="4097" width="53.28515625" style="14" customWidth="1"/>
    <col min="4098" max="4098" width="56.28515625" style="14" customWidth="1"/>
    <col min="4099" max="4142" width="12" style="14" customWidth="1"/>
    <col min="4143" max="4350" width="13.28515625" style="14"/>
    <col min="4351" max="4351" width="40.28515625" style="14" customWidth="1"/>
    <col min="4352" max="4352" width="48.85546875" style="14" customWidth="1"/>
    <col min="4353" max="4353" width="53.28515625" style="14" customWidth="1"/>
    <col min="4354" max="4354" width="56.28515625" style="14" customWidth="1"/>
    <col min="4355" max="4398" width="12" style="14" customWidth="1"/>
    <col min="4399" max="4606" width="13.28515625" style="14"/>
    <col min="4607" max="4607" width="40.28515625" style="14" customWidth="1"/>
    <col min="4608" max="4608" width="48.85546875" style="14" customWidth="1"/>
    <col min="4609" max="4609" width="53.28515625" style="14" customWidth="1"/>
    <col min="4610" max="4610" width="56.28515625" style="14" customWidth="1"/>
    <col min="4611" max="4654" width="12" style="14" customWidth="1"/>
    <col min="4655" max="4862" width="13.28515625" style="14"/>
    <col min="4863" max="4863" width="40.28515625" style="14" customWidth="1"/>
    <col min="4864" max="4864" width="48.85546875" style="14" customWidth="1"/>
    <col min="4865" max="4865" width="53.28515625" style="14" customWidth="1"/>
    <col min="4866" max="4866" width="56.28515625" style="14" customWidth="1"/>
    <col min="4867" max="4910" width="12" style="14" customWidth="1"/>
    <col min="4911" max="5118" width="13.28515625" style="14"/>
    <col min="5119" max="5119" width="40.28515625" style="14" customWidth="1"/>
    <col min="5120" max="5120" width="48.85546875" style="14" customWidth="1"/>
    <col min="5121" max="5121" width="53.28515625" style="14" customWidth="1"/>
    <col min="5122" max="5122" width="56.28515625" style="14" customWidth="1"/>
    <col min="5123" max="5166" width="12" style="14" customWidth="1"/>
    <col min="5167" max="5374" width="13.28515625" style="14"/>
    <col min="5375" max="5375" width="40.28515625" style="14" customWidth="1"/>
    <col min="5376" max="5376" width="48.85546875" style="14" customWidth="1"/>
    <col min="5377" max="5377" width="53.28515625" style="14" customWidth="1"/>
    <col min="5378" max="5378" width="56.28515625" style="14" customWidth="1"/>
    <col min="5379" max="5422" width="12" style="14" customWidth="1"/>
    <col min="5423" max="5630" width="13.28515625" style="14"/>
    <col min="5631" max="5631" width="40.28515625" style="14" customWidth="1"/>
    <col min="5632" max="5632" width="48.85546875" style="14" customWidth="1"/>
    <col min="5633" max="5633" width="53.28515625" style="14" customWidth="1"/>
    <col min="5634" max="5634" width="56.28515625" style="14" customWidth="1"/>
    <col min="5635" max="5678" width="12" style="14" customWidth="1"/>
    <col min="5679" max="5886" width="13.28515625" style="14"/>
    <col min="5887" max="5887" width="40.28515625" style="14" customWidth="1"/>
    <col min="5888" max="5888" width="48.85546875" style="14" customWidth="1"/>
    <col min="5889" max="5889" width="53.28515625" style="14" customWidth="1"/>
    <col min="5890" max="5890" width="56.28515625" style="14" customWidth="1"/>
    <col min="5891" max="5934" width="12" style="14" customWidth="1"/>
    <col min="5935" max="6142" width="13.28515625" style="14"/>
    <col min="6143" max="6143" width="40.28515625" style="14" customWidth="1"/>
    <col min="6144" max="6144" width="48.85546875" style="14" customWidth="1"/>
    <col min="6145" max="6145" width="53.28515625" style="14" customWidth="1"/>
    <col min="6146" max="6146" width="56.28515625" style="14" customWidth="1"/>
    <col min="6147" max="6190" width="12" style="14" customWidth="1"/>
    <col min="6191" max="6398" width="13.28515625" style="14"/>
    <col min="6399" max="6399" width="40.28515625" style="14" customWidth="1"/>
    <col min="6400" max="6400" width="48.85546875" style="14" customWidth="1"/>
    <col min="6401" max="6401" width="53.28515625" style="14" customWidth="1"/>
    <col min="6402" max="6402" width="56.28515625" style="14" customWidth="1"/>
    <col min="6403" max="6446" width="12" style="14" customWidth="1"/>
    <col min="6447" max="6654" width="13.28515625" style="14"/>
    <col min="6655" max="6655" width="40.28515625" style="14" customWidth="1"/>
    <col min="6656" max="6656" width="48.85546875" style="14" customWidth="1"/>
    <col min="6657" max="6657" width="53.28515625" style="14" customWidth="1"/>
    <col min="6658" max="6658" width="56.28515625" style="14" customWidth="1"/>
    <col min="6659" max="6702" width="12" style="14" customWidth="1"/>
    <col min="6703" max="6910" width="13.28515625" style="14"/>
    <col min="6911" max="6911" width="40.28515625" style="14" customWidth="1"/>
    <col min="6912" max="6912" width="48.85546875" style="14" customWidth="1"/>
    <col min="6913" max="6913" width="53.28515625" style="14" customWidth="1"/>
    <col min="6914" max="6914" width="56.28515625" style="14" customWidth="1"/>
    <col min="6915" max="6958" width="12" style="14" customWidth="1"/>
    <col min="6959" max="7166" width="13.28515625" style="14"/>
    <col min="7167" max="7167" width="40.28515625" style="14" customWidth="1"/>
    <col min="7168" max="7168" width="48.85546875" style="14" customWidth="1"/>
    <col min="7169" max="7169" width="53.28515625" style="14" customWidth="1"/>
    <col min="7170" max="7170" width="56.28515625" style="14" customWidth="1"/>
    <col min="7171" max="7214" width="12" style="14" customWidth="1"/>
    <col min="7215" max="7422" width="13.28515625" style="14"/>
    <col min="7423" max="7423" width="40.28515625" style="14" customWidth="1"/>
    <col min="7424" max="7424" width="48.85546875" style="14" customWidth="1"/>
    <col min="7425" max="7425" width="53.28515625" style="14" customWidth="1"/>
    <col min="7426" max="7426" width="56.28515625" style="14" customWidth="1"/>
    <col min="7427" max="7470" width="12" style="14" customWidth="1"/>
    <col min="7471" max="7678" width="13.28515625" style="14"/>
    <col min="7679" max="7679" width="40.28515625" style="14" customWidth="1"/>
    <col min="7680" max="7680" width="48.85546875" style="14" customWidth="1"/>
    <col min="7681" max="7681" width="53.28515625" style="14" customWidth="1"/>
    <col min="7682" max="7682" width="56.28515625" style="14" customWidth="1"/>
    <col min="7683" max="7726" width="12" style="14" customWidth="1"/>
    <col min="7727" max="7934" width="13.28515625" style="14"/>
    <col min="7935" max="7935" width="40.28515625" style="14" customWidth="1"/>
    <col min="7936" max="7936" width="48.85546875" style="14" customWidth="1"/>
    <col min="7937" max="7937" width="53.28515625" style="14" customWidth="1"/>
    <col min="7938" max="7938" width="56.28515625" style="14" customWidth="1"/>
    <col min="7939" max="7982" width="12" style="14" customWidth="1"/>
    <col min="7983" max="8190" width="13.28515625" style="14"/>
    <col min="8191" max="8191" width="40.28515625" style="14" customWidth="1"/>
    <col min="8192" max="8192" width="48.85546875" style="14" customWidth="1"/>
    <col min="8193" max="8193" width="53.28515625" style="14" customWidth="1"/>
    <col min="8194" max="8194" width="56.28515625" style="14" customWidth="1"/>
    <col min="8195" max="8238" width="12" style="14" customWidth="1"/>
    <col min="8239" max="8446" width="13.28515625" style="14"/>
    <col min="8447" max="8447" width="40.28515625" style="14" customWidth="1"/>
    <col min="8448" max="8448" width="48.85546875" style="14" customWidth="1"/>
    <col min="8449" max="8449" width="53.28515625" style="14" customWidth="1"/>
    <col min="8450" max="8450" width="56.28515625" style="14" customWidth="1"/>
    <col min="8451" max="8494" width="12" style="14" customWidth="1"/>
    <col min="8495" max="8702" width="13.28515625" style="14"/>
    <col min="8703" max="8703" width="40.28515625" style="14" customWidth="1"/>
    <col min="8704" max="8704" width="48.85546875" style="14" customWidth="1"/>
    <col min="8705" max="8705" width="53.28515625" style="14" customWidth="1"/>
    <col min="8706" max="8706" width="56.28515625" style="14" customWidth="1"/>
    <col min="8707" max="8750" width="12" style="14" customWidth="1"/>
    <col min="8751" max="8958" width="13.28515625" style="14"/>
    <col min="8959" max="8959" width="40.28515625" style="14" customWidth="1"/>
    <col min="8960" max="8960" width="48.85546875" style="14" customWidth="1"/>
    <col min="8961" max="8961" width="53.28515625" style="14" customWidth="1"/>
    <col min="8962" max="8962" width="56.28515625" style="14" customWidth="1"/>
    <col min="8963" max="9006" width="12" style="14" customWidth="1"/>
    <col min="9007" max="9214" width="13.28515625" style="14"/>
    <col min="9215" max="9215" width="40.28515625" style="14" customWidth="1"/>
    <col min="9216" max="9216" width="48.85546875" style="14" customWidth="1"/>
    <col min="9217" max="9217" width="53.28515625" style="14" customWidth="1"/>
    <col min="9218" max="9218" width="56.28515625" style="14" customWidth="1"/>
    <col min="9219" max="9262" width="12" style="14" customWidth="1"/>
    <col min="9263" max="9470" width="13.28515625" style="14"/>
    <col min="9471" max="9471" width="40.28515625" style="14" customWidth="1"/>
    <col min="9472" max="9472" width="48.85546875" style="14" customWidth="1"/>
    <col min="9473" max="9473" width="53.28515625" style="14" customWidth="1"/>
    <col min="9474" max="9474" width="56.28515625" style="14" customWidth="1"/>
    <col min="9475" max="9518" width="12" style="14" customWidth="1"/>
    <col min="9519" max="9726" width="13.28515625" style="14"/>
    <col min="9727" max="9727" width="40.28515625" style="14" customWidth="1"/>
    <col min="9728" max="9728" width="48.85546875" style="14" customWidth="1"/>
    <col min="9729" max="9729" width="53.28515625" style="14" customWidth="1"/>
    <col min="9730" max="9730" width="56.28515625" style="14" customWidth="1"/>
    <col min="9731" max="9774" width="12" style="14" customWidth="1"/>
    <col min="9775" max="9982" width="13.28515625" style="14"/>
    <col min="9983" max="9983" width="40.28515625" style="14" customWidth="1"/>
    <col min="9984" max="9984" width="48.85546875" style="14" customWidth="1"/>
    <col min="9985" max="9985" width="53.28515625" style="14" customWidth="1"/>
    <col min="9986" max="9986" width="56.28515625" style="14" customWidth="1"/>
    <col min="9987" max="10030" width="12" style="14" customWidth="1"/>
    <col min="10031" max="10238" width="13.28515625" style="14"/>
    <col min="10239" max="10239" width="40.28515625" style="14" customWidth="1"/>
    <col min="10240" max="10240" width="48.85546875" style="14" customWidth="1"/>
    <col min="10241" max="10241" width="53.28515625" style="14" customWidth="1"/>
    <col min="10242" max="10242" width="56.28515625" style="14" customWidth="1"/>
    <col min="10243" max="10286" width="12" style="14" customWidth="1"/>
    <col min="10287" max="10494" width="13.28515625" style="14"/>
    <col min="10495" max="10495" width="40.28515625" style="14" customWidth="1"/>
    <col min="10496" max="10496" width="48.85546875" style="14" customWidth="1"/>
    <col min="10497" max="10497" width="53.28515625" style="14" customWidth="1"/>
    <col min="10498" max="10498" width="56.28515625" style="14" customWidth="1"/>
    <col min="10499" max="10542" width="12" style="14" customWidth="1"/>
    <col min="10543" max="10750" width="13.28515625" style="14"/>
    <col min="10751" max="10751" width="40.28515625" style="14" customWidth="1"/>
    <col min="10752" max="10752" width="48.85546875" style="14" customWidth="1"/>
    <col min="10753" max="10753" width="53.28515625" style="14" customWidth="1"/>
    <col min="10754" max="10754" width="56.28515625" style="14" customWidth="1"/>
    <col min="10755" max="10798" width="12" style="14" customWidth="1"/>
    <col min="10799" max="11006" width="13.28515625" style="14"/>
    <col min="11007" max="11007" width="40.28515625" style="14" customWidth="1"/>
    <col min="11008" max="11008" width="48.85546875" style="14" customWidth="1"/>
    <col min="11009" max="11009" width="53.28515625" style="14" customWidth="1"/>
    <col min="11010" max="11010" width="56.28515625" style="14" customWidth="1"/>
    <col min="11011" max="11054" width="12" style="14" customWidth="1"/>
    <col min="11055" max="11262" width="13.28515625" style="14"/>
    <col min="11263" max="11263" width="40.28515625" style="14" customWidth="1"/>
    <col min="11264" max="11264" width="48.85546875" style="14" customWidth="1"/>
    <col min="11265" max="11265" width="53.28515625" style="14" customWidth="1"/>
    <col min="11266" max="11266" width="56.28515625" style="14" customWidth="1"/>
    <col min="11267" max="11310" width="12" style="14" customWidth="1"/>
    <col min="11311" max="11518" width="13.28515625" style="14"/>
    <col min="11519" max="11519" width="40.28515625" style="14" customWidth="1"/>
    <col min="11520" max="11520" width="48.85546875" style="14" customWidth="1"/>
    <col min="11521" max="11521" width="53.28515625" style="14" customWidth="1"/>
    <col min="11522" max="11522" width="56.28515625" style="14" customWidth="1"/>
    <col min="11523" max="11566" width="12" style="14" customWidth="1"/>
    <col min="11567" max="11774" width="13.28515625" style="14"/>
    <col min="11775" max="11775" width="40.28515625" style="14" customWidth="1"/>
    <col min="11776" max="11776" width="48.85546875" style="14" customWidth="1"/>
    <col min="11777" max="11777" width="53.28515625" style="14" customWidth="1"/>
    <col min="11778" max="11778" width="56.28515625" style="14" customWidth="1"/>
    <col min="11779" max="11822" width="12" style="14" customWidth="1"/>
    <col min="11823" max="12030" width="13.28515625" style="14"/>
    <col min="12031" max="12031" width="40.28515625" style="14" customWidth="1"/>
    <col min="12032" max="12032" width="48.85546875" style="14" customWidth="1"/>
    <col min="12033" max="12033" width="53.28515625" style="14" customWidth="1"/>
    <col min="12034" max="12034" width="56.28515625" style="14" customWidth="1"/>
    <col min="12035" max="12078" width="12" style="14" customWidth="1"/>
    <col min="12079" max="12286" width="13.28515625" style="14"/>
    <col min="12287" max="12287" width="40.28515625" style="14" customWidth="1"/>
    <col min="12288" max="12288" width="48.85546875" style="14" customWidth="1"/>
    <col min="12289" max="12289" width="53.28515625" style="14" customWidth="1"/>
    <col min="12290" max="12290" width="56.28515625" style="14" customWidth="1"/>
    <col min="12291" max="12334" width="12" style="14" customWidth="1"/>
    <col min="12335" max="12542" width="13.28515625" style="14"/>
    <col min="12543" max="12543" width="40.28515625" style="14" customWidth="1"/>
    <col min="12544" max="12544" width="48.85546875" style="14" customWidth="1"/>
    <col min="12545" max="12545" width="53.28515625" style="14" customWidth="1"/>
    <col min="12546" max="12546" width="56.28515625" style="14" customWidth="1"/>
    <col min="12547" max="12590" width="12" style="14" customWidth="1"/>
    <col min="12591" max="12798" width="13.28515625" style="14"/>
    <col min="12799" max="12799" width="40.28515625" style="14" customWidth="1"/>
    <col min="12800" max="12800" width="48.85546875" style="14" customWidth="1"/>
    <col min="12801" max="12801" width="53.28515625" style="14" customWidth="1"/>
    <col min="12802" max="12802" width="56.28515625" style="14" customWidth="1"/>
    <col min="12803" max="12846" width="12" style="14" customWidth="1"/>
    <col min="12847" max="13054" width="13.28515625" style="14"/>
    <col min="13055" max="13055" width="40.28515625" style="14" customWidth="1"/>
    <col min="13056" max="13056" width="48.85546875" style="14" customWidth="1"/>
    <col min="13057" max="13057" width="53.28515625" style="14" customWidth="1"/>
    <col min="13058" max="13058" width="56.28515625" style="14" customWidth="1"/>
    <col min="13059" max="13102" width="12" style="14" customWidth="1"/>
    <col min="13103" max="13310" width="13.28515625" style="14"/>
    <col min="13311" max="13311" width="40.28515625" style="14" customWidth="1"/>
    <col min="13312" max="13312" width="48.85546875" style="14" customWidth="1"/>
    <col min="13313" max="13313" width="53.28515625" style="14" customWidth="1"/>
    <col min="13314" max="13314" width="56.28515625" style="14" customWidth="1"/>
    <col min="13315" max="13358" width="12" style="14" customWidth="1"/>
    <col min="13359" max="13566" width="13.28515625" style="14"/>
    <col min="13567" max="13567" width="40.28515625" style="14" customWidth="1"/>
    <col min="13568" max="13568" width="48.85546875" style="14" customWidth="1"/>
    <col min="13569" max="13569" width="53.28515625" style="14" customWidth="1"/>
    <col min="13570" max="13570" width="56.28515625" style="14" customWidth="1"/>
    <col min="13571" max="13614" width="12" style="14" customWidth="1"/>
    <col min="13615" max="13822" width="13.28515625" style="14"/>
    <col min="13823" max="13823" width="40.28515625" style="14" customWidth="1"/>
    <col min="13824" max="13824" width="48.85546875" style="14" customWidth="1"/>
    <col min="13825" max="13825" width="53.28515625" style="14" customWidth="1"/>
    <col min="13826" max="13826" width="56.28515625" style="14" customWidth="1"/>
    <col min="13827" max="13870" width="12" style="14" customWidth="1"/>
    <col min="13871" max="14078" width="13.28515625" style="14"/>
    <col min="14079" max="14079" width="40.28515625" style="14" customWidth="1"/>
    <col min="14080" max="14080" width="48.85546875" style="14" customWidth="1"/>
    <col min="14081" max="14081" width="53.28515625" style="14" customWidth="1"/>
    <col min="14082" max="14082" width="56.28515625" style="14" customWidth="1"/>
    <col min="14083" max="14126" width="12" style="14" customWidth="1"/>
    <col min="14127" max="14334" width="13.28515625" style="14"/>
    <col min="14335" max="14335" width="40.28515625" style="14" customWidth="1"/>
    <col min="14336" max="14336" width="48.85546875" style="14" customWidth="1"/>
    <col min="14337" max="14337" width="53.28515625" style="14" customWidth="1"/>
    <col min="14338" max="14338" width="56.28515625" style="14" customWidth="1"/>
    <col min="14339" max="14382" width="12" style="14" customWidth="1"/>
    <col min="14383" max="14590" width="13.28515625" style="14"/>
    <col min="14591" max="14591" width="40.28515625" style="14" customWidth="1"/>
    <col min="14592" max="14592" width="48.85546875" style="14" customWidth="1"/>
    <col min="14593" max="14593" width="53.28515625" style="14" customWidth="1"/>
    <col min="14594" max="14594" width="56.28515625" style="14" customWidth="1"/>
    <col min="14595" max="14638" width="12" style="14" customWidth="1"/>
    <col min="14639" max="14846" width="13.28515625" style="14"/>
    <col min="14847" max="14847" width="40.28515625" style="14" customWidth="1"/>
    <col min="14848" max="14848" width="48.85546875" style="14" customWidth="1"/>
    <col min="14849" max="14849" width="53.28515625" style="14" customWidth="1"/>
    <col min="14850" max="14850" width="56.28515625" style="14" customWidth="1"/>
    <col min="14851" max="14894" width="12" style="14" customWidth="1"/>
    <col min="14895" max="15102" width="13.28515625" style="14"/>
    <col min="15103" max="15103" width="40.28515625" style="14" customWidth="1"/>
    <col min="15104" max="15104" width="48.85546875" style="14" customWidth="1"/>
    <col min="15105" max="15105" width="53.28515625" style="14" customWidth="1"/>
    <col min="15106" max="15106" width="56.28515625" style="14" customWidth="1"/>
    <col min="15107" max="15150" width="12" style="14" customWidth="1"/>
    <col min="15151" max="15358" width="13.28515625" style="14"/>
    <col min="15359" max="15359" width="40.28515625" style="14" customWidth="1"/>
    <col min="15360" max="15360" width="48.85546875" style="14" customWidth="1"/>
    <col min="15361" max="15361" width="53.28515625" style="14" customWidth="1"/>
    <col min="15362" max="15362" width="56.28515625" style="14" customWidth="1"/>
    <col min="15363" max="15406" width="12" style="14" customWidth="1"/>
    <col min="15407" max="15614" width="13.28515625" style="14"/>
    <col min="15615" max="15615" width="40.28515625" style="14" customWidth="1"/>
    <col min="15616" max="15616" width="48.85546875" style="14" customWidth="1"/>
    <col min="15617" max="15617" width="53.28515625" style="14" customWidth="1"/>
    <col min="15618" max="15618" width="56.28515625" style="14" customWidth="1"/>
    <col min="15619" max="15662" width="12" style="14" customWidth="1"/>
    <col min="15663" max="15870" width="13.28515625" style="14"/>
    <col min="15871" max="15871" width="40.28515625" style="14" customWidth="1"/>
    <col min="15872" max="15872" width="48.85546875" style="14" customWidth="1"/>
    <col min="15873" max="15873" width="53.28515625" style="14" customWidth="1"/>
    <col min="15874" max="15874" width="56.28515625" style="14" customWidth="1"/>
    <col min="15875" max="15918" width="12" style="14" customWidth="1"/>
    <col min="15919" max="16126" width="13.28515625" style="14"/>
    <col min="16127" max="16127" width="40.28515625" style="14" customWidth="1"/>
    <col min="16128" max="16128" width="48.85546875" style="14" customWidth="1"/>
    <col min="16129" max="16129" width="53.28515625" style="14" customWidth="1"/>
    <col min="16130" max="16130" width="56.28515625" style="14" customWidth="1"/>
    <col min="16131" max="16174" width="12" style="14" customWidth="1"/>
    <col min="16175" max="16384" width="13.28515625" style="14"/>
  </cols>
  <sheetData>
    <row r="1" spans="1:13" ht="30" customHeight="1" x14ac:dyDescent="0.2">
      <c r="A1" s="18"/>
      <c r="B1" s="18"/>
      <c r="C1" s="19"/>
      <c r="D1" s="19"/>
      <c r="E1" s="19"/>
      <c r="F1" s="19"/>
      <c r="G1" s="19"/>
      <c r="H1" s="19"/>
      <c r="I1" s="19"/>
      <c r="J1" s="19"/>
    </row>
    <row r="2" spans="1:13" s="13" customFormat="1" ht="30" x14ac:dyDescent="0.2">
      <c r="A2" s="11" t="s">
        <v>1042</v>
      </c>
      <c r="B2" s="11" t="s">
        <v>1050</v>
      </c>
      <c r="C2" s="11" t="s">
        <v>1041</v>
      </c>
      <c r="D2" s="11" t="s">
        <v>4218</v>
      </c>
      <c r="E2" s="11" t="s">
        <v>1038</v>
      </c>
      <c r="F2" s="11" t="s">
        <v>1049</v>
      </c>
      <c r="G2" s="11" t="s">
        <v>1040</v>
      </c>
      <c r="H2" s="11" t="s">
        <v>1038</v>
      </c>
      <c r="I2" s="11" t="s">
        <v>1039</v>
      </c>
      <c r="J2" s="11" t="s">
        <v>1051</v>
      </c>
      <c r="K2" s="4" t="s">
        <v>7</v>
      </c>
    </row>
    <row r="3" spans="1:13" x14ac:dyDescent="0.2">
      <c r="A3" s="354" t="s">
        <v>3997</v>
      </c>
      <c r="B3" s="275" t="s">
        <v>3938</v>
      </c>
      <c r="C3" s="362" t="s">
        <v>3998</v>
      </c>
      <c r="D3" s="275"/>
      <c r="E3" s="275" t="s">
        <v>511</v>
      </c>
      <c r="F3" s="288" t="s">
        <v>3939</v>
      </c>
      <c r="G3" s="272" t="s">
        <v>4005</v>
      </c>
      <c r="H3" s="272" t="s">
        <v>511</v>
      </c>
      <c r="I3" s="338" t="s">
        <v>4849</v>
      </c>
      <c r="J3" s="109" t="s">
        <v>3940</v>
      </c>
      <c r="K3" s="7"/>
      <c r="M3"/>
    </row>
    <row r="4" spans="1:13" x14ac:dyDescent="0.2">
      <c r="A4" s="288"/>
      <c r="B4" s="275"/>
      <c r="C4" s="275"/>
      <c r="D4" s="275"/>
      <c r="E4" s="275"/>
      <c r="F4" s="288"/>
      <c r="G4" s="272"/>
      <c r="H4" s="272"/>
      <c r="I4" s="272"/>
      <c r="J4" s="109" t="s">
        <v>3941</v>
      </c>
      <c r="K4" s="7"/>
      <c r="M4"/>
    </row>
    <row r="5" spans="1:13" x14ac:dyDescent="0.2">
      <c r="A5" s="273"/>
      <c r="B5" s="276"/>
      <c r="C5" s="276"/>
      <c r="D5" s="276"/>
      <c r="E5" s="276"/>
      <c r="F5" s="273"/>
      <c r="G5" s="273"/>
      <c r="H5" s="273"/>
      <c r="I5" s="273"/>
      <c r="J5" s="109" t="s">
        <v>3942</v>
      </c>
      <c r="K5" s="7"/>
      <c r="M5"/>
    </row>
    <row r="6" spans="1:13" ht="15" customHeight="1" x14ac:dyDescent="0.2">
      <c r="A6" s="273"/>
      <c r="B6" s="276"/>
      <c r="C6" s="276"/>
      <c r="D6" s="276"/>
      <c r="E6" s="276"/>
      <c r="F6" s="288" t="s">
        <v>3943</v>
      </c>
      <c r="G6" s="289" t="s">
        <v>4006</v>
      </c>
      <c r="H6" s="272" t="s">
        <v>511</v>
      </c>
      <c r="I6" s="338" t="s">
        <v>4812</v>
      </c>
      <c r="J6" s="109" t="s">
        <v>3944</v>
      </c>
      <c r="K6" s="7"/>
      <c r="M6"/>
    </row>
    <row r="7" spans="1:13" ht="15" customHeight="1" x14ac:dyDescent="0.2">
      <c r="A7" s="273"/>
      <c r="B7" s="276"/>
      <c r="C7" s="276"/>
      <c r="D7" s="276"/>
      <c r="E7" s="276"/>
      <c r="F7" s="288"/>
      <c r="G7" s="289"/>
      <c r="H7" s="272"/>
      <c r="I7" s="289"/>
      <c r="J7" s="109" t="s">
        <v>3945</v>
      </c>
      <c r="K7" s="7"/>
      <c r="M7"/>
    </row>
    <row r="8" spans="1:13" x14ac:dyDescent="0.2">
      <c r="A8" s="273"/>
      <c r="B8" s="276"/>
      <c r="C8" s="276"/>
      <c r="D8" s="276"/>
      <c r="E8" s="276"/>
      <c r="F8" s="273"/>
      <c r="G8" s="273"/>
      <c r="H8" s="273"/>
      <c r="I8" s="273"/>
      <c r="J8" s="109" t="s">
        <v>3946</v>
      </c>
      <c r="K8" s="7"/>
      <c r="M8"/>
    </row>
    <row r="9" spans="1:13" ht="15" customHeight="1" x14ac:dyDescent="0.2">
      <c r="A9" s="273"/>
      <c r="B9" s="276"/>
      <c r="C9" s="276"/>
      <c r="D9" s="276"/>
      <c r="E9" s="276"/>
      <c r="F9" s="288" t="s">
        <v>3947</v>
      </c>
      <c r="G9" s="272" t="s">
        <v>4007</v>
      </c>
      <c r="H9" s="272" t="s">
        <v>511</v>
      </c>
      <c r="I9" s="338" t="s">
        <v>4813</v>
      </c>
      <c r="J9" s="26"/>
      <c r="K9" s="7"/>
      <c r="M9"/>
    </row>
    <row r="10" spans="1:13" ht="15" customHeight="1" x14ac:dyDescent="0.2">
      <c r="A10" s="273"/>
      <c r="B10" s="276"/>
      <c r="C10" s="276"/>
      <c r="D10" s="276"/>
      <c r="E10" s="276"/>
      <c r="F10" s="288"/>
      <c r="G10" s="272"/>
      <c r="H10" s="272"/>
      <c r="I10" s="272"/>
      <c r="J10" s="26"/>
      <c r="K10" s="7"/>
      <c r="M10"/>
    </row>
    <row r="11" spans="1:13" x14ac:dyDescent="0.2">
      <c r="A11" s="273"/>
      <c r="B11" s="276"/>
      <c r="C11" s="276"/>
      <c r="D11" s="276"/>
      <c r="E11" s="276"/>
      <c r="F11" s="273"/>
      <c r="G11" s="273"/>
      <c r="H11" s="273"/>
      <c r="I11" s="273"/>
      <c r="J11" s="89"/>
      <c r="K11" s="7"/>
      <c r="M11"/>
    </row>
    <row r="12" spans="1:13" ht="15" customHeight="1" x14ac:dyDescent="0.2">
      <c r="A12" s="273"/>
      <c r="B12" s="276"/>
      <c r="C12" s="276"/>
      <c r="D12" s="276"/>
      <c r="E12" s="276"/>
      <c r="F12" s="288" t="s">
        <v>3948</v>
      </c>
      <c r="G12" s="272" t="s">
        <v>4008</v>
      </c>
      <c r="H12" s="272" t="s">
        <v>511</v>
      </c>
      <c r="I12" s="338" t="s">
        <v>4814</v>
      </c>
      <c r="J12" s="26"/>
      <c r="K12" s="7"/>
      <c r="M12"/>
    </row>
    <row r="13" spans="1:13" ht="15" customHeight="1" x14ac:dyDescent="0.2">
      <c r="A13" s="273"/>
      <c r="B13" s="276"/>
      <c r="C13" s="276"/>
      <c r="D13" s="276"/>
      <c r="E13" s="276"/>
      <c r="F13" s="288"/>
      <c r="G13" s="272"/>
      <c r="H13" s="272"/>
      <c r="I13" s="272"/>
      <c r="J13" s="26"/>
      <c r="K13" s="7"/>
      <c r="M13"/>
    </row>
    <row r="14" spans="1:13" x14ac:dyDescent="0.2">
      <c r="A14" s="273"/>
      <c r="B14" s="276"/>
      <c r="C14" s="276"/>
      <c r="D14" s="276"/>
      <c r="E14" s="276"/>
      <c r="F14" s="273"/>
      <c r="G14" s="273"/>
      <c r="H14" s="273"/>
      <c r="I14" s="273"/>
      <c r="J14" s="89"/>
      <c r="K14" s="7"/>
      <c r="M14"/>
    </row>
    <row r="15" spans="1:13" ht="15" customHeight="1" x14ac:dyDescent="0.2">
      <c r="A15" s="273"/>
      <c r="B15" s="276"/>
      <c r="C15" s="276"/>
      <c r="D15" s="276"/>
      <c r="E15" s="276"/>
      <c r="F15" s="288" t="s">
        <v>3949</v>
      </c>
      <c r="G15" s="272" t="s">
        <v>4009</v>
      </c>
      <c r="H15" s="272" t="s">
        <v>528</v>
      </c>
      <c r="I15" s="338" t="s">
        <v>4815</v>
      </c>
      <c r="J15" s="26"/>
      <c r="K15" s="7"/>
      <c r="M15"/>
    </row>
    <row r="16" spans="1:13" ht="15" customHeight="1" x14ac:dyDescent="0.2">
      <c r="A16" s="273"/>
      <c r="B16" s="276"/>
      <c r="C16" s="276"/>
      <c r="D16" s="276"/>
      <c r="E16" s="276"/>
      <c r="F16" s="288"/>
      <c r="G16" s="272"/>
      <c r="H16" s="272"/>
      <c r="I16" s="272"/>
      <c r="J16" s="26"/>
      <c r="K16" s="7"/>
      <c r="M16"/>
    </row>
    <row r="17" spans="1:13" x14ac:dyDescent="0.2">
      <c r="A17" s="273"/>
      <c r="B17" s="276"/>
      <c r="C17" s="276"/>
      <c r="D17" s="276"/>
      <c r="E17" s="276"/>
      <c r="F17" s="273"/>
      <c r="G17" s="273"/>
      <c r="H17" s="273"/>
      <c r="I17" s="273"/>
      <c r="J17" s="89"/>
      <c r="K17" s="7"/>
      <c r="M17"/>
    </row>
    <row r="18" spans="1:13" ht="15" customHeight="1" x14ac:dyDescent="0.2">
      <c r="A18" s="273"/>
      <c r="B18" s="276"/>
      <c r="C18" s="276"/>
      <c r="D18" s="276"/>
      <c r="E18" s="276"/>
      <c r="F18" s="288" t="s">
        <v>3950</v>
      </c>
      <c r="G18" s="272" t="s">
        <v>4010</v>
      </c>
      <c r="H18" s="272" t="s">
        <v>511</v>
      </c>
      <c r="I18" s="338" t="s">
        <v>4816</v>
      </c>
      <c r="J18" s="26"/>
      <c r="K18" s="7"/>
      <c r="M18"/>
    </row>
    <row r="19" spans="1:13" ht="15" customHeight="1" x14ac:dyDescent="0.2">
      <c r="A19" s="273"/>
      <c r="B19" s="276"/>
      <c r="C19" s="276"/>
      <c r="D19" s="276"/>
      <c r="E19" s="276"/>
      <c r="F19" s="288"/>
      <c r="G19" s="272"/>
      <c r="H19" s="272"/>
      <c r="I19" s="272"/>
      <c r="J19" s="26"/>
      <c r="K19" s="7"/>
      <c r="M19"/>
    </row>
    <row r="20" spans="1:13" x14ac:dyDescent="0.2">
      <c r="A20" s="273"/>
      <c r="B20" s="276"/>
      <c r="C20" s="276"/>
      <c r="D20" s="276"/>
      <c r="E20" s="276"/>
      <c r="F20" s="273"/>
      <c r="G20" s="273"/>
      <c r="H20" s="273"/>
      <c r="I20" s="273"/>
      <c r="J20" s="89"/>
      <c r="K20" s="7"/>
      <c r="M20"/>
    </row>
    <row r="21" spans="1:13" ht="15" customHeight="1" x14ac:dyDescent="0.2">
      <c r="A21" s="273"/>
      <c r="B21" s="276"/>
      <c r="C21" s="276"/>
      <c r="D21" s="276"/>
      <c r="E21" s="276"/>
      <c r="F21" s="288" t="s">
        <v>3999</v>
      </c>
      <c r="G21" s="272" t="s">
        <v>4011</v>
      </c>
      <c r="H21" s="272" t="s">
        <v>505</v>
      </c>
      <c r="I21" s="338" t="s">
        <v>4817</v>
      </c>
      <c r="J21" s="26"/>
      <c r="K21" s="7"/>
      <c r="M21"/>
    </row>
    <row r="22" spans="1:13" ht="15" customHeight="1" x14ac:dyDescent="0.2">
      <c r="A22" s="273"/>
      <c r="B22" s="276"/>
      <c r="C22" s="276"/>
      <c r="D22" s="276"/>
      <c r="E22" s="276"/>
      <c r="F22" s="288"/>
      <c r="G22" s="272"/>
      <c r="H22" s="272"/>
      <c r="I22" s="272"/>
      <c r="J22" s="26"/>
      <c r="K22" s="7"/>
      <c r="M22"/>
    </row>
    <row r="23" spans="1:13" x14ac:dyDescent="0.2">
      <c r="A23" s="273"/>
      <c r="B23" s="276"/>
      <c r="C23" s="276"/>
      <c r="D23" s="276"/>
      <c r="E23" s="276"/>
      <c r="F23" s="273"/>
      <c r="G23" s="273"/>
      <c r="H23" s="273"/>
      <c r="I23" s="273"/>
      <c r="J23" s="89"/>
      <c r="K23" s="7"/>
      <c r="M23"/>
    </row>
    <row r="24" spans="1:13" ht="15" customHeight="1" x14ac:dyDescent="0.2">
      <c r="A24" s="273"/>
      <c r="B24" s="276"/>
      <c r="C24" s="276"/>
      <c r="D24" s="276"/>
      <c r="E24" s="276"/>
      <c r="F24" s="288" t="s">
        <v>4000</v>
      </c>
      <c r="G24" s="272" t="s">
        <v>4012</v>
      </c>
      <c r="H24" s="272" t="s">
        <v>505</v>
      </c>
      <c r="I24" s="272"/>
      <c r="J24" s="26"/>
      <c r="K24" s="7"/>
      <c r="M24"/>
    </row>
    <row r="25" spans="1:13" ht="15" customHeight="1" x14ac:dyDescent="0.2">
      <c r="A25" s="273"/>
      <c r="B25" s="276"/>
      <c r="C25" s="276"/>
      <c r="D25" s="276"/>
      <c r="E25" s="276"/>
      <c r="F25" s="288"/>
      <c r="G25" s="272"/>
      <c r="H25" s="272"/>
      <c r="I25" s="272"/>
      <c r="J25" s="26"/>
      <c r="K25" s="7"/>
      <c r="M25"/>
    </row>
    <row r="26" spans="1:13" x14ac:dyDescent="0.2">
      <c r="A26" s="273"/>
      <c r="B26" s="276"/>
      <c r="C26" s="276"/>
      <c r="D26" s="276"/>
      <c r="E26" s="276"/>
      <c r="F26" s="273"/>
      <c r="G26" s="273"/>
      <c r="H26" s="273"/>
      <c r="I26" s="273"/>
      <c r="J26" s="89"/>
      <c r="K26" s="7"/>
      <c r="M26"/>
    </row>
    <row r="27" spans="1:13" ht="15" customHeight="1" x14ac:dyDescent="0.2">
      <c r="A27" s="273"/>
      <c r="B27" s="276"/>
      <c r="C27" s="276"/>
      <c r="D27" s="276"/>
      <c r="E27" s="276"/>
      <c r="F27" s="288" t="s">
        <v>4001</v>
      </c>
      <c r="G27" s="272" t="s">
        <v>4013</v>
      </c>
      <c r="H27" s="272" t="s">
        <v>515</v>
      </c>
      <c r="I27" s="338" t="s">
        <v>4820</v>
      </c>
      <c r="J27" s="26"/>
      <c r="K27" s="7"/>
    </row>
    <row r="28" spans="1:13" ht="15" customHeight="1" x14ac:dyDescent="0.2">
      <c r="A28" s="273"/>
      <c r="B28" s="276"/>
      <c r="C28" s="276"/>
      <c r="D28" s="276"/>
      <c r="E28" s="276"/>
      <c r="F28" s="288"/>
      <c r="G28" s="272"/>
      <c r="H28" s="272"/>
      <c r="I28" s="272"/>
      <c r="J28" s="26"/>
      <c r="K28" s="7"/>
    </row>
    <row r="29" spans="1:13" x14ac:dyDescent="0.2">
      <c r="A29" s="273"/>
      <c r="B29" s="276"/>
      <c r="C29" s="276"/>
      <c r="D29" s="276"/>
      <c r="E29" s="276"/>
      <c r="F29" s="273"/>
      <c r="G29" s="273"/>
      <c r="H29" s="273"/>
      <c r="I29" s="273"/>
      <c r="J29" s="89"/>
      <c r="K29" s="7"/>
    </row>
    <row r="30" spans="1:13" ht="15" customHeight="1" x14ac:dyDescent="0.2">
      <c r="A30" s="273"/>
      <c r="B30" s="276"/>
      <c r="C30" s="276"/>
      <c r="D30" s="276"/>
      <c r="E30" s="276"/>
      <c r="F30" s="288" t="s">
        <v>4002</v>
      </c>
      <c r="G30" s="272" t="s">
        <v>4014</v>
      </c>
      <c r="H30" s="272" t="s">
        <v>511</v>
      </c>
      <c r="I30" s="338" t="s">
        <v>4819</v>
      </c>
      <c r="J30" s="26"/>
      <c r="K30" s="7"/>
    </row>
    <row r="31" spans="1:13" ht="15" customHeight="1" x14ac:dyDescent="0.2">
      <c r="A31" s="273"/>
      <c r="B31" s="276"/>
      <c r="C31" s="276"/>
      <c r="D31" s="276"/>
      <c r="E31" s="276"/>
      <c r="F31" s="288"/>
      <c r="G31" s="272"/>
      <c r="H31" s="272"/>
      <c r="I31" s="272"/>
      <c r="J31" s="26"/>
      <c r="K31" s="7"/>
    </row>
    <row r="32" spans="1:13" x14ac:dyDescent="0.2">
      <c r="A32" s="273"/>
      <c r="B32" s="276"/>
      <c r="C32" s="276"/>
      <c r="D32" s="276"/>
      <c r="E32" s="276"/>
      <c r="F32" s="273"/>
      <c r="G32" s="273"/>
      <c r="H32" s="273"/>
      <c r="I32" s="273"/>
      <c r="J32" s="89"/>
      <c r="K32" s="7"/>
    </row>
    <row r="33" spans="1:11" ht="15" customHeight="1" x14ac:dyDescent="0.2">
      <c r="A33" s="273"/>
      <c r="B33" s="276"/>
      <c r="C33" s="276"/>
      <c r="D33" s="276"/>
      <c r="E33" s="276"/>
      <c r="F33" s="288" t="s">
        <v>4003</v>
      </c>
      <c r="G33" s="272" t="s">
        <v>4015</v>
      </c>
      <c r="H33" s="272" t="s">
        <v>511</v>
      </c>
      <c r="I33" s="338" t="s">
        <v>4818</v>
      </c>
      <c r="J33" s="26"/>
      <c r="K33" s="7"/>
    </row>
    <row r="34" spans="1:11" ht="15" customHeight="1" x14ac:dyDescent="0.2">
      <c r="A34" s="273"/>
      <c r="B34" s="276"/>
      <c r="C34" s="276"/>
      <c r="D34" s="276"/>
      <c r="E34" s="276"/>
      <c r="F34" s="288"/>
      <c r="G34" s="272"/>
      <c r="H34" s="272"/>
      <c r="I34" s="272"/>
      <c r="J34" s="26"/>
      <c r="K34" s="7"/>
    </row>
    <row r="35" spans="1:11" x14ac:dyDescent="0.2">
      <c r="A35" s="273"/>
      <c r="B35" s="276"/>
      <c r="C35" s="276"/>
      <c r="D35" s="276"/>
      <c r="E35" s="276"/>
      <c r="F35" s="273"/>
      <c r="G35" s="273"/>
      <c r="H35" s="273"/>
      <c r="I35" s="273"/>
      <c r="J35" s="89"/>
      <c r="K35" s="7"/>
    </row>
    <row r="36" spans="1:11" ht="15" customHeight="1" x14ac:dyDescent="0.2">
      <c r="A36" s="273"/>
      <c r="B36" s="276"/>
      <c r="C36" s="276"/>
      <c r="D36" s="276"/>
      <c r="E36" s="276"/>
      <c r="F36" s="288" t="s">
        <v>4004</v>
      </c>
      <c r="G36" s="272" t="s">
        <v>4016</v>
      </c>
      <c r="H36" s="272" t="s">
        <v>528</v>
      </c>
      <c r="I36" s="338" t="s">
        <v>4821</v>
      </c>
      <c r="J36" s="26"/>
      <c r="K36" s="7"/>
    </row>
    <row r="37" spans="1:11" ht="15" customHeight="1" x14ac:dyDescent="0.2">
      <c r="A37" s="273"/>
      <c r="B37" s="276"/>
      <c r="C37" s="276"/>
      <c r="D37" s="276"/>
      <c r="E37" s="276"/>
      <c r="F37" s="288"/>
      <c r="G37" s="272"/>
      <c r="H37" s="272"/>
      <c r="I37" s="272"/>
      <c r="J37" s="26"/>
      <c r="K37" s="7"/>
    </row>
    <row r="38" spans="1:11" x14ac:dyDescent="0.2">
      <c r="A38" s="273"/>
      <c r="B38" s="276"/>
      <c r="C38" s="276"/>
      <c r="D38" s="276"/>
      <c r="E38" s="276"/>
      <c r="F38" s="273"/>
      <c r="G38" s="273"/>
      <c r="H38" s="273"/>
      <c r="I38" s="273"/>
      <c r="J38" s="89"/>
      <c r="K38" s="7"/>
    </row>
    <row r="39" spans="1:11" x14ac:dyDescent="0.2">
      <c r="A39" s="273"/>
      <c r="B39" s="277" t="s">
        <v>3951</v>
      </c>
      <c r="C39" s="277" t="s">
        <v>1392</v>
      </c>
      <c r="D39" s="277"/>
      <c r="E39" s="277"/>
      <c r="F39" s="288" t="s">
        <v>3952</v>
      </c>
      <c r="G39" s="289" t="s">
        <v>4017</v>
      </c>
      <c r="H39" s="272"/>
      <c r="I39" s="289"/>
      <c r="J39" s="39"/>
      <c r="K39" s="7"/>
    </row>
    <row r="40" spans="1:11" x14ac:dyDescent="0.2">
      <c r="A40" s="273"/>
      <c r="B40" s="278"/>
      <c r="C40" s="278"/>
      <c r="D40" s="278"/>
      <c r="E40" s="278"/>
      <c r="F40" s="288"/>
      <c r="G40" s="289"/>
      <c r="H40" s="272"/>
      <c r="I40" s="289"/>
      <c r="J40" s="39"/>
      <c r="K40" s="7"/>
    </row>
    <row r="41" spans="1:11" x14ac:dyDescent="0.2">
      <c r="A41" s="273"/>
      <c r="B41" s="279"/>
      <c r="C41" s="279"/>
      <c r="D41" s="279"/>
      <c r="E41" s="279"/>
      <c r="F41" s="273"/>
      <c r="G41" s="273"/>
      <c r="H41" s="273"/>
      <c r="I41" s="273"/>
      <c r="J41" s="89"/>
      <c r="K41" s="7"/>
    </row>
    <row r="42" spans="1:11" ht="15" customHeight="1" x14ac:dyDescent="0.2">
      <c r="A42" s="273"/>
      <c r="B42" s="279"/>
      <c r="C42" s="279"/>
      <c r="D42" s="279"/>
      <c r="E42" s="279"/>
      <c r="F42" s="288" t="s">
        <v>3953</v>
      </c>
      <c r="G42" s="272" t="s">
        <v>4018</v>
      </c>
      <c r="H42" s="272"/>
      <c r="I42" s="272"/>
      <c r="J42" s="26"/>
      <c r="K42" s="7"/>
    </row>
    <row r="43" spans="1:11" ht="15" customHeight="1" x14ac:dyDescent="0.2">
      <c r="A43" s="273"/>
      <c r="B43" s="279"/>
      <c r="C43" s="279"/>
      <c r="D43" s="279"/>
      <c r="E43" s="279"/>
      <c r="F43" s="288"/>
      <c r="G43" s="272"/>
      <c r="H43" s="272"/>
      <c r="I43" s="272"/>
      <c r="J43" s="26"/>
      <c r="K43" s="7"/>
    </row>
    <row r="44" spans="1:11" x14ac:dyDescent="0.2">
      <c r="A44" s="273"/>
      <c r="B44" s="279"/>
      <c r="C44" s="279"/>
      <c r="D44" s="279"/>
      <c r="E44" s="279"/>
      <c r="F44" s="273"/>
      <c r="G44" s="273"/>
      <c r="H44" s="273"/>
      <c r="I44" s="273"/>
      <c r="J44" s="89"/>
      <c r="K44" s="7"/>
    </row>
    <row r="45" spans="1:11" x14ac:dyDescent="0.2">
      <c r="A45" s="273"/>
      <c r="B45" s="279"/>
      <c r="C45" s="279"/>
      <c r="D45" s="279"/>
      <c r="E45" s="279"/>
      <c r="F45" s="288" t="s">
        <v>3954</v>
      </c>
      <c r="G45" s="272" t="s">
        <v>4019</v>
      </c>
      <c r="H45" s="272"/>
      <c r="I45" s="272"/>
      <c r="J45" s="26"/>
      <c r="K45" s="7"/>
    </row>
    <row r="46" spans="1:11" x14ac:dyDescent="0.2">
      <c r="A46" s="273"/>
      <c r="B46" s="279"/>
      <c r="C46" s="279"/>
      <c r="D46" s="279"/>
      <c r="E46" s="279"/>
      <c r="F46" s="288"/>
      <c r="G46" s="272"/>
      <c r="H46" s="272"/>
      <c r="I46" s="272"/>
      <c r="J46" s="26"/>
      <c r="K46" s="7"/>
    </row>
    <row r="47" spans="1:11" x14ac:dyDescent="0.2">
      <c r="A47" s="273"/>
      <c r="B47" s="279"/>
      <c r="C47" s="279"/>
      <c r="D47" s="279"/>
      <c r="E47" s="279"/>
      <c r="F47" s="273"/>
      <c r="G47" s="273"/>
      <c r="H47" s="273"/>
      <c r="I47" s="273"/>
      <c r="J47" s="89"/>
      <c r="K47" s="7"/>
    </row>
    <row r="48" spans="1:11" x14ac:dyDescent="0.2">
      <c r="A48" s="273"/>
      <c r="B48" s="279"/>
      <c r="C48" s="279"/>
      <c r="D48" s="279"/>
      <c r="E48" s="279"/>
      <c r="F48" s="288" t="s">
        <v>3955</v>
      </c>
      <c r="G48" s="289" t="s">
        <v>4020</v>
      </c>
      <c r="H48" s="272"/>
      <c r="I48" s="289"/>
      <c r="J48" s="39"/>
      <c r="K48" s="7"/>
    </row>
    <row r="49" spans="1:11" x14ac:dyDescent="0.2">
      <c r="A49" s="273"/>
      <c r="B49" s="279"/>
      <c r="C49" s="279"/>
      <c r="D49" s="279"/>
      <c r="E49" s="279"/>
      <c r="F49" s="288"/>
      <c r="G49" s="289"/>
      <c r="H49" s="272"/>
      <c r="I49" s="289"/>
      <c r="J49" s="39"/>
      <c r="K49" s="7"/>
    </row>
    <row r="50" spans="1:11" x14ac:dyDescent="0.2">
      <c r="A50" s="273"/>
      <c r="B50" s="279"/>
      <c r="C50" s="279"/>
      <c r="D50" s="279"/>
      <c r="E50" s="279"/>
      <c r="F50" s="273"/>
      <c r="G50" s="273"/>
      <c r="H50" s="273"/>
      <c r="I50" s="273"/>
      <c r="J50" s="89"/>
      <c r="K50" s="37"/>
    </row>
    <row r="51" spans="1:11" x14ac:dyDescent="0.2">
      <c r="A51" s="273"/>
      <c r="B51" s="279"/>
      <c r="C51" s="279"/>
      <c r="D51" s="279"/>
      <c r="E51" s="279"/>
      <c r="F51" s="288" t="s">
        <v>3956</v>
      </c>
      <c r="G51" s="272" t="s">
        <v>4021</v>
      </c>
      <c r="H51" s="272"/>
      <c r="I51" s="272"/>
      <c r="J51" s="26"/>
      <c r="K51" s="37"/>
    </row>
    <row r="52" spans="1:11" x14ac:dyDescent="0.2">
      <c r="A52" s="273"/>
      <c r="B52" s="279"/>
      <c r="C52" s="279"/>
      <c r="D52" s="279"/>
      <c r="E52" s="279"/>
      <c r="F52" s="288"/>
      <c r="G52" s="272"/>
      <c r="H52" s="272"/>
      <c r="I52" s="272"/>
      <c r="J52" s="26"/>
      <c r="K52" s="37"/>
    </row>
    <row r="53" spans="1:11" x14ac:dyDescent="0.2">
      <c r="A53" s="273"/>
      <c r="B53" s="279"/>
      <c r="C53" s="279"/>
      <c r="D53" s="279"/>
      <c r="E53" s="279"/>
      <c r="F53" s="273"/>
      <c r="G53" s="273"/>
      <c r="H53" s="273"/>
      <c r="I53" s="273"/>
      <c r="J53" s="89"/>
      <c r="K53" s="37"/>
    </row>
    <row r="54" spans="1:11" ht="15" customHeight="1" x14ac:dyDescent="0.25">
      <c r="A54" s="273"/>
      <c r="B54" s="279"/>
      <c r="C54" s="279"/>
      <c r="D54" s="279"/>
      <c r="E54" s="279"/>
      <c r="F54" s="288" t="s">
        <v>3957</v>
      </c>
      <c r="G54" s="272" t="s">
        <v>4022</v>
      </c>
      <c r="H54" s="272"/>
      <c r="I54" s="272"/>
      <c r="J54" s="26"/>
      <c r="K54" s="104"/>
    </row>
    <row r="55" spans="1:11" ht="15" customHeight="1" x14ac:dyDescent="0.25">
      <c r="A55" s="273"/>
      <c r="B55" s="279"/>
      <c r="C55" s="279"/>
      <c r="D55" s="279"/>
      <c r="E55" s="279"/>
      <c r="F55" s="288"/>
      <c r="G55" s="272"/>
      <c r="H55" s="272"/>
      <c r="I55" s="272"/>
      <c r="J55" s="26"/>
      <c r="K55" s="104"/>
    </row>
    <row r="56" spans="1:11" x14ac:dyDescent="0.25">
      <c r="A56" s="273"/>
      <c r="B56" s="279"/>
      <c r="C56" s="279"/>
      <c r="D56" s="279"/>
      <c r="E56" s="279"/>
      <c r="F56" s="273"/>
      <c r="G56" s="273"/>
      <c r="H56" s="273"/>
      <c r="I56" s="273"/>
      <c r="J56" s="89"/>
      <c r="K56" s="33"/>
    </row>
    <row r="57" spans="1:11" ht="15" customHeight="1" x14ac:dyDescent="0.25">
      <c r="A57" s="273"/>
      <c r="B57" s="279"/>
      <c r="C57" s="279"/>
      <c r="D57" s="279"/>
      <c r="E57" s="279"/>
      <c r="F57" s="288" t="s">
        <v>4023</v>
      </c>
      <c r="G57" s="272" t="s">
        <v>4024</v>
      </c>
      <c r="H57" s="272"/>
      <c r="I57" s="272"/>
      <c r="J57" s="26"/>
      <c r="K57" s="104"/>
    </row>
    <row r="58" spans="1:11" ht="15" customHeight="1" x14ac:dyDescent="0.25">
      <c r="A58" s="273"/>
      <c r="B58" s="279"/>
      <c r="C58" s="279"/>
      <c r="D58" s="279"/>
      <c r="E58" s="279"/>
      <c r="F58" s="288"/>
      <c r="G58" s="272"/>
      <c r="H58" s="272"/>
      <c r="I58" s="272"/>
      <c r="J58" s="26"/>
      <c r="K58" s="104"/>
    </row>
    <row r="59" spans="1:11" x14ac:dyDescent="0.25">
      <c r="A59" s="273"/>
      <c r="B59" s="279"/>
      <c r="C59" s="279"/>
      <c r="D59" s="279"/>
      <c r="E59" s="279"/>
      <c r="F59" s="273"/>
      <c r="G59" s="273"/>
      <c r="H59" s="273"/>
      <c r="I59" s="273"/>
      <c r="J59" s="89"/>
      <c r="K59" s="33"/>
    </row>
    <row r="60" spans="1:11" ht="15" customHeight="1" x14ac:dyDescent="0.25">
      <c r="A60" s="273"/>
      <c r="B60" s="279"/>
      <c r="C60" s="279"/>
      <c r="D60" s="279"/>
      <c r="E60" s="279"/>
      <c r="F60" s="288" t="s">
        <v>4025</v>
      </c>
      <c r="G60" s="272" t="s">
        <v>4026</v>
      </c>
      <c r="H60" s="272"/>
      <c r="I60" s="272"/>
      <c r="J60" s="26"/>
      <c r="K60" s="104"/>
    </row>
    <row r="61" spans="1:11" ht="15" customHeight="1" x14ac:dyDescent="0.25">
      <c r="A61" s="273"/>
      <c r="B61" s="279"/>
      <c r="C61" s="279"/>
      <c r="D61" s="279"/>
      <c r="E61" s="279"/>
      <c r="F61" s="288"/>
      <c r="G61" s="272"/>
      <c r="H61" s="272"/>
      <c r="I61" s="272"/>
      <c r="J61" s="26"/>
      <c r="K61" s="104"/>
    </row>
    <row r="62" spans="1:11" x14ac:dyDescent="0.25">
      <c r="A62" s="273"/>
      <c r="B62" s="279"/>
      <c r="C62" s="279"/>
      <c r="D62" s="279"/>
      <c r="E62" s="279"/>
      <c r="F62" s="273"/>
      <c r="G62" s="273"/>
      <c r="H62" s="273"/>
      <c r="I62" s="273"/>
      <c r="J62" s="89"/>
      <c r="K62" s="33"/>
    </row>
    <row r="63" spans="1:11" ht="15" customHeight="1" x14ac:dyDescent="0.25">
      <c r="A63" s="273"/>
      <c r="B63" s="279"/>
      <c r="C63" s="279"/>
      <c r="D63" s="279"/>
      <c r="E63" s="279"/>
      <c r="F63" s="288" t="s">
        <v>4027</v>
      </c>
      <c r="G63" s="272" t="s">
        <v>4028</v>
      </c>
      <c r="H63" s="272"/>
      <c r="I63" s="272"/>
      <c r="J63" s="26"/>
      <c r="K63" s="104"/>
    </row>
    <row r="64" spans="1:11" ht="15" customHeight="1" x14ac:dyDescent="0.25">
      <c r="A64" s="273"/>
      <c r="B64" s="279"/>
      <c r="C64" s="279"/>
      <c r="D64" s="279"/>
      <c r="E64" s="279"/>
      <c r="F64" s="288"/>
      <c r="G64" s="272"/>
      <c r="H64" s="272"/>
      <c r="I64" s="272"/>
      <c r="J64" s="26"/>
      <c r="K64" s="104"/>
    </row>
    <row r="65" spans="1:11" x14ac:dyDescent="0.25">
      <c r="A65" s="273"/>
      <c r="B65" s="279"/>
      <c r="C65" s="279"/>
      <c r="D65" s="279"/>
      <c r="E65" s="279"/>
      <c r="F65" s="273"/>
      <c r="G65" s="273"/>
      <c r="H65" s="273"/>
      <c r="I65" s="273"/>
      <c r="J65" s="89"/>
      <c r="K65" s="33"/>
    </row>
    <row r="66" spans="1:11" ht="15" customHeight="1" x14ac:dyDescent="0.25">
      <c r="A66" s="273"/>
      <c r="B66" s="279"/>
      <c r="C66" s="279"/>
      <c r="D66" s="279"/>
      <c r="E66" s="279"/>
      <c r="F66" s="288" t="s">
        <v>4029</v>
      </c>
      <c r="G66" s="272" t="s">
        <v>2493</v>
      </c>
      <c r="H66" s="272"/>
      <c r="I66" s="272"/>
      <c r="J66" s="26"/>
      <c r="K66" s="104"/>
    </row>
    <row r="67" spans="1:11" ht="15" customHeight="1" x14ac:dyDescent="0.25">
      <c r="A67" s="273"/>
      <c r="B67" s="279"/>
      <c r="C67" s="279"/>
      <c r="D67" s="279"/>
      <c r="E67" s="279"/>
      <c r="F67" s="288"/>
      <c r="G67" s="272"/>
      <c r="H67" s="272"/>
      <c r="I67" s="272"/>
      <c r="J67" s="26"/>
      <c r="K67" s="104"/>
    </row>
    <row r="68" spans="1:11" x14ac:dyDescent="0.25">
      <c r="A68" s="273"/>
      <c r="B68" s="279"/>
      <c r="C68" s="279"/>
      <c r="D68" s="279"/>
      <c r="E68" s="279"/>
      <c r="F68" s="273"/>
      <c r="G68" s="273"/>
      <c r="H68" s="273"/>
      <c r="I68" s="273"/>
      <c r="J68" s="89"/>
      <c r="K68" s="33"/>
    </row>
    <row r="69" spans="1:11" ht="15" customHeight="1" x14ac:dyDescent="0.25">
      <c r="A69" s="273"/>
      <c r="B69" s="279"/>
      <c r="C69" s="279"/>
      <c r="D69" s="279"/>
      <c r="E69" s="279"/>
      <c r="F69" s="288" t="s">
        <v>4030</v>
      </c>
      <c r="G69" s="272" t="s">
        <v>4031</v>
      </c>
      <c r="H69" s="272"/>
      <c r="I69" s="272"/>
      <c r="J69" s="26"/>
      <c r="K69" s="104"/>
    </row>
    <row r="70" spans="1:11" ht="15" customHeight="1" x14ac:dyDescent="0.25">
      <c r="A70" s="273"/>
      <c r="B70" s="279"/>
      <c r="C70" s="279"/>
      <c r="D70" s="279"/>
      <c r="E70" s="279"/>
      <c r="F70" s="288"/>
      <c r="G70" s="272"/>
      <c r="H70" s="272"/>
      <c r="I70" s="272"/>
      <c r="J70" s="26"/>
      <c r="K70" s="104"/>
    </row>
    <row r="71" spans="1:11" x14ac:dyDescent="0.25">
      <c r="A71" s="273"/>
      <c r="B71" s="279"/>
      <c r="C71" s="279"/>
      <c r="D71" s="279"/>
      <c r="E71" s="279"/>
      <c r="F71" s="273"/>
      <c r="G71" s="273"/>
      <c r="H71" s="273"/>
      <c r="I71" s="273"/>
      <c r="J71" s="89"/>
      <c r="K71" s="33"/>
    </row>
    <row r="72" spans="1:11" ht="15" customHeight="1" x14ac:dyDescent="0.25">
      <c r="A72" s="273"/>
      <c r="B72" s="279"/>
      <c r="C72" s="279"/>
      <c r="D72" s="279"/>
      <c r="E72" s="279"/>
      <c r="F72" s="288" t="s">
        <v>4032</v>
      </c>
      <c r="G72" s="272" t="s">
        <v>4033</v>
      </c>
      <c r="H72" s="272"/>
      <c r="I72" s="272"/>
      <c r="J72" s="26"/>
      <c r="K72" s="104"/>
    </row>
    <row r="73" spans="1:11" ht="15" customHeight="1" x14ac:dyDescent="0.25">
      <c r="A73" s="273"/>
      <c r="B73" s="279"/>
      <c r="C73" s="279"/>
      <c r="D73" s="279"/>
      <c r="E73" s="279"/>
      <c r="F73" s="288"/>
      <c r="G73" s="272"/>
      <c r="H73" s="272"/>
      <c r="I73" s="272"/>
      <c r="J73" s="26"/>
      <c r="K73" s="104"/>
    </row>
    <row r="74" spans="1:11" x14ac:dyDescent="0.25">
      <c r="A74" s="273"/>
      <c r="B74" s="279"/>
      <c r="C74" s="279"/>
      <c r="D74" s="279"/>
      <c r="E74" s="279"/>
      <c r="F74" s="273"/>
      <c r="G74" s="273"/>
      <c r="H74" s="273"/>
      <c r="I74" s="273"/>
      <c r="J74" s="89"/>
      <c r="K74" s="33"/>
    </row>
    <row r="75" spans="1:11" ht="15" customHeight="1" x14ac:dyDescent="0.25">
      <c r="A75" s="273"/>
      <c r="B75" s="279"/>
      <c r="C75" s="279"/>
      <c r="D75" s="279"/>
      <c r="E75" s="279"/>
      <c r="F75" s="288" t="s">
        <v>4084</v>
      </c>
      <c r="G75" s="272"/>
      <c r="H75" s="272"/>
      <c r="I75" s="272"/>
      <c r="J75" s="26"/>
      <c r="K75" s="104"/>
    </row>
    <row r="76" spans="1:11" ht="15" customHeight="1" x14ac:dyDescent="0.25">
      <c r="A76" s="273"/>
      <c r="B76" s="279"/>
      <c r="C76" s="279"/>
      <c r="D76" s="279"/>
      <c r="E76" s="279"/>
      <c r="F76" s="288"/>
      <c r="G76" s="272"/>
      <c r="H76" s="272"/>
      <c r="I76" s="272"/>
      <c r="J76" s="26"/>
      <c r="K76" s="104"/>
    </row>
    <row r="77" spans="1:11" x14ac:dyDescent="0.25">
      <c r="A77" s="273"/>
      <c r="B77" s="279"/>
      <c r="C77" s="279"/>
      <c r="D77" s="279"/>
      <c r="E77" s="279"/>
      <c r="F77" s="273"/>
      <c r="G77" s="273"/>
      <c r="H77" s="273"/>
      <c r="I77" s="273"/>
      <c r="J77" s="89"/>
      <c r="K77" s="33"/>
    </row>
    <row r="78" spans="1:11" x14ac:dyDescent="0.25">
      <c r="A78" s="276"/>
      <c r="B78" s="280" t="s">
        <v>3958</v>
      </c>
      <c r="C78" s="280" t="s">
        <v>1393</v>
      </c>
      <c r="D78" s="280"/>
      <c r="E78" s="280"/>
      <c r="F78" s="288" t="s">
        <v>3959</v>
      </c>
      <c r="G78" s="272" t="s">
        <v>4034</v>
      </c>
      <c r="H78" s="272"/>
      <c r="I78" s="272"/>
      <c r="J78" s="26"/>
      <c r="K78" s="33"/>
    </row>
    <row r="79" spans="1:11" x14ac:dyDescent="0.25">
      <c r="A79" s="276"/>
      <c r="B79" s="280"/>
      <c r="C79" s="280"/>
      <c r="D79" s="280"/>
      <c r="E79" s="280"/>
      <c r="F79" s="288"/>
      <c r="G79" s="272"/>
      <c r="H79" s="272"/>
      <c r="I79" s="272"/>
      <c r="J79" s="26"/>
      <c r="K79" s="33"/>
    </row>
    <row r="80" spans="1:11" x14ac:dyDescent="0.25">
      <c r="A80" s="276"/>
      <c r="B80" s="281"/>
      <c r="C80" s="281"/>
      <c r="D80" s="281"/>
      <c r="E80" s="281"/>
      <c r="F80" s="273"/>
      <c r="G80" s="273"/>
      <c r="H80" s="273"/>
      <c r="I80" s="273"/>
      <c r="J80" s="89"/>
      <c r="K80" s="33"/>
    </row>
    <row r="81" spans="1:13" ht="15" customHeight="1" x14ac:dyDescent="0.25">
      <c r="A81" s="276"/>
      <c r="B81" s="281"/>
      <c r="C81" s="281"/>
      <c r="D81" s="281"/>
      <c r="E81" s="281"/>
      <c r="F81" s="288" t="s">
        <v>3960</v>
      </c>
      <c r="G81" s="272" t="s">
        <v>4035</v>
      </c>
      <c r="H81" s="272"/>
      <c r="I81" s="272"/>
      <c r="J81" s="26"/>
      <c r="K81" s="33"/>
    </row>
    <row r="82" spans="1:13" ht="15" customHeight="1" x14ac:dyDescent="0.25">
      <c r="A82" s="276"/>
      <c r="B82" s="281"/>
      <c r="C82" s="281"/>
      <c r="D82" s="281"/>
      <c r="E82" s="281"/>
      <c r="F82" s="288"/>
      <c r="G82" s="272"/>
      <c r="H82" s="272"/>
      <c r="I82" s="272"/>
      <c r="J82" s="26"/>
      <c r="K82" s="33"/>
    </row>
    <row r="83" spans="1:13" x14ac:dyDescent="0.25">
      <c r="A83" s="276"/>
      <c r="B83" s="281"/>
      <c r="C83" s="281"/>
      <c r="D83" s="281"/>
      <c r="E83" s="281"/>
      <c r="F83" s="273"/>
      <c r="G83" s="273"/>
      <c r="H83" s="273"/>
      <c r="I83" s="273"/>
      <c r="J83" s="89"/>
      <c r="K83" s="33"/>
    </row>
    <row r="84" spans="1:13" ht="15" customHeight="1" x14ac:dyDescent="0.25">
      <c r="A84" s="276"/>
      <c r="B84" s="281"/>
      <c r="C84" s="281"/>
      <c r="D84" s="281"/>
      <c r="E84" s="281"/>
      <c r="F84" s="288" t="s">
        <v>3961</v>
      </c>
      <c r="G84" s="272" t="s">
        <v>4036</v>
      </c>
      <c r="H84" s="272"/>
      <c r="I84" s="272"/>
      <c r="J84" s="26"/>
      <c r="K84" s="33"/>
    </row>
    <row r="85" spans="1:13" ht="15" customHeight="1" x14ac:dyDescent="0.25">
      <c r="A85" s="276"/>
      <c r="B85" s="281"/>
      <c r="C85" s="281"/>
      <c r="D85" s="281"/>
      <c r="E85" s="281"/>
      <c r="F85" s="288"/>
      <c r="G85" s="272"/>
      <c r="H85" s="272"/>
      <c r="I85" s="272"/>
      <c r="J85" s="26"/>
      <c r="K85" s="33"/>
    </row>
    <row r="86" spans="1:13" x14ac:dyDescent="0.25">
      <c r="A86" s="276"/>
      <c r="B86" s="281"/>
      <c r="C86" s="281"/>
      <c r="D86" s="281"/>
      <c r="E86" s="281"/>
      <c r="F86" s="273"/>
      <c r="G86" s="273"/>
      <c r="H86" s="273"/>
      <c r="I86" s="273"/>
      <c r="J86" s="89"/>
      <c r="K86" s="33"/>
    </row>
    <row r="87" spans="1:13" x14ac:dyDescent="0.25">
      <c r="A87" s="276"/>
      <c r="B87" s="281"/>
      <c r="C87" s="281"/>
      <c r="D87" s="281"/>
      <c r="E87" s="281"/>
      <c r="F87" s="288" t="s">
        <v>3962</v>
      </c>
      <c r="G87" s="272" t="s">
        <v>4037</v>
      </c>
      <c r="H87" s="272"/>
      <c r="I87" s="272"/>
      <c r="J87" s="26"/>
      <c r="K87" s="33"/>
    </row>
    <row r="88" spans="1:13" x14ac:dyDescent="0.25">
      <c r="A88" s="276"/>
      <c r="B88" s="281"/>
      <c r="C88" s="281"/>
      <c r="D88" s="281"/>
      <c r="E88" s="281"/>
      <c r="F88" s="288"/>
      <c r="G88" s="272"/>
      <c r="H88" s="272"/>
      <c r="I88" s="272"/>
      <c r="J88" s="26"/>
      <c r="K88" s="33"/>
      <c r="M88"/>
    </row>
    <row r="89" spans="1:13" x14ac:dyDescent="0.25">
      <c r="A89" s="276"/>
      <c r="B89" s="281"/>
      <c r="C89" s="281"/>
      <c r="D89" s="281"/>
      <c r="E89" s="281"/>
      <c r="F89" s="273"/>
      <c r="G89" s="273"/>
      <c r="H89" s="273"/>
      <c r="I89" s="273"/>
      <c r="J89" s="89"/>
      <c r="K89" s="33"/>
      <c r="M89"/>
    </row>
    <row r="90" spans="1:13" ht="15" customHeight="1" x14ac:dyDescent="0.25">
      <c r="A90" s="276"/>
      <c r="B90" s="281"/>
      <c r="C90" s="281"/>
      <c r="D90" s="281"/>
      <c r="E90" s="281"/>
      <c r="F90" s="288" t="s">
        <v>3963</v>
      </c>
      <c r="G90" s="272" t="s">
        <v>4038</v>
      </c>
      <c r="H90" s="272"/>
      <c r="I90" s="272"/>
      <c r="J90" s="26"/>
      <c r="K90" s="33"/>
      <c r="M90"/>
    </row>
    <row r="91" spans="1:13" x14ac:dyDescent="0.25">
      <c r="A91" s="276"/>
      <c r="B91" s="281"/>
      <c r="C91" s="281"/>
      <c r="D91" s="281"/>
      <c r="E91" s="281"/>
      <c r="F91" s="288"/>
      <c r="G91" s="272"/>
      <c r="H91" s="272"/>
      <c r="I91" s="272"/>
      <c r="J91" s="26"/>
      <c r="K91" s="33"/>
      <c r="M91"/>
    </row>
    <row r="92" spans="1:13" x14ac:dyDescent="0.25">
      <c r="A92" s="276"/>
      <c r="B92" s="281"/>
      <c r="C92" s="281"/>
      <c r="D92" s="281"/>
      <c r="E92" s="281"/>
      <c r="F92" s="273"/>
      <c r="G92" s="273"/>
      <c r="H92" s="273"/>
      <c r="I92" s="273"/>
      <c r="J92" s="89"/>
      <c r="K92" s="33"/>
      <c r="M92"/>
    </row>
    <row r="93" spans="1:13" ht="15" customHeight="1" x14ac:dyDescent="0.25">
      <c r="A93" s="276"/>
      <c r="B93" s="281"/>
      <c r="C93" s="281"/>
      <c r="D93" s="281"/>
      <c r="E93" s="281"/>
      <c r="F93" s="288" t="s">
        <v>3964</v>
      </c>
      <c r="G93" s="272" t="s">
        <v>4039</v>
      </c>
      <c r="H93" s="272"/>
      <c r="I93" s="272"/>
      <c r="J93" s="26"/>
      <c r="K93" s="33"/>
      <c r="M93"/>
    </row>
    <row r="94" spans="1:13" x14ac:dyDescent="0.25">
      <c r="A94" s="276"/>
      <c r="B94" s="281"/>
      <c r="C94" s="281"/>
      <c r="D94" s="281"/>
      <c r="E94" s="281"/>
      <c r="F94" s="288"/>
      <c r="G94" s="272"/>
      <c r="H94" s="272"/>
      <c r="I94" s="272"/>
      <c r="J94" s="26"/>
      <c r="K94" s="33"/>
      <c r="M94"/>
    </row>
    <row r="95" spans="1:13" x14ac:dyDescent="0.25">
      <c r="A95" s="276"/>
      <c r="B95" s="281"/>
      <c r="C95" s="281"/>
      <c r="D95" s="281"/>
      <c r="E95" s="281"/>
      <c r="F95" s="273"/>
      <c r="G95" s="273"/>
      <c r="H95" s="273"/>
      <c r="I95" s="273"/>
      <c r="J95" s="89"/>
      <c r="K95" s="33"/>
      <c r="M95"/>
    </row>
    <row r="96" spans="1:13" ht="15" customHeight="1" x14ac:dyDescent="0.25">
      <c r="A96" s="276"/>
      <c r="B96" s="281"/>
      <c r="C96" s="281"/>
      <c r="D96" s="281"/>
      <c r="E96" s="281"/>
      <c r="F96" s="288" t="s">
        <v>4040</v>
      </c>
      <c r="G96" s="272" t="s">
        <v>4041</v>
      </c>
      <c r="H96" s="272"/>
      <c r="I96" s="272"/>
      <c r="J96" s="26"/>
      <c r="K96" s="33"/>
      <c r="M96"/>
    </row>
    <row r="97" spans="1:13" x14ac:dyDescent="0.25">
      <c r="A97" s="276"/>
      <c r="B97" s="281"/>
      <c r="C97" s="281"/>
      <c r="D97" s="281"/>
      <c r="E97" s="281"/>
      <c r="F97" s="288"/>
      <c r="G97" s="272"/>
      <c r="H97" s="272"/>
      <c r="I97" s="272"/>
      <c r="J97" s="26"/>
      <c r="K97" s="33"/>
      <c r="M97"/>
    </row>
    <row r="98" spans="1:13" x14ac:dyDescent="0.25">
      <c r="A98" s="276"/>
      <c r="B98" s="281"/>
      <c r="C98" s="281"/>
      <c r="D98" s="281"/>
      <c r="E98" s="281"/>
      <c r="F98" s="273"/>
      <c r="G98" s="273"/>
      <c r="H98" s="273"/>
      <c r="I98" s="273"/>
      <c r="J98" s="89"/>
      <c r="K98" s="33"/>
      <c r="M98"/>
    </row>
    <row r="99" spans="1:13" ht="15" customHeight="1" x14ac:dyDescent="0.25">
      <c r="A99" s="276"/>
      <c r="B99" s="281"/>
      <c r="C99" s="281"/>
      <c r="D99" s="281"/>
      <c r="E99" s="281"/>
      <c r="F99" s="288" t="s">
        <v>4042</v>
      </c>
      <c r="G99" s="272" t="s">
        <v>4043</v>
      </c>
      <c r="H99" s="272"/>
      <c r="I99" s="272"/>
      <c r="J99" s="26"/>
      <c r="K99" s="33"/>
      <c r="M99"/>
    </row>
    <row r="100" spans="1:13" x14ac:dyDescent="0.25">
      <c r="A100" s="276"/>
      <c r="B100" s="281"/>
      <c r="C100" s="281"/>
      <c r="D100" s="281"/>
      <c r="E100" s="281"/>
      <c r="F100" s="288"/>
      <c r="G100" s="272"/>
      <c r="H100" s="272"/>
      <c r="I100" s="272"/>
      <c r="J100" s="26"/>
      <c r="K100" s="33"/>
      <c r="M100"/>
    </row>
    <row r="101" spans="1:13" x14ac:dyDescent="0.25">
      <c r="A101" s="276"/>
      <c r="B101" s="281"/>
      <c r="C101" s="281"/>
      <c r="D101" s="281"/>
      <c r="E101" s="281"/>
      <c r="F101" s="273"/>
      <c r="G101" s="273"/>
      <c r="H101" s="273"/>
      <c r="I101" s="273"/>
      <c r="J101" s="89"/>
      <c r="K101" s="33"/>
      <c r="M101"/>
    </row>
    <row r="102" spans="1:13" ht="15" customHeight="1" x14ac:dyDescent="0.25">
      <c r="A102" s="276"/>
      <c r="B102" s="281"/>
      <c r="C102" s="281"/>
      <c r="D102" s="281"/>
      <c r="E102" s="281"/>
      <c r="F102" s="288" t="s">
        <v>4044</v>
      </c>
      <c r="G102" s="272" t="s">
        <v>4045</v>
      </c>
      <c r="H102" s="272"/>
      <c r="I102" s="272"/>
      <c r="J102" s="26"/>
      <c r="K102" s="33"/>
      <c r="M102"/>
    </row>
    <row r="103" spans="1:13" x14ac:dyDescent="0.25">
      <c r="A103" s="276"/>
      <c r="B103" s="281"/>
      <c r="C103" s="281"/>
      <c r="D103" s="281"/>
      <c r="E103" s="281"/>
      <c r="F103" s="288"/>
      <c r="G103" s="272"/>
      <c r="H103" s="272"/>
      <c r="I103" s="272"/>
      <c r="J103" s="26"/>
      <c r="K103" s="33"/>
      <c r="M103"/>
    </row>
    <row r="104" spans="1:13" x14ac:dyDescent="0.25">
      <c r="A104" s="276"/>
      <c r="B104" s="281"/>
      <c r="C104" s="281"/>
      <c r="D104" s="281"/>
      <c r="E104" s="281"/>
      <c r="F104" s="273"/>
      <c r="G104" s="273"/>
      <c r="H104" s="273"/>
      <c r="I104" s="273"/>
      <c r="J104" s="89"/>
      <c r="K104" s="33"/>
      <c r="M104"/>
    </row>
    <row r="105" spans="1:13" ht="15" customHeight="1" x14ac:dyDescent="0.25">
      <c r="A105" s="276"/>
      <c r="B105" s="281"/>
      <c r="C105" s="281"/>
      <c r="D105" s="281"/>
      <c r="E105" s="281"/>
      <c r="F105" s="288" t="s">
        <v>4046</v>
      </c>
      <c r="G105" s="272" t="s">
        <v>4047</v>
      </c>
      <c r="H105" s="272"/>
      <c r="I105" s="272"/>
      <c r="J105" s="26"/>
      <c r="K105" s="33"/>
      <c r="M105"/>
    </row>
    <row r="106" spans="1:13" x14ac:dyDescent="0.25">
      <c r="A106" s="276"/>
      <c r="B106" s="281"/>
      <c r="C106" s="281"/>
      <c r="D106" s="281"/>
      <c r="E106" s="281"/>
      <c r="F106" s="288"/>
      <c r="G106" s="272"/>
      <c r="H106" s="272"/>
      <c r="I106" s="272"/>
      <c r="J106" s="26"/>
      <c r="K106" s="33"/>
      <c r="M106"/>
    </row>
    <row r="107" spans="1:13" x14ac:dyDescent="0.25">
      <c r="A107" s="276"/>
      <c r="B107" s="281"/>
      <c r="C107" s="281"/>
      <c r="D107" s="281"/>
      <c r="E107" s="281"/>
      <c r="F107" s="273"/>
      <c r="G107" s="273"/>
      <c r="H107" s="273"/>
      <c r="I107" s="273"/>
      <c r="J107" s="89"/>
      <c r="K107" s="33"/>
      <c r="M107"/>
    </row>
    <row r="108" spans="1:13" ht="15" customHeight="1" x14ac:dyDescent="0.25">
      <c r="A108" s="276"/>
      <c r="B108" s="281"/>
      <c r="C108" s="281"/>
      <c r="D108" s="281"/>
      <c r="E108" s="281"/>
      <c r="F108" s="288" t="s">
        <v>4048</v>
      </c>
      <c r="G108" s="272" t="s">
        <v>4049</v>
      </c>
      <c r="H108" s="272"/>
      <c r="I108" s="272"/>
      <c r="J108" s="26"/>
      <c r="K108" s="33"/>
      <c r="M108"/>
    </row>
    <row r="109" spans="1:13" x14ac:dyDescent="0.25">
      <c r="A109" s="276"/>
      <c r="B109" s="281"/>
      <c r="C109" s="281"/>
      <c r="D109" s="281"/>
      <c r="E109" s="281"/>
      <c r="F109" s="288"/>
      <c r="G109" s="272"/>
      <c r="H109" s="272"/>
      <c r="I109" s="272"/>
      <c r="J109" s="26"/>
      <c r="K109" s="33"/>
      <c r="M109"/>
    </row>
    <row r="110" spans="1:13" x14ac:dyDescent="0.25">
      <c r="A110" s="276"/>
      <c r="B110" s="281"/>
      <c r="C110" s="281"/>
      <c r="D110" s="281"/>
      <c r="E110" s="281"/>
      <c r="F110" s="273"/>
      <c r="G110" s="273"/>
      <c r="H110" s="273"/>
      <c r="I110" s="273"/>
      <c r="J110" s="89"/>
      <c r="K110" s="33"/>
      <c r="M110"/>
    </row>
    <row r="111" spans="1:13" ht="15" customHeight="1" x14ac:dyDescent="0.25">
      <c r="A111" s="276"/>
      <c r="B111" s="281"/>
      <c r="C111" s="281"/>
      <c r="D111" s="281"/>
      <c r="E111" s="281"/>
      <c r="F111" s="288" t="s">
        <v>4050</v>
      </c>
      <c r="G111" s="272" t="s">
        <v>4051</v>
      </c>
      <c r="H111" s="272"/>
      <c r="I111" s="272"/>
      <c r="J111" s="26"/>
      <c r="K111" s="33"/>
      <c r="M111"/>
    </row>
    <row r="112" spans="1:13" ht="15" customHeight="1" x14ac:dyDescent="0.25">
      <c r="A112" s="276"/>
      <c r="B112" s="281"/>
      <c r="C112" s="281"/>
      <c r="D112" s="281"/>
      <c r="E112" s="281"/>
      <c r="F112" s="288"/>
      <c r="G112" s="272"/>
      <c r="H112" s="272"/>
      <c r="I112" s="272"/>
      <c r="J112" s="26"/>
      <c r="K112" s="33"/>
      <c r="M112"/>
    </row>
    <row r="113" spans="1:13" x14ac:dyDescent="0.25">
      <c r="A113" s="276"/>
      <c r="B113" s="281"/>
      <c r="C113" s="281"/>
      <c r="D113" s="281"/>
      <c r="E113" s="281"/>
      <c r="F113" s="273"/>
      <c r="G113" s="273"/>
      <c r="H113" s="273"/>
      <c r="I113" s="273"/>
      <c r="J113" s="89"/>
      <c r="K113" s="33"/>
      <c r="M113"/>
    </row>
    <row r="114" spans="1:13" x14ac:dyDescent="0.25">
      <c r="A114" s="276"/>
      <c r="B114" s="282" t="s">
        <v>3965</v>
      </c>
      <c r="C114" s="282" t="s">
        <v>1395</v>
      </c>
      <c r="D114" s="282"/>
      <c r="E114" s="282" t="s">
        <v>515</v>
      </c>
      <c r="F114" s="288" t="s">
        <v>3966</v>
      </c>
      <c r="G114" s="272" t="s">
        <v>4052</v>
      </c>
      <c r="H114" s="272" t="s">
        <v>511</v>
      </c>
      <c r="I114" s="338" t="s">
        <v>4824</v>
      </c>
      <c r="J114" s="26"/>
      <c r="K114" s="33"/>
      <c r="M114"/>
    </row>
    <row r="115" spans="1:13" x14ac:dyDescent="0.25">
      <c r="A115" s="276"/>
      <c r="B115" s="283"/>
      <c r="C115" s="283"/>
      <c r="D115" s="283"/>
      <c r="E115" s="283"/>
      <c r="F115" s="288"/>
      <c r="G115" s="272"/>
      <c r="H115" s="272"/>
      <c r="I115" s="272"/>
      <c r="J115" s="26"/>
      <c r="K115" s="33"/>
      <c r="M115"/>
    </row>
    <row r="116" spans="1:13" ht="31.5" customHeight="1" x14ac:dyDescent="0.2">
      <c r="A116" s="276"/>
      <c r="B116" s="284"/>
      <c r="C116" s="284"/>
      <c r="D116" s="284"/>
      <c r="E116" s="284"/>
      <c r="F116" s="273"/>
      <c r="G116" s="273"/>
      <c r="H116" s="273"/>
      <c r="I116" s="273"/>
      <c r="J116" s="89"/>
      <c r="K116" s="34"/>
      <c r="M116"/>
    </row>
    <row r="117" spans="1:13" x14ac:dyDescent="0.2">
      <c r="A117" s="276"/>
      <c r="B117" s="285"/>
      <c r="C117" s="285"/>
      <c r="D117" s="285"/>
      <c r="E117" s="285"/>
      <c r="F117" s="288" t="s">
        <v>3967</v>
      </c>
      <c r="G117" s="272" t="s">
        <v>4053</v>
      </c>
      <c r="H117" s="272" t="s">
        <v>511</v>
      </c>
      <c r="I117" s="338" t="s">
        <v>4823</v>
      </c>
      <c r="J117" s="26"/>
      <c r="K117" s="34"/>
      <c r="M117"/>
    </row>
    <row r="118" spans="1:13" x14ac:dyDescent="0.2">
      <c r="A118" s="276"/>
      <c r="B118" s="285"/>
      <c r="C118" s="285"/>
      <c r="D118" s="285"/>
      <c r="E118" s="285"/>
      <c r="F118" s="288"/>
      <c r="G118" s="272"/>
      <c r="H118" s="272"/>
      <c r="I118" s="272"/>
      <c r="J118" s="26"/>
      <c r="K118" s="34"/>
    </row>
    <row r="119" spans="1:13" x14ac:dyDescent="0.2">
      <c r="A119" s="276"/>
      <c r="B119" s="285"/>
      <c r="C119" s="285"/>
      <c r="D119" s="285"/>
      <c r="E119" s="285"/>
      <c r="F119" s="273"/>
      <c r="G119" s="273"/>
      <c r="H119" s="273"/>
      <c r="I119" s="273"/>
      <c r="J119" s="89"/>
      <c r="K119" s="34"/>
    </row>
    <row r="120" spans="1:13" ht="16.350000000000001" customHeight="1" x14ac:dyDescent="0.2">
      <c r="A120" s="276"/>
      <c r="B120" s="285"/>
      <c r="C120" s="285"/>
      <c r="D120" s="285"/>
      <c r="E120" s="285"/>
      <c r="F120" s="288" t="s">
        <v>3968</v>
      </c>
      <c r="G120" s="272" t="s">
        <v>4054</v>
      </c>
      <c r="H120" s="272" t="s">
        <v>511</v>
      </c>
      <c r="I120" s="338" t="s">
        <v>4825</v>
      </c>
      <c r="J120" s="26"/>
      <c r="K120" s="34"/>
    </row>
    <row r="121" spans="1:13" ht="16.350000000000001" customHeight="1" x14ac:dyDescent="0.2">
      <c r="A121" s="276"/>
      <c r="B121" s="285"/>
      <c r="C121" s="285"/>
      <c r="D121" s="285"/>
      <c r="E121" s="285"/>
      <c r="F121" s="288"/>
      <c r="G121" s="272"/>
      <c r="H121" s="272"/>
      <c r="I121" s="272"/>
      <c r="J121" s="26"/>
      <c r="K121" s="34"/>
    </row>
    <row r="122" spans="1:13" x14ac:dyDescent="0.2">
      <c r="A122" s="276"/>
      <c r="B122" s="285"/>
      <c r="C122" s="285"/>
      <c r="D122" s="285"/>
      <c r="E122" s="285"/>
      <c r="F122" s="273"/>
      <c r="G122" s="273"/>
      <c r="H122" s="273"/>
      <c r="I122" s="273"/>
      <c r="J122" s="89"/>
      <c r="K122" s="34"/>
    </row>
    <row r="123" spans="1:13" ht="16.350000000000001" customHeight="1" x14ac:dyDescent="0.2">
      <c r="A123" s="276"/>
      <c r="B123" s="285"/>
      <c r="C123" s="285"/>
      <c r="D123" s="285"/>
      <c r="E123" s="285"/>
      <c r="F123" s="288" t="s">
        <v>3969</v>
      </c>
      <c r="G123" s="272" t="s">
        <v>4055</v>
      </c>
      <c r="H123" s="272" t="s">
        <v>511</v>
      </c>
      <c r="I123" s="338" t="s">
        <v>4826</v>
      </c>
      <c r="J123" s="26"/>
      <c r="K123" s="34"/>
    </row>
    <row r="124" spans="1:13" ht="16.350000000000001" customHeight="1" x14ac:dyDescent="0.2">
      <c r="A124" s="276"/>
      <c r="B124" s="285"/>
      <c r="C124" s="285"/>
      <c r="D124" s="285"/>
      <c r="E124" s="285"/>
      <c r="F124" s="288"/>
      <c r="G124" s="272"/>
      <c r="H124" s="272"/>
      <c r="I124" s="272"/>
      <c r="J124" s="26"/>
      <c r="K124" s="34"/>
    </row>
    <row r="125" spans="1:13" x14ac:dyDescent="0.2">
      <c r="A125" s="276"/>
      <c r="B125" s="285"/>
      <c r="C125" s="285"/>
      <c r="D125" s="285"/>
      <c r="E125" s="285"/>
      <c r="F125" s="273"/>
      <c r="G125" s="273"/>
      <c r="H125" s="273"/>
      <c r="I125" s="273"/>
      <c r="J125" s="89"/>
      <c r="K125" s="100"/>
    </row>
    <row r="126" spans="1:13" ht="16.350000000000001" customHeight="1" x14ac:dyDescent="0.2">
      <c r="A126" s="276"/>
      <c r="B126" s="285"/>
      <c r="C126" s="285"/>
      <c r="D126" s="285"/>
      <c r="E126" s="285"/>
      <c r="F126" s="288" t="s">
        <v>3970</v>
      </c>
      <c r="G126" s="272" t="s">
        <v>4056</v>
      </c>
      <c r="H126" s="272" t="s">
        <v>515</v>
      </c>
      <c r="I126" s="338" t="s">
        <v>4827</v>
      </c>
      <c r="J126" s="26"/>
      <c r="K126" s="100"/>
    </row>
    <row r="127" spans="1:13" ht="16.350000000000001" customHeight="1" x14ac:dyDescent="0.2">
      <c r="A127" s="276"/>
      <c r="B127" s="285"/>
      <c r="C127" s="285"/>
      <c r="D127" s="285"/>
      <c r="E127" s="285"/>
      <c r="F127" s="288"/>
      <c r="G127" s="272"/>
      <c r="H127" s="272"/>
      <c r="I127" s="272"/>
      <c r="J127" s="26"/>
      <c r="K127" s="100"/>
    </row>
    <row r="128" spans="1:13" x14ac:dyDescent="0.2">
      <c r="A128" s="276"/>
      <c r="B128" s="285"/>
      <c r="C128" s="285"/>
      <c r="D128" s="285"/>
      <c r="E128" s="285"/>
      <c r="F128" s="273"/>
      <c r="G128" s="273"/>
      <c r="H128" s="273"/>
      <c r="I128" s="273"/>
      <c r="J128" s="89"/>
      <c r="K128" s="37"/>
    </row>
    <row r="129" spans="1:11" ht="16.350000000000001" customHeight="1" x14ac:dyDescent="0.2">
      <c r="A129" s="276"/>
      <c r="B129" s="285"/>
      <c r="C129" s="285"/>
      <c r="D129" s="285"/>
      <c r="E129" s="285"/>
      <c r="F129" s="288" t="s">
        <v>3971</v>
      </c>
      <c r="G129" s="272" t="s">
        <v>4057</v>
      </c>
      <c r="H129" s="272" t="s">
        <v>511</v>
      </c>
      <c r="I129" s="272"/>
      <c r="J129" s="26"/>
      <c r="K129" s="100"/>
    </row>
    <row r="130" spans="1:11" ht="16.350000000000001" customHeight="1" x14ac:dyDescent="0.2">
      <c r="A130" s="276"/>
      <c r="B130" s="285"/>
      <c r="C130" s="285"/>
      <c r="D130" s="285"/>
      <c r="E130" s="285"/>
      <c r="F130" s="288"/>
      <c r="G130" s="272"/>
      <c r="H130" s="272"/>
      <c r="I130" s="272"/>
      <c r="J130" s="26"/>
      <c r="K130" s="100"/>
    </row>
    <row r="131" spans="1:11" x14ac:dyDescent="0.2">
      <c r="A131" s="276"/>
      <c r="B131" s="285"/>
      <c r="C131" s="285"/>
      <c r="D131" s="285"/>
      <c r="E131" s="285"/>
      <c r="F131" s="273"/>
      <c r="G131" s="273"/>
      <c r="H131" s="273"/>
      <c r="I131" s="273"/>
      <c r="J131" s="89"/>
      <c r="K131" s="37"/>
    </row>
    <row r="132" spans="1:11" ht="16.350000000000001" customHeight="1" x14ac:dyDescent="0.2">
      <c r="A132" s="276"/>
      <c r="B132" s="285"/>
      <c r="C132" s="285"/>
      <c r="D132" s="285"/>
      <c r="E132" s="285"/>
      <c r="F132" s="288" t="s">
        <v>4058</v>
      </c>
      <c r="G132" s="272" t="s">
        <v>4059</v>
      </c>
      <c r="H132" s="272" t="s">
        <v>511</v>
      </c>
      <c r="I132" s="338" t="s">
        <v>4828</v>
      </c>
      <c r="J132" s="26"/>
      <c r="K132" s="100"/>
    </row>
    <row r="133" spans="1:11" ht="16.350000000000001" customHeight="1" x14ac:dyDescent="0.2">
      <c r="A133" s="276"/>
      <c r="B133" s="285"/>
      <c r="C133" s="285"/>
      <c r="D133" s="285"/>
      <c r="E133" s="285"/>
      <c r="F133" s="288"/>
      <c r="G133" s="272"/>
      <c r="H133" s="272"/>
      <c r="I133" s="272"/>
      <c r="J133" s="26"/>
      <c r="K133" s="100"/>
    </row>
    <row r="134" spans="1:11" x14ac:dyDescent="0.2">
      <c r="A134" s="276"/>
      <c r="B134" s="285"/>
      <c r="C134" s="285"/>
      <c r="D134" s="285"/>
      <c r="E134" s="285"/>
      <c r="F134" s="273"/>
      <c r="G134" s="273"/>
      <c r="H134" s="273"/>
      <c r="I134" s="273"/>
      <c r="J134" s="89"/>
      <c r="K134" s="37"/>
    </row>
    <row r="135" spans="1:11" ht="16.350000000000001" customHeight="1" x14ac:dyDescent="0.2">
      <c r="A135" s="276"/>
      <c r="B135" s="285"/>
      <c r="C135" s="285"/>
      <c r="D135" s="285"/>
      <c r="E135" s="285"/>
      <c r="F135" s="288" t="s">
        <v>4060</v>
      </c>
      <c r="G135" s="272" t="s">
        <v>4061</v>
      </c>
      <c r="H135" s="272" t="s">
        <v>515</v>
      </c>
      <c r="I135" s="338" t="s">
        <v>4829</v>
      </c>
      <c r="J135" s="26"/>
      <c r="K135" s="100"/>
    </row>
    <row r="136" spans="1:11" ht="16.350000000000001" customHeight="1" x14ac:dyDescent="0.2">
      <c r="A136" s="276"/>
      <c r="B136" s="285"/>
      <c r="C136" s="285"/>
      <c r="D136" s="285"/>
      <c r="E136" s="285"/>
      <c r="F136" s="288"/>
      <c r="G136" s="272"/>
      <c r="H136" s="272"/>
      <c r="I136" s="272"/>
      <c r="J136" s="26"/>
      <c r="K136" s="100"/>
    </row>
    <row r="137" spans="1:11" x14ac:dyDescent="0.2">
      <c r="A137" s="276"/>
      <c r="B137" s="285"/>
      <c r="C137" s="285"/>
      <c r="D137" s="285"/>
      <c r="E137" s="285"/>
      <c r="F137" s="273"/>
      <c r="G137" s="273"/>
      <c r="H137" s="273"/>
      <c r="I137" s="273"/>
      <c r="J137" s="89"/>
      <c r="K137" s="37"/>
    </row>
    <row r="138" spans="1:11" ht="16.350000000000001" customHeight="1" x14ac:dyDescent="0.2">
      <c r="A138" s="276"/>
      <c r="B138" s="285"/>
      <c r="C138" s="285"/>
      <c r="D138" s="285"/>
      <c r="E138" s="285"/>
      <c r="F138" s="288" t="s">
        <v>4062</v>
      </c>
      <c r="G138" s="272" t="s">
        <v>4063</v>
      </c>
      <c r="H138" s="272" t="s">
        <v>505</v>
      </c>
      <c r="I138" s="338" t="s">
        <v>4830</v>
      </c>
      <c r="J138" s="26"/>
      <c r="K138" s="100"/>
    </row>
    <row r="139" spans="1:11" ht="16.350000000000001" customHeight="1" x14ac:dyDescent="0.2">
      <c r="A139" s="276"/>
      <c r="B139" s="285"/>
      <c r="C139" s="285"/>
      <c r="D139" s="285"/>
      <c r="E139" s="285"/>
      <c r="F139" s="288"/>
      <c r="G139" s="272"/>
      <c r="H139" s="272"/>
      <c r="I139" s="272"/>
      <c r="J139" s="26"/>
      <c r="K139" s="100"/>
    </row>
    <row r="140" spans="1:11" x14ac:dyDescent="0.2">
      <c r="A140" s="276"/>
      <c r="B140" s="285"/>
      <c r="C140" s="285"/>
      <c r="D140" s="285"/>
      <c r="E140" s="285"/>
      <c r="F140" s="273"/>
      <c r="G140" s="273"/>
      <c r="H140" s="273"/>
      <c r="I140" s="273"/>
      <c r="J140" s="89"/>
      <c r="K140" s="37"/>
    </row>
    <row r="141" spans="1:11" ht="16.350000000000001" customHeight="1" x14ac:dyDescent="0.2">
      <c r="A141" s="276"/>
      <c r="B141" s="285"/>
      <c r="C141" s="285"/>
      <c r="D141" s="285"/>
      <c r="E141" s="285"/>
      <c r="F141" s="288" t="s">
        <v>4064</v>
      </c>
      <c r="G141" s="272" t="s">
        <v>4065</v>
      </c>
      <c r="H141" s="272" t="s">
        <v>511</v>
      </c>
      <c r="I141" s="338" t="s">
        <v>4831</v>
      </c>
      <c r="J141" s="26"/>
      <c r="K141" s="100"/>
    </row>
    <row r="142" spans="1:11" ht="16.350000000000001" customHeight="1" x14ac:dyDescent="0.2">
      <c r="A142" s="276"/>
      <c r="B142" s="285"/>
      <c r="C142" s="285"/>
      <c r="D142" s="285"/>
      <c r="E142" s="285"/>
      <c r="F142" s="288"/>
      <c r="G142" s="272"/>
      <c r="H142" s="272"/>
      <c r="I142" s="272"/>
      <c r="J142" s="26"/>
      <c r="K142" s="100"/>
    </row>
    <row r="143" spans="1:11" x14ac:dyDescent="0.2">
      <c r="A143" s="276"/>
      <c r="B143" s="285"/>
      <c r="C143" s="285"/>
      <c r="D143" s="285"/>
      <c r="E143" s="285"/>
      <c r="F143" s="273"/>
      <c r="G143" s="273"/>
      <c r="H143" s="273"/>
      <c r="I143" s="273"/>
      <c r="J143" s="89"/>
      <c r="K143" s="37"/>
    </row>
    <row r="144" spans="1:11" ht="16.350000000000001" customHeight="1" x14ac:dyDescent="0.2">
      <c r="A144" s="276"/>
      <c r="B144" s="285"/>
      <c r="C144" s="285"/>
      <c r="D144" s="285"/>
      <c r="E144" s="285"/>
      <c r="F144" s="288" t="s">
        <v>4066</v>
      </c>
      <c r="G144" s="272" t="s">
        <v>4067</v>
      </c>
      <c r="H144" s="272" t="s">
        <v>515</v>
      </c>
      <c r="I144" s="338" t="s">
        <v>4832</v>
      </c>
      <c r="J144" s="26"/>
      <c r="K144" s="100"/>
    </row>
    <row r="145" spans="1:13" ht="16.350000000000001" customHeight="1" x14ac:dyDescent="0.2">
      <c r="A145" s="276"/>
      <c r="B145" s="285"/>
      <c r="C145" s="285"/>
      <c r="D145" s="285"/>
      <c r="E145" s="285"/>
      <c r="F145" s="288"/>
      <c r="G145" s="272"/>
      <c r="H145" s="272"/>
      <c r="I145" s="272"/>
      <c r="J145" s="26"/>
      <c r="K145" s="100"/>
    </row>
    <row r="146" spans="1:13" x14ac:dyDescent="0.2">
      <c r="A146" s="276"/>
      <c r="B146" s="285"/>
      <c r="C146" s="285"/>
      <c r="D146" s="285"/>
      <c r="E146" s="285"/>
      <c r="F146" s="273"/>
      <c r="G146" s="273"/>
      <c r="H146" s="273"/>
      <c r="I146" s="273"/>
      <c r="J146" s="89"/>
      <c r="K146" s="37"/>
    </row>
    <row r="147" spans="1:13" ht="16.350000000000001" customHeight="1" x14ac:dyDescent="0.2">
      <c r="A147" s="276"/>
      <c r="B147" s="285"/>
      <c r="C147" s="285"/>
      <c r="D147" s="285"/>
      <c r="E147" s="285"/>
      <c r="F147" s="288" t="s">
        <v>4085</v>
      </c>
      <c r="G147" s="272"/>
      <c r="H147" s="272"/>
      <c r="I147" s="338" t="s">
        <v>4822</v>
      </c>
      <c r="J147" s="26"/>
      <c r="K147" s="100"/>
    </row>
    <row r="148" spans="1:13" ht="16.350000000000001" customHeight="1" x14ac:dyDescent="0.2">
      <c r="A148" s="276"/>
      <c r="B148" s="285"/>
      <c r="C148" s="285"/>
      <c r="D148" s="285"/>
      <c r="E148" s="285"/>
      <c r="F148" s="288"/>
      <c r="G148" s="272"/>
      <c r="H148" s="272"/>
      <c r="I148" s="272"/>
      <c r="J148" s="26"/>
      <c r="K148" s="100"/>
    </row>
    <row r="149" spans="1:13" x14ac:dyDescent="0.2">
      <c r="A149" s="276"/>
      <c r="B149" s="285"/>
      <c r="C149" s="285"/>
      <c r="D149" s="285"/>
      <c r="E149" s="285"/>
      <c r="F149" s="273"/>
      <c r="G149" s="273"/>
      <c r="H149" s="273"/>
      <c r="I149" s="273"/>
      <c r="J149" s="89"/>
      <c r="K149" s="37"/>
    </row>
    <row r="150" spans="1:13" x14ac:dyDescent="0.25">
      <c r="A150" s="276"/>
      <c r="B150" s="282" t="s">
        <v>3972</v>
      </c>
      <c r="C150" s="282" t="s">
        <v>1394</v>
      </c>
      <c r="D150" s="479"/>
      <c r="E150" s="282" t="s">
        <v>505</v>
      </c>
      <c r="F150" s="288" t="s">
        <v>3973</v>
      </c>
      <c r="G150" s="272" t="s">
        <v>4068</v>
      </c>
      <c r="H150" s="272" t="s">
        <v>515</v>
      </c>
      <c r="I150" s="338" t="s">
        <v>4833</v>
      </c>
      <c r="J150" s="26"/>
      <c r="K150" s="33"/>
      <c r="M150"/>
    </row>
    <row r="151" spans="1:13" x14ac:dyDescent="0.25">
      <c r="A151" s="276"/>
      <c r="B151" s="283"/>
      <c r="C151" s="283"/>
      <c r="D151" s="283"/>
      <c r="E151" s="283"/>
      <c r="F151" s="288"/>
      <c r="G151" s="272"/>
      <c r="H151" s="272"/>
      <c r="I151" s="272"/>
      <c r="J151" s="26"/>
      <c r="K151" s="33"/>
      <c r="M151"/>
    </row>
    <row r="152" spans="1:13" ht="47.25" customHeight="1" x14ac:dyDescent="0.2">
      <c r="A152" s="276"/>
      <c r="B152" s="284"/>
      <c r="C152" s="284"/>
      <c r="D152" s="284"/>
      <c r="E152" s="284"/>
      <c r="F152" s="273"/>
      <c r="G152" s="273"/>
      <c r="H152" s="273"/>
      <c r="I152" s="273"/>
      <c r="J152" s="89"/>
      <c r="K152" s="34"/>
      <c r="M152"/>
    </row>
    <row r="153" spans="1:13" ht="15" customHeight="1" x14ac:dyDescent="0.2">
      <c r="A153" s="276"/>
      <c r="B153" s="285"/>
      <c r="C153" s="285"/>
      <c r="D153" s="285"/>
      <c r="E153" s="285"/>
      <c r="F153" s="288" t="s">
        <v>3974</v>
      </c>
      <c r="G153" s="272" t="s">
        <v>4069</v>
      </c>
      <c r="H153" s="272" t="s">
        <v>505</v>
      </c>
      <c r="I153" s="338" t="s">
        <v>4834</v>
      </c>
      <c r="J153" s="26"/>
      <c r="K153" s="34"/>
      <c r="M153"/>
    </row>
    <row r="154" spans="1:13" x14ac:dyDescent="0.2">
      <c r="A154" s="276"/>
      <c r="B154" s="285"/>
      <c r="C154" s="285"/>
      <c r="D154" s="285"/>
      <c r="E154" s="285"/>
      <c r="F154" s="288"/>
      <c r="G154" s="272"/>
      <c r="H154" s="272"/>
      <c r="I154" s="272"/>
      <c r="J154" s="26"/>
      <c r="K154" s="34"/>
      <c r="M154"/>
    </row>
    <row r="155" spans="1:13" x14ac:dyDescent="0.2">
      <c r="A155" s="276"/>
      <c r="B155" s="285"/>
      <c r="C155" s="285"/>
      <c r="D155" s="285"/>
      <c r="E155" s="285"/>
      <c r="F155" s="273"/>
      <c r="G155" s="273"/>
      <c r="H155" s="273"/>
      <c r="I155" s="273"/>
      <c r="J155" s="89"/>
      <c r="K155" s="34"/>
      <c r="M155"/>
    </row>
    <row r="156" spans="1:13" ht="16.350000000000001" customHeight="1" x14ac:dyDescent="0.2">
      <c r="A156" s="276"/>
      <c r="B156" s="285"/>
      <c r="C156" s="285"/>
      <c r="D156" s="285"/>
      <c r="E156" s="285"/>
      <c r="F156" s="288" t="s">
        <v>3975</v>
      </c>
      <c r="G156" s="272" t="s">
        <v>4070</v>
      </c>
      <c r="H156" s="272" t="s">
        <v>505</v>
      </c>
      <c r="I156" s="338" t="s">
        <v>4835</v>
      </c>
      <c r="J156" s="26"/>
      <c r="K156" s="34"/>
      <c r="M156"/>
    </row>
    <row r="157" spans="1:13" ht="16.350000000000001" customHeight="1" x14ac:dyDescent="0.2">
      <c r="A157" s="276"/>
      <c r="B157" s="285"/>
      <c r="C157" s="285"/>
      <c r="D157" s="285"/>
      <c r="E157" s="285"/>
      <c r="F157" s="288"/>
      <c r="G157" s="272"/>
      <c r="H157" s="272"/>
      <c r="I157" s="272"/>
      <c r="J157" s="26"/>
      <c r="K157" s="34"/>
      <c r="M157"/>
    </row>
    <row r="158" spans="1:13" x14ac:dyDescent="0.2">
      <c r="A158" s="276"/>
      <c r="B158" s="285"/>
      <c r="C158" s="285"/>
      <c r="D158" s="285"/>
      <c r="E158" s="285"/>
      <c r="F158" s="273"/>
      <c r="G158" s="273"/>
      <c r="H158" s="273"/>
      <c r="I158" s="273"/>
      <c r="J158" s="89"/>
      <c r="K158" s="34"/>
      <c r="M158"/>
    </row>
    <row r="159" spans="1:13" ht="16.350000000000001" customHeight="1" x14ac:dyDescent="0.2">
      <c r="A159" s="276"/>
      <c r="B159" s="285"/>
      <c r="C159" s="285"/>
      <c r="D159" s="285"/>
      <c r="E159" s="285"/>
      <c r="F159" s="288" t="s">
        <v>3976</v>
      </c>
      <c r="G159" s="354" t="s">
        <v>4087</v>
      </c>
      <c r="H159" s="272" t="s">
        <v>505</v>
      </c>
      <c r="I159" s="338" t="s">
        <v>4836</v>
      </c>
      <c r="J159" s="26"/>
      <c r="K159" s="34"/>
      <c r="M159"/>
    </row>
    <row r="160" spans="1:13" ht="16.350000000000001" customHeight="1" x14ac:dyDescent="0.2">
      <c r="A160" s="276"/>
      <c r="B160" s="285"/>
      <c r="C160" s="285"/>
      <c r="D160" s="285"/>
      <c r="E160" s="285"/>
      <c r="F160" s="288"/>
      <c r="G160" s="272"/>
      <c r="H160" s="272"/>
      <c r="I160" s="272"/>
      <c r="J160" s="26"/>
      <c r="K160" s="34"/>
      <c r="M160"/>
    </row>
    <row r="161" spans="1:13" x14ac:dyDescent="0.2">
      <c r="A161" s="276"/>
      <c r="B161" s="285"/>
      <c r="C161" s="285"/>
      <c r="D161" s="285"/>
      <c r="E161" s="285"/>
      <c r="F161" s="273"/>
      <c r="G161" s="273"/>
      <c r="H161" s="273"/>
      <c r="I161" s="273"/>
      <c r="J161" s="89"/>
      <c r="K161" s="34"/>
      <c r="M161"/>
    </row>
    <row r="162" spans="1:13" ht="16.350000000000001" customHeight="1" x14ac:dyDescent="0.2">
      <c r="A162" s="276"/>
      <c r="B162" s="285"/>
      <c r="C162" s="285"/>
      <c r="D162" s="285"/>
      <c r="E162" s="285"/>
      <c r="F162" s="288" t="s">
        <v>3977</v>
      </c>
      <c r="G162" s="272" t="s">
        <v>4071</v>
      </c>
      <c r="H162" s="272" t="s">
        <v>505</v>
      </c>
      <c r="I162" s="338" t="s">
        <v>4837</v>
      </c>
      <c r="J162" s="26"/>
      <c r="K162" s="34"/>
      <c r="M162"/>
    </row>
    <row r="163" spans="1:13" ht="16.350000000000001" customHeight="1" x14ac:dyDescent="0.2">
      <c r="A163" s="276"/>
      <c r="B163" s="285"/>
      <c r="C163" s="285"/>
      <c r="D163" s="285"/>
      <c r="E163" s="285"/>
      <c r="F163" s="288"/>
      <c r="G163" s="272"/>
      <c r="H163" s="272"/>
      <c r="I163" s="272"/>
      <c r="J163" s="26"/>
      <c r="K163" s="34"/>
      <c r="M163"/>
    </row>
    <row r="164" spans="1:13" x14ac:dyDescent="0.2">
      <c r="A164" s="276"/>
      <c r="B164" s="285"/>
      <c r="C164" s="285"/>
      <c r="D164" s="285"/>
      <c r="E164" s="285"/>
      <c r="F164" s="273"/>
      <c r="G164" s="273"/>
      <c r="H164" s="273"/>
      <c r="I164" s="273"/>
      <c r="J164" s="89"/>
      <c r="K164" s="34"/>
      <c r="M164"/>
    </row>
    <row r="165" spans="1:13" ht="16.350000000000001" customHeight="1" x14ac:dyDescent="0.2">
      <c r="A165" s="276"/>
      <c r="B165" s="285"/>
      <c r="C165" s="285"/>
      <c r="D165" s="285"/>
      <c r="E165" s="285"/>
      <c r="F165" s="288" t="s">
        <v>3978</v>
      </c>
      <c r="G165" s="354" t="s">
        <v>4088</v>
      </c>
      <c r="H165" s="272" t="s">
        <v>505</v>
      </c>
      <c r="I165" s="272"/>
      <c r="J165" s="26"/>
      <c r="K165" s="34"/>
      <c r="M165"/>
    </row>
    <row r="166" spans="1:13" ht="16.350000000000001" customHeight="1" x14ac:dyDescent="0.2">
      <c r="A166" s="276"/>
      <c r="B166" s="285"/>
      <c r="C166" s="285"/>
      <c r="D166" s="285"/>
      <c r="E166" s="285"/>
      <c r="F166" s="288"/>
      <c r="G166" s="272"/>
      <c r="H166" s="272"/>
      <c r="I166" s="272"/>
      <c r="J166" s="26"/>
      <c r="K166" s="34"/>
      <c r="M166"/>
    </row>
    <row r="167" spans="1:13" x14ac:dyDescent="0.2">
      <c r="A167" s="276"/>
      <c r="B167" s="285"/>
      <c r="C167" s="285"/>
      <c r="D167" s="285"/>
      <c r="E167" s="285"/>
      <c r="F167" s="273"/>
      <c r="G167" s="273"/>
      <c r="H167" s="273"/>
      <c r="I167" s="273"/>
      <c r="J167" s="89"/>
      <c r="K167" s="34"/>
      <c r="M167"/>
    </row>
    <row r="168" spans="1:13" ht="16.350000000000001" customHeight="1" x14ac:dyDescent="0.2">
      <c r="A168" s="276"/>
      <c r="B168" s="285"/>
      <c r="C168" s="285"/>
      <c r="D168" s="285"/>
      <c r="E168" s="285"/>
      <c r="F168" s="288" t="s">
        <v>4072</v>
      </c>
      <c r="G168" s="272" t="s">
        <v>1896</v>
      </c>
      <c r="H168" s="272" t="s">
        <v>505</v>
      </c>
      <c r="I168" s="272"/>
      <c r="J168" s="26"/>
      <c r="K168" s="34"/>
      <c r="M168"/>
    </row>
    <row r="169" spans="1:13" ht="16.350000000000001" customHeight="1" x14ac:dyDescent="0.2">
      <c r="A169" s="276"/>
      <c r="B169" s="285"/>
      <c r="C169" s="285"/>
      <c r="D169" s="285"/>
      <c r="E169" s="285"/>
      <c r="F169" s="288"/>
      <c r="G169" s="272"/>
      <c r="H169" s="272"/>
      <c r="I169" s="272"/>
      <c r="J169" s="26"/>
      <c r="K169" s="34"/>
      <c r="M169"/>
    </row>
    <row r="170" spans="1:13" x14ac:dyDescent="0.2">
      <c r="A170" s="276"/>
      <c r="B170" s="285"/>
      <c r="C170" s="285"/>
      <c r="D170" s="285"/>
      <c r="E170" s="285"/>
      <c r="F170" s="273"/>
      <c r="G170" s="273"/>
      <c r="H170" s="273"/>
      <c r="I170" s="273"/>
      <c r="J170" s="89"/>
      <c r="K170" s="34"/>
      <c r="M170"/>
    </row>
    <row r="171" spans="1:13" ht="16.350000000000001" customHeight="1" x14ac:dyDescent="0.2">
      <c r="A171" s="276"/>
      <c r="B171" s="285"/>
      <c r="C171" s="285"/>
      <c r="D171" s="285"/>
      <c r="E171" s="285"/>
      <c r="F171" s="288" t="s">
        <v>4073</v>
      </c>
      <c r="G171" s="272" t="s">
        <v>4075</v>
      </c>
      <c r="H171" s="272" t="s">
        <v>505</v>
      </c>
      <c r="I171" s="272"/>
      <c r="J171" s="26"/>
      <c r="K171" s="34"/>
      <c r="M171"/>
    </row>
    <row r="172" spans="1:13" ht="16.350000000000001" customHeight="1" x14ac:dyDescent="0.2">
      <c r="A172" s="276"/>
      <c r="B172" s="285"/>
      <c r="C172" s="285"/>
      <c r="D172" s="285"/>
      <c r="E172" s="285"/>
      <c r="F172" s="288"/>
      <c r="G172" s="272"/>
      <c r="H172" s="272"/>
      <c r="I172" s="272"/>
      <c r="J172" s="26"/>
      <c r="K172" s="34"/>
      <c r="M172"/>
    </row>
    <row r="173" spans="1:13" x14ac:dyDescent="0.2">
      <c r="A173" s="276"/>
      <c r="B173" s="285"/>
      <c r="C173" s="285"/>
      <c r="D173" s="285"/>
      <c r="E173" s="285"/>
      <c r="F173" s="273"/>
      <c r="G173" s="273"/>
      <c r="H173" s="273"/>
      <c r="I173" s="273"/>
      <c r="J173" s="89"/>
      <c r="K173" s="34"/>
      <c r="M173"/>
    </row>
    <row r="174" spans="1:13" ht="16.350000000000001" customHeight="1" x14ac:dyDescent="0.2">
      <c r="A174" s="276"/>
      <c r="B174" s="285"/>
      <c r="C174" s="285"/>
      <c r="D174" s="285"/>
      <c r="E174" s="285"/>
      <c r="F174" s="288" t="s">
        <v>4074</v>
      </c>
      <c r="G174" s="354" t="s">
        <v>4089</v>
      </c>
      <c r="H174" s="272" t="s">
        <v>505</v>
      </c>
      <c r="I174" s="272"/>
      <c r="J174" s="26"/>
      <c r="K174" s="34"/>
      <c r="M174"/>
    </row>
    <row r="175" spans="1:13" ht="16.350000000000001" customHeight="1" x14ac:dyDescent="0.2">
      <c r="A175" s="276"/>
      <c r="B175" s="285"/>
      <c r="C175" s="285"/>
      <c r="D175" s="285"/>
      <c r="E175" s="285"/>
      <c r="F175" s="288"/>
      <c r="G175" s="272"/>
      <c r="H175" s="272"/>
      <c r="I175" s="272"/>
      <c r="J175" s="26"/>
      <c r="K175" s="34"/>
      <c r="M175"/>
    </row>
    <row r="176" spans="1:13" x14ac:dyDescent="0.2">
      <c r="A176" s="276"/>
      <c r="B176" s="285"/>
      <c r="C176" s="285"/>
      <c r="D176" s="285"/>
      <c r="E176" s="285"/>
      <c r="F176" s="273"/>
      <c r="G176" s="273"/>
      <c r="H176" s="273"/>
      <c r="I176" s="273"/>
      <c r="J176" s="89"/>
      <c r="K176" s="34"/>
      <c r="M176"/>
    </row>
    <row r="177" spans="1:13" ht="16.350000000000001" customHeight="1" x14ac:dyDescent="0.2">
      <c r="A177" s="276"/>
      <c r="B177" s="285"/>
      <c r="C177" s="285"/>
      <c r="D177" s="285"/>
      <c r="E177" s="285"/>
      <c r="F177" s="288" t="s">
        <v>4076</v>
      </c>
      <c r="G177" s="354" t="s">
        <v>4090</v>
      </c>
      <c r="H177" s="272" t="s">
        <v>515</v>
      </c>
      <c r="I177" s="338" t="s">
        <v>4838</v>
      </c>
      <c r="J177" s="26"/>
      <c r="K177" s="34"/>
      <c r="M177"/>
    </row>
    <row r="178" spans="1:13" ht="16.350000000000001" customHeight="1" x14ac:dyDescent="0.2">
      <c r="A178" s="276"/>
      <c r="B178" s="285"/>
      <c r="C178" s="285"/>
      <c r="D178" s="285"/>
      <c r="E178" s="285"/>
      <c r="F178" s="288"/>
      <c r="G178" s="272"/>
      <c r="H178" s="272"/>
      <c r="I178" s="272"/>
      <c r="J178" s="26"/>
      <c r="K178" s="34"/>
      <c r="M178"/>
    </row>
    <row r="179" spans="1:13" x14ac:dyDescent="0.2">
      <c r="A179" s="276"/>
      <c r="B179" s="285"/>
      <c r="C179" s="285"/>
      <c r="D179" s="285"/>
      <c r="E179" s="285"/>
      <c r="F179" s="273"/>
      <c r="G179" s="273"/>
      <c r="H179" s="273"/>
      <c r="I179" s="273"/>
      <c r="J179" s="89"/>
      <c r="K179" s="100"/>
      <c r="M179"/>
    </row>
    <row r="180" spans="1:13" ht="16.350000000000001" customHeight="1" x14ac:dyDescent="0.2">
      <c r="A180" s="276"/>
      <c r="B180" s="285"/>
      <c r="C180" s="285"/>
      <c r="D180" s="285"/>
      <c r="E180" s="285"/>
      <c r="F180" s="288" t="s">
        <v>4077</v>
      </c>
      <c r="G180" s="272"/>
      <c r="H180" s="272"/>
      <c r="I180" s="272"/>
      <c r="J180" s="26"/>
      <c r="K180" s="100"/>
      <c r="M180"/>
    </row>
    <row r="181" spans="1:13" ht="16.350000000000001" customHeight="1" x14ac:dyDescent="0.2">
      <c r="A181" s="276"/>
      <c r="B181" s="285"/>
      <c r="C181" s="285"/>
      <c r="D181" s="285"/>
      <c r="E181" s="285"/>
      <c r="F181" s="288"/>
      <c r="G181" s="272"/>
      <c r="H181" s="272"/>
      <c r="I181" s="272"/>
      <c r="J181" s="26"/>
      <c r="K181" s="100"/>
      <c r="M181"/>
    </row>
    <row r="182" spans="1:13" x14ac:dyDescent="0.2">
      <c r="A182" s="276"/>
      <c r="B182" s="285"/>
      <c r="C182" s="285"/>
      <c r="D182" s="285"/>
      <c r="E182" s="285"/>
      <c r="F182" s="273"/>
      <c r="G182" s="273"/>
      <c r="H182" s="273"/>
      <c r="I182" s="273"/>
      <c r="J182" s="89"/>
      <c r="K182" s="37"/>
      <c r="M182"/>
    </row>
    <row r="183" spans="1:13" ht="16.350000000000001" customHeight="1" x14ac:dyDescent="0.2">
      <c r="A183" s="276"/>
      <c r="B183" s="285"/>
      <c r="C183" s="285"/>
      <c r="D183" s="285"/>
      <c r="E183" s="285"/>
      <c r="F183" s="288" t="s">
        <v>4086</v>
      </c>
      <c r="G183" s="272"/>
      <c r="H183" s="272"/>
      <c r="I183" s="272"/>
      <c r="J183" s="26"/>
      <c r="K183" s="34"/>
      <c r="M183"/>
    </row>
    <row r="184" spans="1:13" ht="16.350000000000001" customHeight="1" x14ac:dyDescent="0.2">
      <c r="A184" s="276"/>
      <c r="B184" s="285"/>
      <c r="C184" s="285"/>
      <c r="D184" s="285"/>
      <c r="E184" s="285"/>
      <c r="F184" s="288"/>
      <c r="G184" s="272"/>
      <c r="H184" s="272"/>
      <c r="I184" s="272"/>
      <c r="J184" s="26"/>
      <c r="K184" s="34"/>
      <c r="M184"/>
    </row>
    <row r="185" spans="1:13" x14ac:dyDescent="0.2">
      <c r="A185" s="276"/>
      <c r="B185" s="285"/>
      <c r="C185" s="285"/>
      <c r="D185" s="285"/>
      <c r="E185" s="285"/>
      <c r="F185" s="273"/>
      <c r="G185" s="273"/>
      <c r="H185" s="273"/>
      <c r="I185" s="273"/>
      <c r="J185" s="89"/>
      <c r="K185" s="100"/>
      <c r="M185"/>
    </row>
    <row r="186" spans="1:13" x14ac:dyDescent="0.25">
      <c r="A186" s="276"/>
      <c r="B186" s="282" t="s">
        <v>451</v>
      </c>
      <c r="C186" s="527" t="s">
        <v>4810</v>
      </c>
      <c r="D186" s="479" t="s">
        <v>4855</v>
      </c>
      <c r="E186" s="282" t="s">
        <v>515</v>
      </c>
      <c r="F186" s="288" t="s">
        <v>3979</v>
      </c>
      <c r="G186" s="354" t="s">
        <v>4091</v>
      </c>
      <c r="H186" s="272"/>
      <c r="I186" s="272"/>
      <c r="J186" s="26"/>
      <c r="K186" s="33"/>
      <c r="M186"/>
    </row>
    <row r="187" spans="1:13" x14ac:dyDescent="0.25">
      <c r="A187" s="276"/>
      <c r="B187" s="283"/>
      <c r="C187" s="528"/>
      <c r="D187" s="283"/>
      <c r="E187" s="283"/>
      <c r="F187" s="288"/>
      <c r="G187" s="272"/>
      <c r="H187" s="272"/>
      <c r="I187" s="272"/>
      <c r="J187" s="26"/>
      <c r="K187" s="33"/>
      <c r="M187"/>
    </row>
    <row r="188" spans="1:13" x14ac:dyDescent="0.2">
      <c r="A188" s="276"/>
      <c r="B188" s="284"/>
      <c r="C188" s="528"/>
      <c r="D188" s="284"/>
      <c r="E188" s="284"/>
      <c r="F188" s="273"/>
      <c r="G188" s="273"/>
      <c r="H188" s="273"/>
      <c r="I188" s="273"/>
      <c r="J188" s="89"/>
      <c r="K188" s="34"/>
      <c r="M188"/>
    </row>
    <row r="189" spans="1:13" ht="15" customHeight="1" x14ac:dyDescent="0.2">
      <c r="A189" s="276"/>
      <c r="B189" s="285"/>
      <c r="C189" s="528"/>
      <c r="D189" s="285"/>
      <c r="E189" s="285"/>
      <c r="F189" s="288" t="s">
        <v>3980</v>
      </c>
      <c r="G189" s="354" t="s">
        <v>4092</v>
      </c>
      <c r="H189" s="272"/>
      <c r="I189" s="272"/>
      <c r="J189" s="26"/>
      <c r="K189" s="34"/>
      <c r="M189"/>
    </row>
    <row r="190" spans="1:13" x14ac:dyDescent="0.2">
      <c r="A190" s="276"/>
      <c r="B190" s="285"/>
      <c r="C190" s="528"/>
      <c r="D190" s="285"/>
      <c r="E190" s="285"/>
      <c r="F190" s="288"/>
      <c r="G190" s="272"/>
      <c r="H190" s="272"/>
      <c r="I190" s="272"/>
      <c r="J190" s="26"/>
      <c r="K190" s="34"/>
      <c r="M190"/>
    </row>
    <row r="191" spans="1:13" x14ac:dyDescent="0.2">
      <c r="A191" s="276"/>
      <c r="B191" s="285"/>
      <c r="C191" s="528"/>
      <c r="D191" s="285"/>
      <c r="E191" s="285"/>
      <c r="F191" s="273"/>
      <c r="G191" s="273"/>
      <c r="H191" s="273"/>
      <c r="I191" s="273"/>
      <c r="J191" s="89"/>
      <c r="K191" s="34"/>
      <c r="M191"/>
    </row>
    <row r="192" spans="1:13" ht="16.350000000000001" customHeight="1" x14ac:dyDescent="0.2">
      <c r="A192" s="276"/>
      <c r="B192" s="285"/>
      <c r="C192" s="528"/>
      <c r="D192" s="285"/>
      <c r="E192" s="285"/>
      <c r="F192" s="288" t="s">
        <v>3981</v>
      </c>
      <c r="G192" s="338" t="s">
        <v>4854</v>
      </c>
      <c r="H192" s="272"/>
      <c r="I192" s="272"/>
      <c r="J192" s="26"/>
      <c r="K192" s="34"/>
      <c r="M192"/>
    </row>
    <row r="193" spans="1:13" ht="16.350000000000001" customHeight="1" x14ac:dyDescent="0.2">
      <c r="A193" s="276"/>
      <c r="B193" s="285"/>
      <c r="C193" s="528"/>
      <c r="D193" s="285"/>
      <c r="E193" s="285"/>
      <c r="F193" s="288"/>
      <c r="G193" s="272"/>
      <c r="H193" s="272"/>
      <c r="I193" s="272"/>
      <c r="J193" s="26"/>
      <c r="K193" s="34"/>
      <c r="M193"/>
    </row>
    <row r="194" spans="1:13" x14ac:dyDescent="0.2">
      <c r="A194" s="276"/>
      <c r="B194" s="285"/>
      <c r="C194" s="528"/>
      <c r="D194" s="285"/>
      <c r="E194" s="285"/>
      <c r="F194" s="273"/>
      <c r="G194" s="273"/>
      <c r="H194" s="273"/>
      <c r="I194" s="273"/>
      <c r="J194" s="89"/>
      <c r="K194" s="34"/>
      <c r="M194"/>
    </row>
    <row r="195" spans="1:13" ht="16.350000000000001" customHeight="1" x14ac:dyDescent="0.2">
      <c r="A195" s="276"/>
      <c r="B195" s="285"/>
      <c r="C195" s="528"/>
      <c r="D195" s="285"/>
      <c r="E195" s="285"/>
      <c r="F195" s="288" t="s">
        <v>3982</v>
      </c>
      <c r="G195" s="338" t="s">
        <v>4853</v>
      </c>
      <c r="H195" s="272"/>
      <c r="I195" s="272"/>
      <c r="J195" s="26"/>
      <c r="K195" s="34"/>
      <c r="M195"/>
    </row>
    <row r="196" spans="1:13" ht="16.350000000000001" customHeight="1" x14ac:dyDescent="0.2">
      <c r="A196" s="276"/>
      <c r="B196" s="285"/>
      <c r="C196" s="528"/>
      <c r="D196" s="285"/>
      <c r="E196" s="285"/>
      <c r="F196" s="288"/>
      <c r="G196" s="272"/>
      <c r="H196" s="272"/>
      <c r="I196" s="272"/>
      <c r="J196" s="26"/>
      <c r="K196" s="34"/>
      <c r="M196"/>
    </row>
    <row r="197" spans="1:13" x14ac:dyDescent="0.2">
      <c r="A197" s="276"/>
      <c r="B197" s="285"/>
      <c r="C197" s="528"/>
      <c r="D197" s="285"/>
      <c r="E197" s="285"/>
      <c r="F197" s="273"/>
      <c r="G197" s="273"/>
      <c r="H197" s="273"/>
      <c r="I197" s="273"/>
      <c r="J197" s="89"/>
      <c r="K197" s="100"/>
      <c r="M197"/>
    </row>
    <row r="198" spans="1:13" ht="16.350000000000001" customHeight="1" x14ac:dyDescent="0.2">
      <c r="A198" s="276"/>
      <c r="B198" s="285"/>
      <c r="C198" s="528"/>
      <c r="D198" s="285"/>
      <c r="E198" s="285"/>
      <c r="F198" s="288" t="s">
        <v>3983</v>
      </c>
      <c r="G198" s="272"/>
      <c r="H198" s="272"/>
      <c r="I198" s="338" t="s">
        <v>4839</v>
      </c>
      <c r="J198" s="26"/>
      <c r="K198" s="100"/>
      <c r="M198"/>
    </row>
    <row r="199" spans="1:13" ht="16.350000000000001" customHeight="1" x14ac:dyDescent="0.2">
      <c r="A199" s="276"/>
      <c r="B199" s="285"/>
      <c r="C199" s="528"/>
      <c r="D199" s="285"/>
      <c r="E199" s="285"/>
      <c r="F199" s="288"/>
      <c r="G199" s="272"/>
      <c r="H199" s="272"/>
      <c r="I199" s="272"/>
      <c r="J199" s="26"/>
      <c r="K199" s="100"/>
      <c r="M199"/>
    </row>
    <row r="200" spans="1:13" x14ac:dyDescent="0.2">
      <c r="A200" s="276"/>
      <c r="B200" s="285"/>
      <c r="C200" s="528"/>
      <c r="D200" s="285"/>
      <c r="E200" s="285"/>
      <c r="F200" s="273"/>
      <c r="G200" s="273"/>
      <c r="H200" s="273"/>
      <c r="I200" s="273"/>
      <c r="J200" s="89"/>
      <c r="K200" s="37"/>
      <c r="M200"/>
    </row>
    <row r="201" spans="1:13" ht="16.350000000000001" customHeight="1" x14ac:dyDescent="0.2">
      <c r="A201" s="276"/>
      <c r="B201" s="285"/>
      <c r="C201" s="528"/>
      <c r="D201" s="285"/>
      <c r="E201" s="285"/>
      <c r="F201" s="288" t="s">
        <v>3984</v>
      </c>
      <c r="G201" s="272"/>
      <c r="H201" s="272"/>
      <c r="I201" s="338" t="s">
        <v>4840</v>
      </c>
      <c r="J201" s="26"/>
      <c r="K201" s="34"/>
      <c r="M201"/>
    </row>
    <row r="202" spans="1:13" ht="16.350000000000001" customHeight="1" x14ac:dyDescent="0.2">
      <c r="A202" s="276"/>
      <c r="B202" s="285"/>
      <c r="C202" s="528"/>
      <c r="D202" s="285"/>
      <c r="E202" s="285"/>
      <c r="F202" s="288"/>
      <c r="G202" s="272"/>
      <c r="H202" s="272"/>
      <c r="I202" s="272"/>
      <c r="J202" s="26"/>
      <c r="K202" s="34"/>
      <c r="M202"/>
    </row>
    <row r="203" spans="1:13" x14ac:dyDescent="0.2">
      <c r="A203" s="276"/>
      <c r="B203" s="285"/>
      <c r="C203" s="528"/>
      <c r="D203" s="285"/>
      <c r="E203" s="285"/>
      <c r="F203" s="273"/>
      <c r="G203" s="273"/>
      <c r="H203" s="273"/>
      <c r="I203" s="273"/>
      <c r="J203" s="89"/>
      <c r="K203" s="100"/>
      <c r="M203"/>
    </row>
    <row r="204" spans="1:13" x14ac:dyDescent="0.25">
      <c r="A204" s="276"/>
      <c r="B204" s="282" t="s">
        <v>1396</v>
      </c>
      <c r="C204" s="282" t="s">
        <v>1399</v>
      </c>
      <c r="D204" s="282"/>
      <c r="E204" s="282" t="s">
        <v>515</v>
      </c>
      <c r="F204" s="288" t="s">
        <v>3985</v>
      </c>
      <c r="G204" s="272" t="s">
        <v>4078</v>
      </c>
      <c r="H204" s="272" t="s">
        <v>511</v>
      </c>
      <c r="I204" s="338" t="s">
        <v>4857</v>
      </c>
      <c r="J204" s="26"/>
      <c r="K204" s="33"/>
      <c r="M204"/>
    </row>
    <row r="205" spans="1:13" x14ac:dyDescent="0.25">
      <c r="A205" s="276"/>
      <c r="B205" s="283"/>
      <c r="C205" s="283"/>
      <c r="D205" s="283"/>
      <c r="E205" s="283"/>
      <c r="F205" s="288"/>
      <c r="G205" s="272"/>
      <c r="H205" s="272"/>
      <c r="I205" s="272"/>
      <c r="J205" s="26"/>
      <c r="K205" s="33"/>
      <c r="M205"/>
    </row>
    <row r="206" spans="1:13" x14ac:dyDescent="0.2">
      <c r="A206" s="276"/>
      <c r="B206" s="284"/>
      <c r="C206" s="284"/>
      <c r="D206" s="284"/>
      <c r="E206" s="284"/>
      <c r="F206" s="273"/>
      <c r="G206" s="273"/>
      <c r="H206" s="273"/>
      <c r="I206" s="273"/>
      <c r="J206" s="89"/>
      <c r="K206" s="34"/>
      <c r="M206"/>
    </row>
    <row r="207" spans="1:13" ht="15" customHeight="1" x14ac:dyDescent="0.2">
      <c r="A207" s="276"/>
      <c r="B207" s="285"/>
      <c r="C207" s="285"/>
      <c r="D207" s="285"/>
      <c r="E207" s="285"/>
      <c r="F207" s="288" t="s">
        <v>3986</v>
      </c>
      <c r="G207" s="272" t="s">
        <v>4079</v>
      </c>
      <c r="H207" s="272" t="s">
        <v>515</v>
      </c>
      <c r="I207" s="338" t="s">
        <v>4841</v>
      </c>
      <c r="J207" s="26"/>
      <c r="K207" s="34"/>
      <c r="M207"/>
    </row>
    <row r="208" spans="1:13" x14ac:dyDescent="0.2">
      <c r="A208" s="276"/>
      <c r="B208" s="285"/>
      <c r="C208" s="285"/>
      <c r="D208" s="285"/>
      <c r="E208" s="285"/>
      <c r="F208" s="288"/>
      <c r="G208" s="272"/>
      <c r="H208" s="272"/>
      <c r="I208" s="272"/>
      <c r="J208" s="26"/>
      <c r="K208" s="34"/>
      <c r="M208"/>
    </row>
    <row r="209" spans="1:13" x14ac:dyDescent="0.2">
      <c r="A209" s="276"/>
      <c r="B209" s="285"/>
      <c r="C209" s="285"/>
      <c r="D209" s="285"/>
      <c r="E209" s="285"/>
      <c r="F209" s="273"/>
      <c r="G209" s="273"/>
      <c r="H209" s="273"/>
      <c r="I209" s="273"/>
      <c r="J209" s="89"/>
      <c r="K209" s="34"/>
      <c r="M209"/>
    </row>
    <row r="210" spans="1:13" ht="16.350000000000001" customHeight="1" x14ac:dyDescent="0.2">
      <c r="A210" s="276"/>
      <c r="B210" s="285"/>
      <c r="C210" s="285"/>
      <c r="D210" s="285"/>
      <c r="E210" s="285"/>
      <c r="F210" s="288" t="s">
        <v>3987</v>
      </c>
      <c r="G210" s="272" t="s">
        <v>4080</v>
      </c>
      <c r="H210" s="272" t="s">
        <v>528</v>
      </c>
      <c r="I210" s="338" t="s">
        <v>4842</v>
      </c>
      <c r="J210" s="26"/>
      <c r="K210" s="34"/>
      <c r="M210"/>
    </row>
    <row r="211" spans="1:13" ht="16.350000000000001" customHeight="1" x14ac:dyDescent="0.2">
      <c r="A211" s="276"/>
      <c r="B211" s="285"/>
      <c r="C211" s="285"/>
      <c r="D211" s="285"/>
      <c r="E211" s="285"/>
      <c r="F211" s="288"/>
      <c r="G211" s="272"/>
      <c r="H211" s="272"/>
      <c r="I211" s="272"/>
      <c r="J211" s="26"/>
      <c r="K211" s="34"/>
      <c r="M211"/>
    </row>
    <row r="212" spans="1:13" x14ac:dyDescent="0.2">
      <c r="A212" s="276"/>
      <c r="B212" s="285"/>
      <c r="C212" s="285"/>
      <c r="D212" s="285"/>
      <c r="E212" s="285"/>
      <c r="F212" s="273"/>
      <c r="G212" s="273"/>
      <c r="H212" s="273"/>
      <c r="I212" s="273"/>
      <c r="J212" s="89"/>
      <c r="K212" s="34"/>
      <c r="M212"/>
    </row>
    <row r="213" spans="1:13" ht="16.350000000000001" customHeight="1" x14ac:dyDescent="0.2">
      <c r="A213" s="276"/>
      <c r="B213" s="285"/>
      <c r="C213" s="285"/>
      <c r="D213" s="285"/>
      <c r="E213" s="285"/>
      <c r="F213" s="288" t="s">
        <v>3988</v>
      </c>
      <c r="G213" s="272" t="s">
        <v>4081</v>
      </c>
      <c r="H213" s="272" t="s">
        <v>528</v>
      </c>
      <c r="I213" s="272"/>
      <c r="J213" s="26"/>
      <c r="K213" s="34"/>
      <c r="M213"/>
    </row>
    <row r="214" spans="1:13" ht="16.350000000000001" customHeight="1" x14ac:dyDescent="0.2">
      <c r="A214" s="276"/>
      <c r="B214" s="285"/>
      <c r="C214" s="285"/>
      <c r="D214" s="285"/>
      <c r="E214" s="285"/>
      <c r="F214" s="288"/>
      <c r="G214" s="272"/>
      <c r="H214" s="272"/>
      <c r="I214" s="272"/>
      <c r="J214" s="26"/>
      <c r="K214" s="34"/>
      <c r="M214"/>
    </row>
    <row r="215" spans="1:13" x14ac:dyDescent="0.2">
      <c r="A215" s="276"/>
      <c r="B215" s="285"/>
      <c r="C215" s="285"/>
      <c r="D215" s="285"/>
      <c r="E215" s="285"/>
      <c r="F215" s="273"/>
      <c r="G215" s="273"/>
      <c r="H215" s="273"/>
      <c r="I215" s="273"/>
      <c r="J215" s="89"/>
      <c r="K215" s="100"/>
      <c r="M215"/>
    </row>
    <row r="216" spans="1:13" ht="16.350000000000001" customHeight="1" x14ac:dyDescent="0.2">
      <c r="A216" s="276"/>
      <c r="B216" s="285"/>
      <c r="C216" s="285"/>
      <c r="D216" s="285"/>
      <c r="E216" s="285"/>
      <c r="F216" s="288" t="s">
        <v>3989</v>
      </c>
      <c r="G216" s="272" t="s">
        <v>4082</v>
      </c>
      <c r="H216" s="272" t="s">
        <v>515</v>
      </c>
      <c r="I216" s="338" t="s">
        <v>4843</v>
      </c>
      <c r="J216" s="26"/>
      <c r="K216" s="100"/>
      <c r="M216"/>
    </row>
    <row r="217" spans="1:13" ht="16.350000000000001" customHeight="1" x14ac:dyDescent="0.2">
      <c r="A217" s="276"/>
      <c r="B217" s="285"/>
      <c r="C217" s="285"/>
      <c r="D217" s="285"/>
      <c r="E217" s="285"/>
      <c r="F217" s="288"/>
      <c r="G217" s="272"/>
      <c r="H217" s="272"/>
      <c r="I217" s="272"/>
      <c r="J217" s="26"/>
      <c r="K217" s="100"/>
      <c r="M217"/>
    </row>
    <row r="218" spans="1:13" x14ac:dyDescent="0.2">
      <c r="A218" s="276"/>
      <c r="B218" s="285"/>
      <c r="C218" s="285"/>
      <c r="D218" s="285"/>
      <c r="E218" s="285"/>
      <c r="F218" s="273"/>
      <c r="G218" s="273"/>
      <c r="H218" s="273"/>
      <c r="I218" s="273"/>
      <c r="J218" s="89"/>
      <c r="K218" s="37"/>
      <c r="M218"/>
    </row>
    <row r="219" spans="1:13" ht="16.350000000000001" customHeight="1" x14ac:dyDescent="0.2">
      <c r="A219" s="276"/>
      <c r="B219" s="285"/>
      <c r="C219" s="285"/>
      <c r="D219" s="285"/>
      <c r="E219" s="285"/>
      <c r="F219" s="288" t="s">
        <v>3990</v>
      </c>
      <c r="G219" s="272"/>
      <c r="H219" s="272"/>
      <c r="I219" s="272"/>
      <c r="J219" s="26"/>
      <c r="K219" s="34"/>
      <c r="M219"/>
    </row>
    <row r="220" spans="1:13" ht="16.350000000000001" customHeight="1" x14ac:dyDescent="0.2">
      <c r="A220" s="276"/>
      <c r="B220" s="285"/>
      <c r="C220" s="285"/>
      <c r="D220" s="285"/>
      <c r="E220" s="285"/>
      <c r="F220" s="288"/>
      <c r="G220" s="272"/>
      <c r="H220" s="272"/>
      <c r="I220" s="272"/>
      <c r="J220" s="26"/>
      <c r="K220" s="34"/>
      <c r="M220"/>
    </row>
    <row r="221" spans="1:13" x14ac:dyDescent="0.2">
      <c r="A221" s="276"/>
      <c r="B221" s="285"/>
      <c r="C221" s="285"/>
      <c r="D221" s="285"/>
      <c r="E221" s="285"/>
      <c r="F221" s="273"/>
      <c r="G221" s="273"/>
      <c r="H221" s="273"/>
      <c r="I221" s="273"/>
      <c r="J221" s="89"/>
      <c r="K221" s="100"/>
      <c r="M221"/>
    </row>
    <row r="222" spans="1:13" x14ac:dyDescent="0.2">
      <c r="A222" s="276"/>
      <c r="B222" s="275" t="s">
        <v>1397</v>
      </c>
      <c r="C222" s="464" t="s">
        <v>4809</v>
      </c>
      <c r="D222" s="286"/>
      <c r="E222" s="286" t="s">
        <v>511</v>
      </c>
      <c r="F222" s="288" t="s">
        <v>3991</v>
      </c>
      <c r="G222" s="272" t="s">
        <v>4083</v>
      </c>
      <c r="H222" s="272" t="s">
        <v>528</v>
      </c>
      <c r="I222" s="338" t="s">
        <v>4844</v>
      </c>
      <c r="J222" s="26"/>
      <c r="K222" s="37"/>
      <c r="M222"/>
    </row>
    <row r="223" spans="1:13" x14ac:dyDescent="0.2">
      <c r="A223" s="276"/>
      <c r="B223" s="287"/>
      <c r="C223" s="287"/>
      <c r="D223" s="287"/>
      <c r="E223" s="287"/>
      <c r="F223" s="274"/>
      <c r="G223" s="274"/>
      <c r="H223" s="272"/>
      <c r="I223" s="274"/>
      <c r="J223" s="91"/>
      <c r="K223" s="37"/>
      <c r="M223"/>
    </row>
    <row r="224" spans="1:13" x14ac:dyDescent="0.2">
      <c r="A224" s="276"/>
      <c r="B224" s="276"/>
      <c r="C224" s="276"/>
      <c r="D224" s="276"/>
      <c r="E224" s="276"/>
      <c r="F224" s="273"/>
      <c r="G224" s="273"/>
      <c r="H224" s="273"/>
      <c r="I224" s="273"/>
      <c r="J224" s="89"/>
      <c r="K224" s="37"/>
      <c r="M224"/>
    </row>
    <row r="225" spans="1:13" ht="15" customHeight="1" x14ac:dyDescent="0.2">
      <c r="A225" s="276"/>
      <c r="B225" s="276"/>
      <c r="C225" s="276"/>
      <c r="D225" s="276"/>
      <c r="E225" s="276"/>
      <c r="F225" s="288" t="s">
        <v>3992</v>
      </c>
      <c r="G225" s="354" t="s">
        <v>4093</v>
      </c>
      <c r="H225" s="272" t="s">
        <v>528</v>
      </c>
      <c r="I225" s="272"/>
      <c r="J225" s="26"/>
      <c r="K225" s="7"/>
      <c r="M225"/>
    </row>
    <row r="226" spans="1:13" x14ac:dyDescent="0.2">
      <c r="A226" s="276"/>
      <c r="B226" s="276"/>
      <c r="C226" s="276"/>
      <c r="D226" s="276"/>
      <c r="E226" s="276"/>
      <c r="F226" s="274"/>
      <c r="G226" s="274"/>
      <c r="H226" s="272"/>
      <c r="I226" s="274"/>
      <c r="J226" s="91"/>
      <c r="K226" s="7"/>
      <c r="M226"/>
    </row>
    <row r="227" spans="1:13" x14ac:dyDescent="0.2">
      <c r="A227" s="276"/>
      <c r="B227" s="276"/>
      <c r="C227" s="276"/>
      <c r="D227" s="276"/>
      <c r="E227" s="276"/>
      <c r="F227" s="273"/>
      <c r="G227" s="273"/>
      <c r="H227" s="273"/>
      <c r="I227" s="273"/>
      <c r="J227" s="89"/>
      <c r="K227" s="7"/>
      <c r="M227"/>
    </row>
    <row r="228" spans="1:13" ht="16.350000000000001" customHeight="1" x14ac:dyDescent="0.2">
      <c r="A228" s="276"/>
      <c r="B228" s="276"/>
      <c r="C228" s="276"/>
      <c r="D228" s="276"/>
      <c r="E228" s="276"/>
      <c r="F228" s="288" t="s">
        <v>3993</v>
      </c>
      <c r="G228" s="354" t="s">
        <v>4094</v>
      </c>
      <c r="H228" s="272" t="s">
        <v>511</v>
      </c>
      <c r="I228" s="338" t="s">
        <v>4845</v>
      </c>
      <c r="J228" s="26"/>
      <c r="K228" s="7"/>
      <c r="M228"/>
    </row>
    <row r="229" spans="1:13" x14ac:dyDescent="0.2">
      <c r="A229" s="276"/>
      <c r="B229" s="276"/>
      <c r="C229" s="276"/>
      <c r="D229" s="276"/>
      <c r="E229" s="276"/>
      <c r="F229" s="274"/>
      <c r="G229" s="274"/>
      <c r="H229" s="272"/>
      <c r="I229" s="274"/>
      <c r="J229" s="91"/>
      <c r="K229" s="7"/>
      <c r="M229"/>
    </row>
    <row r="230" spans="1:13" x14ac:dyDescent="0.2">
      <c r="A230" s="276"/>
      <c r="B230" s="276"/>
      <c r="C230" s="276"/>
      <c r="D230" s="276"/>
      <c r="E230" s="276"/>
      <c r="F230" s="273"/>
      <c r="G230" s="273"/>
      <c r="H230" s="273"/>
      <c r="I230" s="273"/>
      <c r="J230" s="89"/>
      <c r="K230" s="7"/>
      <c r="M230"/>
    </row>
    <row r="231" spans="1:13" ht="16.350000000000001" customHeight="1" x14ac:dyDescent="0.2">
      <c r="A231" s="276"/>
      <c r="B231" s="276"/>
      <c r="C231" s="276"/>
      <c r="D231" s="276"/>
      <c r="E231" s="276"/>
      <c r="F231" s="288" t="s">
        <v>3994</v>
      </c>
      <c r="G231" s="354" t="s">
        <v>4095</v>
      </c>
      <c r="H231" s="272" t="s">
        <v>511</v>
      </c>
      <c r="I231" s="338" t="s">
        <v>4846</v>
      </c>
      <c r="J231" s="26"/>
      <c r="K231" s="6"/>
      <c r="M231"/>
    </row>
    <row r="232" spans="1:13" x14ac:dyDescent="0.2">
      <c r="A232" s="276"/>
      <c r="B232" s="276"/>
      <c r="C232" s="276"/>
      <c r="D232" s="276"/>
      <c r="E232" s="276"/>
      <c r="F232" s="274"/>
      <c r="G232" s="274"/>
      <c r="H232" s="272"/>
      <c r="I232" s="274"/>
      <c r="J232" s="91"/>
      <c r="K232" s="7"/>
      <c r="M232"/>
    </row>
    <row r="233" spans="1:13" x14ac:dyDescent="0.2">
      <c r="A233" s="276"/>
      <c r="B233" s="276"/>
      <c r="C233" s="276"/>
      <c r="D233" s="276"/>
      <c r="E233" s="276"/>
      <c r="F233" s="273"/>
      <c r="G233" s="273"/>
      <c r="H233" s="273"/>
      <c r="I233" s="273"/>
      <c r="J233" s="89"/>
      <c r="K233" s="7"/>
      <c r="M233"/>
    </row>
    <row r="234" spans="1:13" ht="16.350000000000001" customHeight="1" x14ac:dyDescent="0.2">
      <c r="A234" s="276"/>
      <c r="B234" s="276"/>
      <c r="C234" s="276"/>
      <c r="D234" s="276"/>
      <c r="E234" s="276"/>
      <c r="F234" s="288" t="s">
        <v>3995</v>
      </c>
      <c r="G234" s="354" t="s">
        <v>4096</v>
      </c>
      <c r="H234" s="272" t="s">
        <v>515</v>
      </c>
      <c r="I234" s="338" t="s">
        <v>4847</v>
      </c>
      <c r="J234" s="26"/>
      <c r="K234" s="6"/>
      <c r="M234"/>
    </row>
    <row r="235" spans="1:13" x14ac:dyDescent="0.2">
      <c r="A235" s="276"/>
      <c r="B235" s="276"/>
      <c r="C235" s="276"/>
      <c r="D235" s="276"/>
      <c r="E235" s="276"/>
      <c r="F235" s="274"/>
      <c r="G235" s="274"/>
      <c r="H235" s="272"/>
      <c r="I235" s="274"/>
      <c r="J235" s="91"/>
      <c r="K235" s="7"/>
      <c r="M235"/>
    </row>
    <row r="236" spans="1:13" x14ac:dyDescent="0.2">
      <c r="A236" s="276"/>
      <c r="B236" s="276"/>
      <c r="C236" s="276"/>
      <c r="D236" s="276"/>
      <c r="E236" s="276"/>
      <c r="F236" s="273"/>
      <c r="G236" s="273"/>
      <c r="H236" s="273"/>
      <c r="I236" s="273"/>
      <c r="J236" s="89"/>
      <c r="K236" s="7"/>
      <c r="M236"/>
    </row>
    <row r="237" spans="1:13" ht="16.350000000000001" customHeight="1" x14ac:dyDescent="0.2">
      <c r="A237" s="276"/>
      <c r="B237" s="276"/>
      <c r="C237" s="276"/>
      <c r="D237" s="276"/>
      <c r="E237" s="276"/>
      <c r="F237" s="288" t="s">
        <v>3996</v>
      </c>
      <c r="G237" s="272"/>
      <c r="H237" s="272"/>
      <c r="I237" s="272"/>
      <c r="J237" s="26"/>
      <c r="K237" s="6"/>
      <c r="M237"/>
    </row>
    <row r="238" spans="1:13" x14ac:dyDescent="0.2">
      <c r="A238" s="276"/>
      <c r="B238" s="276"/>
      <c r="C238" s="276"/>
      <c r="D238" s="276"/>
      <c r="E238" s="276"/>
      <c r="F238" s="274"/>
      <c r="G238" s="274"/>
      <c r="H238" s="272"/>
      <c r="I238" s="274"/>
      <c r="J238" s="91"/>
      <c r="K238" s="7"/>
      <c r="M238"/>
    </row>
    <row r="239" spans="1:13" x14ac:dyDescent="0.2">
      <c r="A239" s="276"/>
      <c r="B239" s="276"/>
      <c r="C239" s="276"/>
      <c r="D239" s="276"/>
      <c r="E239" s="276"/>
      <c r="F239" s="273"/>
      <c r="G239" s="273"/>
      <c r="H239" s="273"/>
      <c r="I239" s="273"/>
      <c r="J239" s="89"/>
      <c r="K239" s="7"/>
      <c r="M239"/>
    </row>
    <row r="240" spans="1:13" x14ac:dyDescent="0.2">
      <c r="M240"/>
    </row>
    <row r="241" spans="5:13" x14ac:dyDescent="0.2">
      <c r="M241"/>
    </row>
    <row r="242" spans="5:13" x14ac:dyDescent="0.2">
      <c r="M242"/>
    </row>
    <row r="243" spans="5:13" x14ac:dyDescent="0.2">
      <c r="M243"/>
    </row>
    <row r="247" spans="5:13" x14ac:dyDescent="0.2">
      <c r="E247" s="92" t="s">
        <v>528</v>
      </c>
    </row>
    <row r="248" spans="5:13" x14ac:dyDescent="0.2">
      <c r="E248" s="92" t="s">
        <v>511</v>
      </c>
    </row>
    <row r="249" spans="5:13" x14ac:dyDescent="0.2">
      <c r="E249" s="92" t="s">
        <v>515</v>
      </c>
    </row>
    <row r="250" spans="5:13" x14ac:dyDescent="0.2">
      <c r="E250" s="92" t="s">
        <v>505</v>
      </c>
    </row>
    <row r="251" spans="5:13" x14ac:dyDescent="0.2">
      <c r="E251" s="92" t="s">
        <v>507</v>
      </c>
    </row>
  </sheetData>
  <mergeCells count="349">
    <mergeCell ref="H120:H122"/>
    <mergeCell ref="I120:I122"/>
    <mergeCell ref="H123:H125"/>
    <mergeCell ref="I123:I125"/>
    <mergeCell ref="F156:F158"/>
    <mergeCell ref="G156:G158"/>
    <mergeCell ref="H156:H158"/>
    <mergeCell ref="I156:I158"/>
    <mergeCell ref="F165:F167"/>
    <mergeCell ref="G165:G167"/>
    <mergeCell ref="H165:H167"/>
    <mergeCell ref="I165:I167"/>
    <mergeCell ref="F162:F164"/>
    <mergeCell ref="G162:G164"/>
    <mergeCell ref="H162:H164"/>
    <mergeCell ref="I162:I164"/>
    <mergeCell ref="F159:F161"/>
    <mergeCell ref="G159:G161"/>
    <mergeCell ref="H159:H161"/>
    <mergeCell ref="I159:I161"/>
    <mergeCell ref="H129:H131"/>
    <mergeCell ref="I129:I131"/>
    <mergeCell ref="F126:F128"/>
    <mergeCell ref="G126:G128"/>
    <mergeCell ref="H108:H110"/>
    <mergeCell ref="I108:I110"/>
    <mergeCell ref="F111:F113"/>
    <mergeCell ref="G111:G113"/>
    <mergeCell ref="H111:H113"/>
    <mergeCell ref="I111:I113"/>
    <mergeCell ref="H114:H116"/>
    <mergeCell ref="I114:I116"/>
    <mergeCell ref="F117:F119"/>
    <mergeCell ref="G117:G119"/>
    <mergeCell ref="H117:H119"/>
    <mergeCell ref="I117:I119"/>
    <mergeCell ref="G21:G23"/>
    <mergeCell ref="H21:H23"/>
    <mergeCell ref="I21:I23"/>
    <mergeCell ref="F18:F20"/>
    <mergeCell ref="G18:G20"/>
    <mergeCell ref="H18:H20"/>
    <mergeCell ref="I18:I20"/>
    <mergeCell ref="F72:F74"/>
    <mergeCell ref="G72:G74"/>
    <mergeCell ref="H72:H74"/>
    <mergeCell ref="I72:I74"/>
    <mergeCell ref="F69:F71"/>
    <mergeCell ref="G69:G71"/>
    <mergeCell ref="H69:H71"/>
    <mergeCell ref="I69:I71"/>
    <mergeCell ref="F66:F68"/>
    <mergeCell ref="G66:G68"/>
    <mergeCell ref="H66:H68"/>
    <mergeCell ref="I66:I68"/>
    <mergeCell ref="F63:F65"/>
    <mergeCell ref="G63:G65"/>
    <mergeCell ref="H63:H65"/>
    <mergeCell ref="I63:I65"/>
    <mergeCell ref="F60:F62"/>
    <mergeCell ref="G3:G5"/>
    <mergeCell ref="H3:H5"/>
    <mergeCell ref="I3:I5"/>
    <mergeCell ref="F6:F8"/>
    <mergeCell ref="G6:G8"/>
    <mergeCell ref="H6:H8"/>
    <mergeCell ref="I6:I8"/>
    <mergeCell ref="A3:A239"/>
    <mergeCell ref="B3:B38"/>
    <mergeCell ref="C3:C38"/>
    <mergeCell ref="D3:D38"/>
    <mergeCell ref="E3:E38"/>
    <mergeCell ref="F3:F5"/>
    <mergeCell ref="F9:F11"/>
    <mergeCell ref="F15:F17"/>
    <mergeCell ref="B39:B77"/>
    <mergeCell ref="C39:C77"/>
    <mergeCell ref="F33:F35"/>
    <mergeCell ref="G33:G35"/>
    <mergeCell ref="H33:H35"/>
    <mergeCell ref="I33:I35"/>
    <mergeCell ref="F30:F32"/>
    <mergeCell ref="G30:G32"/>
    <mergeCell ref="H30:H32"/>
    <mergeCell ref="G15:G17"/>
    <mergeCell ref="H15:H17"/>
    <mergeCell ref="I15:I17"/>
    <mergeCell ref="F36:F38"/>
    <mergeCell ref="G36:G38"/>
    <mergeCell ref="H36:H38"/>
    <mergeCell ref="I36:I38"/>
    <mergeCell ref="G9:G11"/>
    <mergeCell ref="H9:H11"/>
    <mergeCell ref="I9:I11"/>
    <mergeCell ref="F12:F14"/>
    <mergeCell ref="G12:G14"/>
    <mergeCell ref="H12:H14"/>
    <mergeCell ref="I12:I14"/>
    <mergeCell ref="I30:I32"/>
    <mergeCell ref="F27:F29"/>
    <mergeCell ref="G27:G29"/>
    <mergeCell ref="H27:H29"/>
    <mergeCell ref="I27:I29"/>
    <mergeCell ref="F24:F26"/>
    <mergeCell ref="G24:G26"/>
    <mergeCell ref="H24:H26"/>
    <mergeCell ref="I24:I26"/>
    <mergeCell ref="F21:F23"/>
    <mergeCell ref="D39:D77"/>
    <mergeCell ref="E39:E77"/>
    <mergeCell ref="F39:F41"/>
    <mergeCell ref="G39:G41"/>
    <mergeCell ref="H39:H41"/>
    <mergeCell ref="I39:I41"/>
    <mergeCell ref="F42:F44"/>
    <mergeCell ref="G42:G44"/>
    <mergeCell ref="H42:H44"/>
    <mergeCell ref="I42:I44"/>
    <mergeCell ref="G60:G62"/>
    <mergeCell ref="H60:H62"/>
    <mergeCell ref="I60:I62"/>
    <mergeCell ref="F57:F59"/>
    <mergeCell ref="G57:G59"/>
    <mergeCell ref="H57:H59"/>
    <mergeCell ref="I57:I59"/>
    <mergeCell ref="F54:F56"/>
    <mergeCell ref="G54:G56"/>
    <mergeCell ref="H54:H56"/>
    <mergeCell ref="I54:I56"/>
    <mergeCell ref="F51:F53"/>
    <mergeCell ref="G51:G53"/>
    <mergeCell ref="H51:H53"/>
    <mergeCell ref="I51:I53"/>
    <mergeCell ref="F75:F77"/>
    <mergeCell ref="G75:G77"/>
    <mergeCell ref="H75:H77"/>
    <mergeCell ref="I75:I77"/>
    <mergeCell ref="F45:F47"/>
    <mergeCell ref="G45:G47"/>
    <mergeCell ref="H45:H47"/>
    <mergeCell ref="I45:I47"/>
    <mergeCell ref="F48:F50"/>
    <mergeCell ref="G48:G50"/>
    <mergeCell ref="H48:H50"/>
    <mergeCell ref="I48:I50"/>
    <mergeCell ref="H78:H80"/>
    <mergeCell ref="I78:I80"/>
    <mergeCell ref="F81:F83"/>
    <mergeCell ref="G81:G83"/>
    <mergeCell ref="H81:H83"/>
    <mergeCell ref="I81:I83"/>
    <mergeCell ref="B78:B113"/>
    <mergeCell ref="C78:C113"/>
    <mergeCell ref="D78:D113"/>
    <mergeCell ref="E78:E113"/>
    <mergeCell ref="F78:F80"/>
    <mergeCell ref="G78:G80"/>
    <mergeCell ref="F84:F86"/>
    <mergeCell ref="G84:G86"/>
    <mergeCell ref="F108:F110"/>
    <mergeCell ref="G108:G110"/>
    <mergeCell ref="F105:F107"/>
    <mergeCell ref="G105:G107"/>
    <mergeCell ref="H105:H107"/>
    <mergeCell ref="I105:I107"/>
    <mergeCell ref="F102:F104"/>
    <mergeCell ref="G102:G104"/>
    <mergeCell ref="H102:H104"/>
    <mergeCell ref="I102:I104"/>
    <mergeCell ref="H84:H86"/>
    <mergeCell ref="I84:I86"/>
    <mergeCell ref="F87:F89"/>
    <mergeCell ref="G87:G89"/>
    <mergeCell ref="H87:H89"/>
    <mergeCell ref="I87:I89"/>
    <mergeCell ref="F99:F101"/>
    <mergeCell ref="G99:G101"/>
    <mergeCell ref="H99:H101"/>
    <mergeCell ref="I99:I101"/>
    <mergeCell ref="F96:F98"/>
    <mergeCell ref="G96:G98"/>
    <mergeCell ref="H96:H98"/>
    <mergeCell ref="I96:I98"/>
    <mergeCell ref="G93:G95"/>
    <mergeCell ref="H93:H95"/>
    <mergeCell ref="I93:I95"/>
    <mergeCell ref="F93:F95"/>
    <mergeCell ref="F90:F92"/>
    <mergeCell ref="G90:G92"/>
    <mergeCell ref="H90:H92"/>
    <mergeCell ref="I90:I92"/>
    <mergeCell ref="B114:B149"/>
    <mergeCell ref="C114:C149"/>
    <mergeCell ref="D114:D149"/>
    <mergeCell ref="E114:E149"/>
    <mergeCell ref="F114:F116"/>
    <mergeCell ref="G114:G116"/>
    <mergeCell ref="F120:F122"/>
    <mergeCell ref="G120:G122"/>
    <mergeCell ref="F135:F137"/>
    <mergeCell ref="G135:G137"/>
    <mergeCell ref="F132:F134"/>
    <mergeCell ref="G132:G134"/>
    <mergeCell ref="F123:F125"/>
    <mergeCell ref="G123:G125"/>
    <mergeCell ref="F129:F131"/>
    <mergeCell ref="G129:G131"/>
    <mergeCell ref="F147:F149"/>
    <mergeCell ref="G147:G149"/>
    <mergeCell ref="F144:F146"/>
    <mergeCell ref="G144:G146"/>
    <mergeCell ref="F141:F143"/>
    <mergeCell ref="G141:G143"/>
    <mergeCell ref="F138:F140"/>
    <mergeCell ref="G138:G140"/>
    <mergeCell ref="H126:H128"/>
    <mergeCell ref="I126:I128"/>
    <mergeCell ref="H150:H152"/>
    <mergeCell ref="I150:I152"/>
    <mergeCell ref="F153:F155"/>
    <mergeCell ref="G153:G155"/>
    <mergeCell ref="H153:H155"/>
    <mergeCell ref="I153:I155"/>
    <mergeCell ref="H147:H149"/>
    <mergeCell ref="I147:I149"/>
    <mergeCell ref="H144:H146"/>
    <mergeCell ref="I144:I146"/>
    <mergeCell ref="H141:H143"/>
    <mergeCell ref="I141:I143"/>
    <mergeCell ref="H138:H140"/>
    <mergeCell ref="I138:I140"/>
    <mergeCell ref="H135:H137"/>
    <mergeCell ref="I135:I137"/>
    <mergeCell ref="H132:H134"/>
    <mergeCell ref="I132:I134"/>
    <mergeCell ref="B150:B185"/>
    <mergeCell ref="C150:C185"/>
    <mergeCell ref="D150:D185"/>
    <mergeCell ref="E150:E185"/>
    <mergeCell ref="F150:F152"/>
    <mergeCell ref="G150:G152"/>
    <mergeCell ref="F174:F176"/>
    <mergeCell ref="G174:G176"/>
    <mergeCell ref="F180:F182"/>
    <mergeCell ref="G180:G182"/>
    <mergeCell ref="F171:F173"/>
    <mergeCell ref="G171:G173"/>
    <mergeCell ref="H171:H173"/>
    <mergeCell ref="I171:I173"/>
    <mergeCell ref="F168:F170"/>
    <mergeCell ref="G168:G170"/>
    <mergeCell ref="H168:H170"/>
    <mergeCell ref="I168:I170"/>
    <mergeCell ref="H180:H182"/>
    <mergeCell ref="I180:I182"/>
    <mergeCell ref="F183:F185"/>
    <mergeCell ref="G183:G185"/>
    <mergeCell ref="H183:H185"/>
    <mergeCell ref="I183:I185"/>
    <mergeCell ref="H174:H176"/>
    <mergeCell ref="I174:I176"/>
    <mergeCell ref="F177:F179"/>
    <mergeCell ref="G177:G179"/>
    <mergeCell ref="H177:H179"/>
    <mergeCell ref="I177:I179"/>
    <mergeCell ref="H186:H188"/>
    <mergeCell ref="I186:I188"/>
    <mergeCell ref="F189:F191"/>
    <mergeCell ref="G189:G191"/>
    <mergeCell ref="H189:H191"/>
    <mergeCell ref="I189:I191"/>
    <mergeCell ref="B186:B203"/>
    <mergeCell ref="C186:C203"/>
    <mergeCell ref="D186:D203"/>
    <mergeCell ref="E186:E203"/>
    <mergeCell ref="F186:F188"/>
    <mergeCell ref="G186:G188"/>
    <mergeCell ref="F192:F194"/>
    <mergeCell ref="G192:G194"/>
    <mergeCell ref="F198:F200"/>
    <mergeCell ref="G198:G200"/>
    <mergeCell ref="H198:H200"/>
    <mergeCell ref="I198:I200"/>
    <mergeCell ref="F201:F203"/>
    <mergeCell ref="G201:G203"/>
    <mergeCell ref="H201:H203"/>
    <mergeCell ref="I201:I203"/>
    <mergeCell ref="H192:H194"/>
    <mergeCell ref="I192:I194"/>
    <mergeCell ref="F195:F197"/>
    <mergeCell ref="G195:G197"/>
    <mergeCell ref="H195:H197"/>
    <mergeCell ref="I195:I197"/>
    <mergeCell ref="H204:H206"/>
    <mergeCell ref="I204:I206"/>
    <mergeCell ref="F207:F209"/>
    <mergeCell ref="G207:G209"/>
    <mergeCell ref="H207:H209"/>
    <mergeCell ref="I207:I209"/>
    <mergeCell ref="H210:H212"/>
    <mergeCell ref="I210:I212"/>
    <mergeCell ref="F213:F215"/>
    <mergeCell ref="G213:G215"/>
    <mergeCell ref="H213:H215"/>
    <mergeCell ref="I213:I215"/>
    <mergeCell ref="B204:B221"/>
    <mergeCell ref="C204:C221"/>
    <mergeCell ref="D204:D221"/>
    <mergeCell ref="E204:E221"/>
    <mergeCell ref="F204:F206"/>
    <mergeCell ref="G204:G206"/>
    <mergeCell ref="F210:F212"/>
    <mergeCell ref="G210:G212"/>
    <mergeCell ref="F216:F218"/>
    <mergeCell ref="G216:G218"/>
    <mergeCell ref="H234:H236"/>
    <mergeCell ref="I234:I236"/>
    <mergeCell ref="F237:F239"/>
    <mergeCell ref="G237:G239"/>
    <mergeCell ref="H237:H239"/>
    <mergeCell ref="I237:I239"/>
    <mergeCell ref="H228:H230"/>
    <mergeCell ref="I228:I230"/>
    <mergeCell ref="H216:H218"/>
    <mergeCell ref="I216:I218"/>
    <mergeCell ref="F219:F221"/>
    <mergeCell ref="G219:G221"/>
    <mergeCell ref="H219:H221"/>
    <mergeCell ref="I219:I221"/>
    <mergeCell ref="H231:H233"/>
    <mergeCell ref="I231:I233"/>
    <mergeCell ref="H222:H224"/>
    <mergeCell ref="I222:I224"/>
    <mergeCell ref="H225:H227"/>
    <mergeCell ref="I225:I227"/>
    <mergeCell ref="B222:B239"/>
    <mergeCell ref="C222:C239"/>
    <mergeCell ref="D222:D239"/>
    <mergeCell ref="E222:E239"/>
    <mergeCell ref="F222:F224"/>
    <mergeCell ref="G222:G224"/>
    <mergeCell ref="F228:F230"/>
    <mergeCell ref="G228:G230"/>
    <mergeCell ref="F234:F236"/>
    <mergeCell ref="G234:G236"/>
    <mergeCell ref="F231:F233"/>
    <mergeCell ref="G231:G233"/>
    <mergeCell ref="F225:F227"/>
    <mergeCell ref="G225:G227"/>
  </mergeCells>
  <phoneticPr fontId="14" type="noConversion"/>
  <dataValidations count="1">
    <dataValidation type="list" allowBlank="1" showInputMessage="1" showErrorMessage="1" sqref="E3:E239 H3:H239" xr:uid="{E25D049D-0BEE-F340-A207-C3566B90784D}">
      <formula1>$E$247:$E$251</formula1>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88AB-5B9E-314A-BBFD-1A438E96DA7B}">
  <sheetPr>
    <tabColor theme="4"/>
  </sheetPr>
  <dimension ref="A1:L404"/>
  <sheetViews>
    <sheetView showGridLines="0" topLeftCell="A114" zoomScale="80" workbookViewId="0">
      <selection activeCell="L244" sqref="L244"/>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4" customWidth="1"/>
    <col min="8" max="8" width="17.28515625" style="15" customWidth="1"/>
    <col min="9" max="9" width="32.28515625" style="15" customWidth="1"/>
    <col min="10" max="10" width="9.7109375" style="15" hidden="1" customWidth="1"/>
    <col min="11" max="11" width="45.140625" style="3" hidden="1" customWidth="1"/>
    <col min="12" max="43" width="12" style="14" customWidth="1"/>
    <col min="44" max="251" width="13.28515625" style="14"/>
    <col min="252" max="252" width="40.28515625" style="14" customWidth="1"/>
    <col min="253" max="253" width="48.85546875" style="14" customWidth="1"/>
    <col min="254" max="254" width="53.28515625" style="14" customWidth="1"/>
    <col min="255" max="255" width="56.28515625" style="14" customWidth="1"/>
    <col min="256" max="299" width="12" style="14" customWidth="1"/>
    <col min="300" max="507" width="13.28515625" style="14"/>
    <col min="508" max="508" width="40.28515625" style="14" customWidth="1"/>
    <col min="509" max="509" width="48.85546875" style="14" customWidth="1"/>
    <col min="510" max="510" width="53.28515625" style="14" customWidth="1"/>
    <col min="511" max="511" width="56.28515625" style="14" customWidth="1"/>
    <col min="512" max="555" width="12" style="14" customWidth="1"/>
    <col min="556" max="763" width="13.28515625" style="14"/>
    <col min="764" max="764" width="40.28515625" style="14" customWidth="1"/>
    <col min="765" max="765" width="48.85546875" style="14" customWidth="1"/>
    <col min="766" max="766" width="53.28515625" style="14" customWidth="1"/>
    <col min="767" max="767" width="56.28515625" style="14" customWidth="1"/>
    <col min="768" max="811" width="12" style="14" customWidth="1"/>
    <col min="812" max="1019" width="13.28515625" style="14"/>
    <col min="1020" max="1020" width="40.28515625" style="14" customWidth="1"/>
    <col min="1021" max="1021" width="48.85546875" style="14" customWidth="1"/>
    <col min="1022" max="1022" width="53.28515625" style="14" customWidth="1"/>
    <col min="1023" max="1023" width="56.28515625" style="14" customWidth="1"/>
    <col min="1024" max="1067" width="12" style="14" customWidth="1"/>
    <col min="1068" max="1275" width="13.28515625" style="14"/>
    <col min="1276" max="1276" width="40.28515625" style="14" customWidth="1"/>
    <col min="1277" max="1277" width="48.85546875" style="14" customWidth="1"/>
    <col min="1278" max="1278" width="53.28515625" style="14" customWidth="1"/>
    <col min="1279" max="1279" width="56.28515625" style="14" customWidth="1"/>
    <col min="1280" max="1323" width="12" style="14" customWidth="1"/>
    <col min="1324" max="1531" width="13.28515625" style="14"/>
    <col min="1532" max="1532" width="40.28515625" style="14" customWidth="1"/>
    <col min="1533" max="1533" width="48.85546875" style="14" customWidth="1"/>
    <col min="1534" max="1534" width="53.28515625" style="14" customWidth="1"/>
    <col min="1535" max="1535" width="56.28515625" style="14" customWidth="1"/>
    <col min="1536" max="1579" width="12" style="14" customWidth="1"/>
    <col min="1580" max="1787" width="13.28515625" style="14"/>
    <col min="1788" max="1788" width="40.28515625" style="14" customWidth="1"/>
    <col min="1789" max="1789" width="48.85546875" style="14" customWidth="1"/>
    <col min="1790" max="1790" width="53.28515625" style="14" customWidth="1"/>
    <col min="1791" max="1791" width="56.28515625" style="14" customWidth="1"/>
    <col min="1792" max="1835" width="12" style="14" customWidth="1"/>
    <col min="1836" max="2043" width="13.28515625" style="14"/>
    <col min="2044" max="2044" width="40.28515625" style="14" customWidth="1"/>
    <col min="2045" max="2045" width="48.85546875" style="14" customWidth="1"/>
    <col min="2046" max="2046" width="53.28515625" style="14" customWidth="1"/>
    <col min="2047" max="2047" width="56.28515625" style="14" customWidth="1"/>
    <col min="2048" max="2091" width="12" style="14" customWidth="1"/>
    <col min="2092" max="2299" width="13.28515625" style="14"/>
    <col min="2300" max="2300" width="40.28515625" style="14" customWidth="1"/>
    <col min="2301" max="2301" width="48.85546875" style="14" customWidth="1"/>
    <col min="2302" max="2302" width="53.28515625" style="14" customWidth="1"/>
    <col min="2303" max="2303" width="56.28515625" style="14" customWidth="1"/>
    <col min="2304" max="2347" width="12" style="14" customWidth="1"/>
    <col min="2348" max="2555" width="13.28515625" style="14"/>
    <col min="2556" max="2556" width="40.28515625" style="14" customWidth="1"/>
    <col min="2557" max="2557" width="48.85546875" style="14" customWidth="1"/>
    <col min="2558" max="2558" width="53.28515625" style="14" customWidth="1"/>
    <col min="2559" max="2559" width="56.28515625" style="14" customWidth="1"/>
    <col min="2560" max="2603" width="12" style="14" customWidth="1"/>
    <col min="2604" max="2811" width="13.28515625" style="14"/>
    <col min="2812" max="2812" width="40.28515625" style="14" customWidth="1"/>
    <col min="2813" max="2813" width="48.85546875" style="14" customWidth="1"/>
    <col min="2814" max="2814" width="53.28515625" style="14" customWidth="1"/>
    <col min="2815" max="2815" width="56.28515625" style="14" customWidth="1"/>
    <col min="2816" max="2859" width="12" style="14" customWidth="1"/>
    <col min="2860" max="3067" width="13.28515625" style="14"/>
    <col min="3068" max="3068" width="40.28515625" style="14" customWidth="1"/>
    <col min="3069" max="3069" width="48.85546875" style="14" customWidth="1"/>
    <col min="3070" max="3070" width="53.28515625" style="14" customWidth="1"/>
    <col min="3071" max="3071" width="56.28515625" style="14" customWidth="1"/>
    <col min="3072" max="3115" width="12" style="14" customWidth="1"/>
    <col min="3116" max="3323" width="13.28515625" style="14"/>
    <col min="3324" max="3324" width="40.28515625" style="14" customWidth="1"/>
    <col min="3325" max="3325" width="48.85546875" style="14" customWidth="1"/>
    <col min="3326" max="3326" width="53.28515625" style="14" customWidth="1"/>
    <col min="3327" max="3327" width="56.28515625" style="14" customWidth="1"/>
    <col min="3328" max="3371" width="12" style="14" customWidth="1"/>
    <col min="3372" max="3579" width="13.28515625" style="14"/>
    <col min="3580" max="3580" width="40.28515625" style="14" customWidth="1"/>
    <col min="3581" max="3581" width="48.85546875" style="14" customWidth="1"/>
    <col min="3582" max="3582" width="53.28515625" style="14" customWidth="1"/>
    <col min="3583" max="3583" width="56.28515625" style="14" customWidth="1"/>
    <col min="3584" max="3627" width="12" style="14" customWidth="1"/>
    <col min="3628" max="3835" width="13.28515625" style="14"/>
    <col min="3836" max="3836" width="40.28515625" style="14" customWidth="1"/>
    <col min="3837" max="3837" width="48.85546875" style="14" customWidth="1"/>
    <col min="3838" max="3838" width="53.28515625" style="14" customWidth="1"/>
    <col min="3839" max="3839" width="56.28515625" style="14" customWidth="1"/>
    <col min="3840" max="3883" width="12" style="14" customWidth="1"/>
    <col min="3884" max="4091" width="13.28515625" style="14"/>
    <col min="4092" max="4092" width="40.28515625" style="14" customWidth="1"/>
    <col min="4093" max="4093" width="48.85546875" style="14" customWidth="1"/>
    <col min="4094" max="4094" width="53.28515625" style="14" customWidth="1"/>
    <col min="4095" max="4095" width="56.28515625" style="14" customWidth="1"/>
    <col min="4096" max="4139" width="12" style="14" customWidth="1"/>
    <col min="4140" max="4347" width="13.28515625" style="14"/>
    <col min="4348" max="4348" width="40.28515625" style="14" customWidth="1"/>
    <col min="4349" max="4349" width="48.85546875" style="14" customWidth="1"/>
    <col min="4350" max="4350" width="53.28515625" style="14" customWidth="1"/>
    <col min="4351" max="4351" width="56.28515625" style="14" customWidth="1"/>
    <col min="4352" max="4395" width="12" style="14" customWidth="1"/>
    <col min="4396" max="4603" width="13.28515625" style="14"/>
    <col min="4604" max="4604" width="40.28515625" style="14" customWidth="1"/>
    <col min="4605" max="4605" width="48.85546875" style="14" customWidth="1"/>
    <col min="4606" max="4606" width="53.28515625" style="14" customWidth="1"/>
    <col min="4607" max="4607" width="56.28515625" style="14" customWidth="1"/>
    <col min="4608" max="4651" width="12" style="14" customWidth="1"/>
    <col min="4652" max="4859" width="13.28515625" style="14"/>
    <col min="4860" max="4860" width="40.28515625" style="14" customWidth="1"/>
    <col min="4861" max="4861" width="48.85546875" style="14" customWidth="1"/>
    <col min="4862" max="4862" width="53.28515625" style="14" customWidth="1"/>
    <col min="4863" max="4863" width="56.28515625" style="14" customWidth="1"/>
    <col min="4864" max="4907" width="12" style="14" customWidth="1"/>
    <col min="4908" max="5115" width="13.28515625" style="14"/>
    <col min="5116" max="5116" width="40.28515625" style="14" customWidth="1"/>
    <col min="5117" max="5117" width="48.85546875" style="14" customWidth="1"/>
    <col min="5118" max="5118" width="53.28515625" style="14" customWidth="1"/>
    <col min="5119" max="5119" width="56.28515625" style="14" customWidth="1"/>
    <col min="5120" max="5163" width="12" style="14" customWidth="1"/>
    <col min="5164" max="5371" width="13.28515625" style="14"/>
    <col min="5372" max="5372" width="40.28515625" style="14" customWidth="1"/>
    <col min="5373" max="5373" width="48.85546875" style="14" customWidth="1"/>
    <col min="5374" max="5374" width="53.28515625" style="14" customWidth="1"/>
    <col min="5375" max="5375" width="56.28515625" style="14" customWidth="1"/>
    <col min="5376" max="5419" width="12" style="14" customWidth="1"/>
    <col min="5420" max="5627" width="13.28515625" style="14"/>
    <col min="5628" max="5628" width="40.28515625" style="14" customWidth="1"/>
    <col min="5629" max="5629" width="48.85546875" style="14" customWidth="1"/>
    <col min="5630" max="5630" width="53.28515625" style="14" customWidth="1"/>
    <col min="5631" max="5631" width="56.28515625" style="14" customWidth="1"/>
    <col min="5632" max="5675" width="12" style="14" customWidth="1"/>
    <col min="5676" max="5883" width="13.28515625" style="14"/>
    <col min="5884" max="5884" width="40.28515625" style="14" customWidth="1"/>
    <col min="5885" max="5885" width="48.85546875" style="14" customWidth="1"/>
    <col min="5886" max="5886" width="53.28515625" style="14" customWidth="1"/>
    <col min="5887" max="5887" width="56.28515625" style="14" customWidth="1"/>
    <col min="5888" max="5931" width="12" style="14" customWidth="1"/>
    <col min="5932" max="6139" width="13.28515625" style="14"/>
    <col min="6140" max="6140" width="40.28515625" style="14" customWidth="1"/>
    <col min="6141" max="6141" width="48.85546875" style="14" customWidth="1"/>
    <col min="6142" max="6142" width="53.28515625" style="14" customWidth="1"/>
    <col min="6143" max="6143" width="56.28515625" style="14" customWidth="1"/>
    <col min="6144" max="6187" width="12" style="14" customWidth="1"/>
    <col min="6188" max="6395" width="13.28515625" style="14"/>
    <col min="6396" max="6396" width="40.28515625" style="14" customWidth="1"/>
    <col min="6397" max="6397" width="48.85546875" style="14" customWidth="1"/>
    <col min="6398" max="6398" width="53.28515625" style="14" customWidth="1"/>
    <col min="6399" max="6399" width="56.28515625" style="14" customWidth="1"/>
    <col min="6400" max="6443" width="12" style="14" customWidth="1"/>
    <col min="6444" max="6651" width="13.28515625" style="14"/>
    <col min="6652" max="6652" width="40.28515625" style="14" customWidth="1"/>
    <col min="6653" max="6653" width="48.85546875" style="14" customWidth="1"/>
    <col min="6654" max="6654" width="53.28515625" style="14" customWidth="1"/>
    <col min="6655" max="6655" width="56.28515625" style="14" customWidth="1"/>
    <col min="6656" max="6699" width="12" style="14" customWidth="1"/>
    <col min="6700" max="6907" width="13.28515625" style="14"/>
    <col min="6908" max="6908" width="40.28515625" style="14" customWidth="1"/>
    <col min="6909" max="6909" width="48.85546875" style="14" customWidth="1"/>
    <col min="6910" max="6910" width="53.28515625" style="14" customWidth="1"/>
    <col min="6911" max="6911" width="56.28515625" style="14" customWidth="1"/>
    <col min="6912" max="6955" width="12" style="14" customWidth="1"/>
    <col min="6956" max="7163" width="13.28515625" style="14"/>
    <col min="7164" max="7164" width="40.28515625" style="14" customWidth="1"/>
    <col min="7165" max="7165" width="48.85546875" style="14" customWidth="1"/>
    <col min="7166" max="7166" width="53.28515625" style="14" customWidth="1"/>
    <col min="7167" max="7167" width="56.28515625" style="14" customWidth="1"/>
    <col min="7168" max="7211" width="12" style="14" customWidth="1"/>
    <col min="7212" max="7419" width="13.28515625" style="14"/>
    <col min="7420" max="7420" width="40.28515625" style="14" customWidth="1"/>
    <col min="7421" max="7421" width="48.85546875" style="14" customWidth="1"/>
    <col min="7422" max="7422" width="53.28515625" style="14" customWidth="1"/>
    <col min="7423" max="7423" width="56.28515625" style="14" customWidth="1"/>
    <col min="7424" max="7467" width="12" style="14" customWidth="1"/>
    <col min="7468" max="7675" width="13.28515625" style="14"/>
    <col min="7676" max="7676" width="40.28515625" style="14" customWidth="1"/>
    <col min="7677" max="7677" width="48.85546875" style="14" customWidth="1"/>
    <col min="7678" max="7678" width="53.28515625" style="14" customWidth="1"/>
    <col min="7679" max="7679" width="56.28515625" style="14" customWidth="1"/>
    <col min="7680" max="7723" width="12" style="14" customWidth="1"/>
    <col min="7724" max="7931" width="13.28515625" style="14"/>
    <col min="7932" max="7932" width="40.28515625" style="14" customWidth="1"/>
    <col min="7933" max="7933" width="48.85546875" style="14" customWidth="1"/>
    <col min="7934" max="7934" width="53.28515625" style="14" customWidth="1"/>
    <col min="7935" max="7935" width="56.28515625" style="14" customWidth="1"/>
    <col min="7936" max="7979" width="12" style="14" customWidth="1"/>
    <col min="7980" max="8187" width="13.28515625" style="14"/>
    <col min="8188" max="8188" width="40.28515625" style="14" customWidth="1"/>
    <col min="8189" max="8189" width="48.85546875" style="14" customWidth="1"/>
    <col min="8190" max="8190" width="53.28515625" style="14" customWidth="1"/>
    <col min="8191" max="8191" width="56.28515625" style="14" customWidth="1"/>
    <col min="8192" max="8235" width="12" style="14" customWidth="1"/>
    <col min="8236" max="8443" width="13.28515625" style="14"/>
    <col min="8444" max="8444" width="40.28515625" style="14" customWidth="1"/>
    <col min="8445" max="8445" width="48.85546875" style="14" customWidth="1"/>
    <col min="8446" max="8446" width="53.28515625" style="14" customWidth="1"/>
    <col min="8447" max="8447" width="56.28515625" style="14" customWidth="1"/>
    <col min="8448" max="8491" width="12" style="14" customWidth="1"/>
    <col min="8492" max="8699" width="13.28515625" style="14"/>
    <col min="8700" max="8700" width="40.28515625" style="14" customWidth="1"/>
    <col min="8701" max="8701" width="48.85546875" style="14" customWidth="1"/>
    <col min="8702" max="8702" width="53.28515625" style="14" customWidth="1"/>
    <col min="8703" max="8703" width="56.28515625" style="14" customWidth="1"/>
    <col min="8704" max="8747" width="12" style="14" customWidth="1"/>
    <col min="8748" max="8955" width="13.28515625" style="14"/>
    <col min="8956" max="8956" width="40.28515625" style="14" customWidth="1"/>
    <col min="8957" max="8957" width="48.85546875" style="14" customWidth="1"/>
    <col min="8958" max="8958" width="53.28515625" style="14" customWidth="1"/>
    <col min="8959" max="8959" width="56.28515625" style="14" customWidth="1"/>
    <col min="8960" max="9003" width="12" style="14" customWidth="1"/>
    <col min="9004" max="9211" width="13.28515625" style="14"/>
    <col min="9212" max="9212" width="40.28515625" style="14" customWidth="1"/>
    <col min="9213" max="9213" width="48.85546875" style="14" customWidth="1"/>
    <col min="9214" max="9214" width="53.28515625" style="14" customWidth="1"/>
    <col min="9215" max="9215" width="56.28515625" style="14" customWidth="1"/>
    <col min="9216" max="9259" width="12" style="14" customWidth="1"/>
    <col min="9260" max="9467" width="13.28515625" style="14"/>
    <col min="9468" max="9468" width="40.28515625" style="14" customWidth="1"/>
    <col min="9469" max="9469" width="48.85546875" style="14" customWidth="1"/>
    <col min="9470" max="9470" width="53.28515625" style="14" customWidth="1"/>
    <col min="9471" max="9471" width="56.28515625" style="14" customWidth="1"/>
    <col min="9472" max="9515" width="12" style="14" customWidth="1"/>
    <col min="9516" max="9723" width="13.28515625" style="14"/>
    <col min="9724" max="9724" width="40.28515625" style="14" customWidth="1"/>
    <col min="9725" max="9725" width="48.85546875" style="14" customWidth="1"/>
    <col min="9726" max="9726" width="53.28515625" style="14" customWidth="1"/>
    <col min="9727" max="9727" width="56.28515625" style="14" customWidth="1"/>
    <col min="9728" max="9771" width="12" style="14" customWidth="1"/>
    <col min="9772" max="9979" width="13.28515625" style="14"/>
    <col min="9980" max="9980" width="40.28515625" style="14" customWidth="1"/>
    <col min="9981" max="9981" width="48.85546875" style="14" customWidth="1"/>
    <col min="9982" max="9982" width="53.28515625" style="14" customWidth="1"/>
    <col min="9983" max="9983" width="56.28515625" style="14" customWidth="1"/>
    <col min="9984" max="10027" width="12" style="14" customWidth="1"/>
    <col min="10028" max="10235" width="13.28515625" style="14"/>
    <col min="10236" max="10236" width="40.28515625" style="14" customWidth="1"/>
    <col min="10237" max="10237" width="48.85546875" style="14" customWidth="1"/>
    <col min="10238" max="10238" width="53.28515625" style="14" customWidth="1"/>
    <col min="10239" max="10239" width="56.28515625" style="14" customWidth="1"/>
    <col min="10240" max="10283" width="12" style="14" customWidth="1"/>
    <col min="10284" max="10491" width="13.28515625" style="14"/>
    <col min="10492" max="10492" width="40.28515625" style="14" customWidth="1"/>
    <col min="10493" max="10493" width="48.85546875" style="14" customWidth="1"/>
    <col min="10494" max="10494" width="53.28515625" style="14" customWidth="1"/>
    <col min="10495" max="10495" width="56.28515625" style="14" customWidth="1"/>
    <col min="10496" max="10539" width="12" style="14" customWidth="1"/>
    <col min="10540" max="10747" width="13.28515625" style="14"/>
    <col min="10748" max="10748" width="40.28515625" style="14" customWidth="1"/>
    <col min="10749" max="10749" width="48.85546875" style="14" customWidth="1"/>
    <col min="10750" max="10750" width="53.28515625" style="14" customWidth="1"/>
    <col min="10751" max="10751" width="56.28515625" style="14" customWidth="1"/>
    <col min="10752" max="10795" width="12" style="14" customWidth="1"/>
    <col min="10796" max="11003" width="13.28515625" style="14"/>
    <col min="11004" max="11004" width="40.28515625" style="14" customWidth="1"/>
    <col min="11005" max="11005" width="48.85546875" style="14" customWidth="1"/>
    <col min="11006" max="11006" width="53.28515625" style="14" customWidth="1"/>
    <col min="11007" max="11007" width="56.28515625" style="14" customWidth="1"/>
    <col min="11008" max="11051" width="12" style="14" customWidth="1"/>
    <col min="11052" max="11259" width="13.28515625" style="14"/>
    <col min="11260" max="11260" width="40.28515625" style="14" customWidth="1"/>
    <col min="11261" max="11261" width="48.85546875" style="14" customWidth="1"/>
    <col min="11262" max="11262" width="53.28515625" style="14" customWidth="1"/>
    <col min="11263" max="11263" width="56.28515625" style="14" customWidth="1"/>
    <col min="11264" max="11307" width="12" style="14" customWidth="1"/>
    <col min="11308" max="11515" width="13.28515625" style="14"/>
    <col min="11516" max="11516" width="40.28515625" style="14" customWidth="1"/>
    <col min="11517" max="11517" width="48.85546875" style="14" customWidth="1"/>
    <col min="11518" max="11518" width="53.28515625" style="14" customWidth="1"/>
    <col min="11519" max="11519" width="56.28515625" style="14" customWidth="1"/>
    <col min="11520" max="11563" width="12" style="14" customWidth="1"/>
    <col min="11564" max="11771" width="13.28515625" style="14"/>
    <col min="11772" max="11772" width="40.28515625" style="14" customWidth="1"/>
    <col min="11773" max="11773" width="48.85546875" style="14" customWidth="1"/>
    <col min="11774" max="11774" width="53.28515625" style="14" customWidth="1"/>
    <col min="11775" max="11775" width="56.28515625" style="14" customWidth="1"/>
    <col min="11776" max="11819" width="12" style="14" customWidth="1"/>
    <col min="11820" max="12027" width="13.28515625" style="14"/>
    <col min="12028" max="12028" width="40.28515625" style="14" customWidth="1"/>
    <col min="12029" max="12029" width="48.85546875" style="14" customWidth="1"/>
    <col min="12030" max="12030" width="53.28515625" style="14" customWidth="1"/>
    <col min="12031" max="12031" width="56.28515625" style="14" customWidth="1"/>
    <col min="12032" max="12075" width="12" style="14" customWidth="1"/>
    <col min="12076" max="12283" width="13.28515625" style="14"/>
    <col min="12284" max="12284" width="40.28515625" style="14" customWidth="1"/>
    <col min="12285" max="12285" width="48.85546875" style="14" customWidth="1"/>
    <col min="12286" max="12286" width="53.28515625" style="14" customWidth="1"/>
    <col min="12287" max="12287" width="56.28515625" style="14" customWidth="1"/>
    <col min="12288" max="12331" width="12" style="14" customWidth="1"/>
    <col min="12332" max="12539" width="13.28515625" style="14"/>
    <col min="12540" max="12540" width="40.28515625" style="14" customWidth="1"/>
    <col min="12541" max="12541" width="48.85546875" style="14" customWidth="1"/>
    <col min="12542" max="12542" width="53.28515625" style="14" customWidth="1"/>
    <col min="12543" max="12543" width="56.28515625" style="14" customWidth="1"/>
    <col min="12544" max="12587" width="12" style="14" customWidth="1"/>
    <col min="12588" max="12795" width="13.28515625" style="14"/>
    <col min="12796" max="12796" width="40.28515625" style="14" customWidth="1"/>
    <col min="12797" max="12797" width="48.85546875" style="14" customWidth="1"/>
    <col min="12798" max="12798" width="53.28515625" style="14" customWidth="1"/>
    <col min="12799" max="12799" width="56.28515625" style="14" customWidth="1"/>
    <col min="12800" max="12843" width="12" style="14" customWidth="1"/>
    <col min="12844" max="13051" width="13.28515625" style="14"/>
    <col min="13052" max="13052" width="40.28515625" style="14" customWidth="1"/>
    <col min="13053" max="13053" width="48.85546875" style="14" customWidth="1"/>
    <col min="13054" max="13054" width="53.28515625" style="14" customWidth="1"/>
    <col min="13055" max="13055" width="56.28515625" style="14" customWidth="1"/>
    <col min="13056" max="13099" width="12" style="14" customWidth="1"/>
    <col min="13100" max="13307" width="13.28515625" style="14"/>
    <col min="13308" max="13308" width="40.28515625" style="14" customWidth="1"/>
    <col min="13309" max="13309" width="48.85546875" style="14" customWidth="1"/>
    <col min="13310" max="13310" width="53.28515625" style="14" customWidth="1"/>
    <col min="13311" max="13311" width="56.28515625" style="14" customWidth="1"/>
    <col min="13312" max="13355" width="12" style="14" customWidth="1"/>
    <col min="13356" max="13563" width="13.28515625" style="14"/>
    <col min="13564" max="13564" width="40.28515625" style="14" customWidth="1"/>
    <col min="13565" max="13565" width="48.85546875" style="14" customWidth="1"/>
    <col min="13566" max="13566" width="53.28515625" style="14" customWidth="1"/>
    <col min="13567" max="13567" width="56.28515625" style="14" customWidth="1"/>
    <col min="13568" max="13611" width="12" style="14" customWidth="1"/>
    <col min="13612" max="13819" width="13.28515625" style="14"/>
    <col min="13820" max="13820" width="40.28515625" style="14" customWidth="1"/>
    <col min="13821" max="13821" width="48.85546875" style="14" customWidth="1"/>
    <col min="13822" max="13822" width="53.28515625" style="14" customWidth="1"/>
    <col min="13823" max="13823" width="56.28515625" style="14" customWidth="1"/>
    <col min="13824" max="13867" width="12" style="14" customWidth="1"/>
    <col min="13868" max="14075" width="13.28515625" style="14"/>
    <col min="14076" max="14076" width="40.28515625" style="14" customWidth="1"/>
    <col min="14077" max="14077" width="48.85546875" style="14" customWidth="1"/>
    <col min="14078" max="14078" width="53.28515625" style="14" customWidth="1"/>
    <col min="14079" max="14079" width="56.28515625" style="14" customWidth="1"/>
    <col min="14080" max="14123" width="12" style="14" customWidth="1"/>
    <col min="14124" max="14331" width="13.28515625" style="14"/>
    <col min="14332" max="14332" width="40.28515625" style="14" customWidth="1"/>
    <col min="14333" max="14333" width="48.85546875" style="14" customWidth="1"/>
    <col min="14334" max="14334" width="53.28515625" style="14" customWidth="1"/>
    <col min="14335" max="14335" width="56.28515625" style="14" customWidth="1"/>
    <col min="14336" max="14379" width="12" style="14" customWidth="1"/>
    <col min="14380" max="14587" width="13.28515625" style="14"/>
    <col min="14588" max="14588" width="40.28515625" style="14" customWidth="1"/>
    <col min="14589" max="14589" width="48.85546875" style="14" customWidth="1"/>
    <col min="14590" max="14590" width="53.28515625" style="14" customWidth="1"/>
    <col min="14591" max="14591" width="56.28515625" style="14" customWidth="1"/>
    <col min="14592" max="14635" width="12" style="14" customWidth="1"/>
    <col min="14636" max="14843" width="13.28515625" style="14"/>
    <col min="14844" max="14844" width="40.28515625" style="14" customWidth="1"/>
    <col min="14845" max="14845" width="48.85546875" style="14" customWidth="1"/>
    <col min="14846" max="14846" width="53.28515625" style="14" customWidth="1"/>
    <col min="14847" max="14847" width="56.28515625" style="14" customWidth="1"/>
    <col min="14848" max="14891" width="12" style="14" customWidth="1"/>
    <col min="14892" max="15099" width="13.28515625" style="14"/>
    <col min="15100" max="15100" width="40.28515625" style="14" customWidth="1"/>
    <col min="15101" max="15101" width="48.85546875" style="14" customWidth="1"/>
    <col min="15102" max="15102" width="53.28515625" style="14" customWidth="1"/>
    <col min="15103" max="15103" width="56.28515625" style="14" customWidth="1"/>
    <col min="15104" max="15147" width="12" style="14" customWidth="1"/>
    <col min="15148" max="15355" width="13.28515625" style="14"/>
    <col min="15356" max="15356" width="40.28515625" style="14" customWidth="1"/>
    <col min="15357" max="15357" width="48.85546875" style="14" customWidth="1"/>
    <col min="15358" max="15358" width="53.28515625" style="14" customWidth="1"/>
    <col min="15359" max="15359" width="56.28515625" style="14" customWidth="1"/>
    <col min="15360" max="15403" width="12" style="14" customWidth="1"/>
    <col min="15404" max="15611" width="13.28515625" style="14"/>
    <col min="15612" max="15612" width="40.28515625" style="14" customWidth="1"/>
    <col min="15613" max="15613" width="48.85546875" style="14" customWidth="1"/>
    <col min="15614" max="15614" width="53.28515625" style="14" customWidth="1"/>
    <col min="15615" max="15615" width="56.28515625" style="14" customWidth="1"/>
    <col min="15616" max="15659" width="12" style="14" customWidth="1"/>
    <col min="15660" max="15867" width="13.28515625" style="14"/>
    <col min="15868" max="15868" width="40.28515625" style="14" customWidth="1"/>
    <col min="15869" max="15869" width="48.85546875" style="14" customWidth="1"/>
    <col min="15870" max="15870" width="53.28515625" style="14" customWidth="1"/>
    <col min="15871" max="15871" width="56.28515625" style="14" customWidth="1"/>
    <col min="15872" max="15915" width="12" style="14" customWidth="1"/>
    <col min="15916" max="16123" width="13.28515625" style="14"/>
    <col min="16124" max="16124" width="40.28515625" style="14" customWidth="1"/>
    <col min="16125" max="16125" width="48.85546875" style="14" customWidth="1"/>
    <col min="16126" max="16126" width="53.28515625" style="14" customWidth="1"/>
    <col min="16127" max="16127" width="56.28515625" style="14" customWidth="1"/>
    <col min="16128" max="16171" width="12" style="14" customWidth="1"/>
    <col min="16172" max="16384" width="13.28515625" style="14"/>
  </cols>
  <sheetData>
    <row r="1" spans="1:12" ht="31.35" customHeight="1" x14ac:dyDescent="0.2">
      <c r="A1" s="18"/>
      <c r="B1" s="18"/>
      <c r="C1" s="19"/>
      <c r="D1" s="529" t="s">
        <v>1479</v>
      </c>
      <c r="E1" s="529"/>
      <c r="F1" s="529"/>
      <c r="G1" s="529"/>
      <c r="H1" s="529"/>
      <c r="I1" s="529"/>
      <c r="J1" s="529"/>
      <c r="K1" s="529"/>
    </row>
    <row r="2" spans="1:12" s="13" customFormat="1" ht="45" x14ac:dyDescent="0.2">
      <c r="A2" s="11" t="s">
        <v>1042</v>
      </c>
      <c r="B2" s="11" t="s">
        <v>1050</v>
      </c>
      <c r="C2" s="11" t="s">
        <v>1041</v>
      </c>
      <c r="D2" s="11" t="s">
        <v>185</v>
      </c>
      <c r="E2" s="11" t="s">
        <v>1477</v>
      </c>
      <c r="F2" s="11" t="s">
        <v>1049</v>
      </c>
      <c r="G2" s="121" t="s">
        <v>1478</v>
      </c>
      <c r="H2" s="11" t="s">
        <v>1477</v>
      </c>
      <c r="I2" s="11" t="s">
        <v>1480</v>
      </c>
      <c r="J2" s="11" t="s">
        <v>1051</v>
      </c>
      <c r="K2" s="4" t="s">
        <v>7</v>
      </c>
    </row>
    <row r="3" spans="1:12" ht="16.350000000000001" customHeight="1" x14ac:dyDescent="0.2">
      <c r="A3" s="382" t="s">
        <v>4235</v>
      </c>
      <c r="B3" s="275" t="s">
        <v>3316</v>
      </c>
      <c r="C3" s="567" t="s">
        <v>14</v>
      </c>
      <c r="D3" s="275"/>
      <c r="E3" s="275"/>
      <c r="F3" s="532" t="s">
        <v>3317</v>
      </c>
      <c r="G3" s="531" t="s">
        <v>3521</v>
      </c>
      <c r="H3" s="532" t="s">
        <v>511</v>
      </c>
      <c r="I3" s="532" t="s">
        <v>4226</v>
      </c>
      <c r="J3" s="171" t="s">
        <v>3318</v>
      </c>
      <c r="K3" s="171"/>
      <c r="L3" s="172"/>
    </row>
    <row r="4" spans="1:12" ht="90" x14ac:dyDescent="0.2">
      <c r="A4" s="453"/>
      <c r="B4" s="275"/>
      <c r="C4" s="275"/>
      <c r="D4" s="275"/>
      <c r="E4" s="275"/>
      <c r="F4" s="532"/>
      <c r="G4" s="531"/>
      <c r="H4" s="532"/>
      <c r="I4" s="532"/>
      <c r="J4" s="171" t="s">
        <v>3319</v>
      </c>
      <c r="K4" s="171"/>
      <c r="L4" s="172" t="s">
        <v>4227</v>
      </c>
    </row>
    <row r="5" spans="1:12" x14ac:dyDescent="0.2">
      <c r="A5" s="453"/>
      <c r="B5" s="276"/>
      <c r="C5" s="276"/>
      <c r="D5" s="276"/>
      <c r="E5" s="276"/>
      <c r="F5" s="532"/>
      <c r="G5" s="531"/>
      <c r="H5" s="532"/>
      <c r="I5" s="532"/>
      <c r="J5" s="171" t="s">
        <v>3320</v>
      </c>
      <c r="K5" s="171"/>
      <c r="L5" s="172"/>
    </row>
    <row r="6" spans="1:12" ht="15" customHeight="1" x14ac:dyDescent="0.2">
      <c r="A6" s="453"/>
      <c r="B6" s="276"/>
      <c r="C6" s="276"/>
      <c r="D6" s="276"/>
      <c r="E6" s="276"/>
      <c r="F6" s="288" t="s">
        <v>3321</v>
      </c>
      <c r="G6" s="533" t="s">
        <v>3522</v>
      </c>
      <c r="H6" s="272" t="s">
        <v>515</v>
      </c>
      <c r="I6" s="354" t="s">
        <v>4225</v>
      </c>
      <c r="J6" s="109" t="s">
        <v>3322</v>
      </c>
      <c r="K6" s="7"/>
    </row>
    <row r="7" spans="1:12" ht="15" customHeight="1" x14ac:dyDescent="0.2">
      <c r="A7" s="453"/>
      <c r="B7" s="276"/>
      <c r="C7" s="276"/>
      <c r="D7" s="276"/>
      <c r="E7" s="276"/>
      <c r="F7" s="288"/>
      <c r="G7" s="533"/>
      <c r="H7" s="272"/>
      <c r="I7" s="272"/>
      <c r="J7" s="109" t="s">
        <v>3323</v>
      </c>
      <c r="K7" s="7"/>
    </row>
    <row r="8" spans="1:12" x14ac:dyDescent="0.2">
      <c r="A8" s="453"/>
      <c r="B8" s="276"/>
      <c r="C8" s="276"/>
      <c r="D8" s="276"/>
      <c r="E8" s="276"/>
      <c r="F8" s="273"/>
      <c r="G8" s="333"/>
      <c r="H8" s="273"/>
      <c r="I8" s="273"/>
      <c r="J8" s="109" t="s">
        <v>3324</v>
      </c>
      <c r="K8" s="7"/>
    </row>
    <row r="9" spans="1:12" ht="15" customHeight="1" x14ac:dyDescent="0.2">
      <c r="A9" s="453"/>
      <c r="B9" s="276"/>
      <c r="C9" s="276"/>
      <c r="D9" s="276"/>
      <c r="E9" s="276"/>
      <c r="F9" s="288" t="s">
        <v>3325</v>
      </c>
      <c r="G9" s="530" t="s">
        <v>3523</v>
      </c>
      <c r="H9" s="272" t="s">
        <v>511</v>
      </c>
      <c r="I9" s="272"/>
      <c r="J9" s="26"/>
      <c r="K9" s="7"/>
    </row>
    <row r="10" spans="1:12" ht="15" customHeight="1" x14ac:dyDescent="0.2">
      <c r="A10" s="453"/>
      <c r="B10" s="276"/>
      <c r="C10" s="276"/>
      <c r="D10" s="276"/>
      <c r="E10" s="276"/>
      <c r="F10" s="288"/>
      <c r="G10" s="530"/>
      <c r="H10" s="272"/>
      <c r="I10" s="272"/>
      <c r="J10" s="26"/>
      <c r="K10" s="7"/>
    </row>
    <row r="11" spans="1:12" x14ac:dyDescent="0.2">
      <c r="A11" s="453"/>
      <c r="B11" s="276"/>
      <c r="C11" s="276"/>
      <c r="D11" s="276"/>
      <c r="E11" s="276"/>
      <c r="F11" s="273"/>
      <c r="G11" s="333"/>
      <c r="H11" s="273"/>
      <c r="I11" s="273"/>
      <c r="J11" s="89"/>
      <c r="K11" s="7"/>
    </row>
    <row r="12" spans="1:12" ht="15" customHeight="1" x14ac:dyDescent="0.2">
      <c r="A12" s="453"/>
      <c r="B12" s="276"/>
      <c r="C12" s="276"/>
      <c r="D12" s="276"/>
      <c r="E12" s="276"/>
      <c r="F12" s="288" t="s">
        <v>3326</v>
      </c>
      <c r="G12" s="530" t="s">
        <v>3524</v>
      </c>
      <c r="H12" s="272" t="s">
        <v>528</v>
      </c>
      <c r="I12" s="354" t="s">
        <v>4224</v>
      </c>
      <c r="J12" s="26"/>
      <c r="K12" s="7"/>
    </row>
    <row r="13" spans="1:12" ht="15" customHeight="1" x14ac:dyDescent="0.2">
      <c r="A13" s="453"/>
      <c r="B13" s="276"/>
      <c r="C13" s="276"/>
      <c r="D13" s="276"/>
      <c r="E13" s="276"/>
      <c r="F13" s="288"/>
      <c r="G13" s="530"/>
      <c r="H13" s="272"/>
      <c r="I13" s="272"/>
      <c r="J13" s="26"/>
      <c r="K13" s="7"/>
    </row>
    <row r="14" spans="1:12" x14ac:dyDescent="0.2">
      <c r="A14" s="453"/>
      <c r="B14" s="276"/>
      <c r="C14" s="276"/>
      <c r="D14" s="276"/>
      <c r="E14" s="276"/>
      <c r="F14" s="273"/>
      <c r="G14" s="333"/>
      <c r="H14" s="273"/>
      <c r="I14" s="273"/>
      <c r="J14" s="89"/>
      <c r="K14" s="7"/>
    </row>
    <row r="15" spans="1:12" x14ac:dyDescent="0.2">
      <c r="A15" s="453"/>
      <c r="B15" s="276"/>
      <c r="C15" s="276"/>
      <c r="D15" s="276"/>
      <c r="E15" s="276"/>
      <c r="F15" s="288" t="s">
        <v>3327</v>
      </c>
      <c r="G15" s="530" t="s">
        <v>2684</v>
      </c>
      <c r="H15" s="272" t="s">
        <v>528</v>
      </c>
      <c r="I15" s="354" t="s">
        <v>4224</v>
      </c>
      <c r="J15" s="89"/>
      <c r="K15" s="7"/>
    </row>
    <row r="16" spans="1:12" x14ac:dyDescent="0.2">
      <c r="A16" s="453"/>
      <c r="B16" s="276"/>
      <c r="C16" s="276"/>
      <c r="D16" s="276"/>
      <c r="E16" s="276"/>
      <c r="F16" s="288"/>
      <c r="G16" s="530"/>
      <c r="H16" s="272"/>
      <c r="I16" s="272"/>
      <c r="J16" s="89"/>
      <c r="K16" s="7"/>
    </row>
    <row r="17" spans="1:11" x14ac:dyDescent="0.2">
      <c r="A17" s="453"/>
      <c r="B17" s="276"/>
      <c r="C17" s="276"/>
      <c r="D17" s="276"/>
      <c r="E17" s="276"/>
      <c r="F17" s="273"/>
      <c r="G17" s="333"/>
      <c r="H17" s="273"/>
      <c r="I17" s="273"/>
      <c r="J17" s="89"/>
      <c r="K17" s="7"/>
    </row>
    <row r="18" spans="1:11" x14ac:dyDescent="0.2">
      <c r="A18" s="453"/>
      <c r="B18" s="276"/>
      <c r="C18" s="276"/>
      <c r="D18" s="276"/>
      <c r="E18" s="276"/>
      <c r="F18" s="288" t="s">
        <v>3328</v>
      </c>
      <c r="G18" s="530" t="s">
        <v>3525</v>
      </c>
      <c r="H18" s="272" t="s">
        <v>528</v>
      </c>
      <c r="I18" s="354" t="s">
        <v>4224</v>
      </c>
      <c r="J18" s="89"/>
      <c r="K18" s="7"/>
    </row>
    <row r="19" spans="1:11" x14ac:dyDescent="0.2">
      <c r="A19" s="453"/>
      <c r="B19" s="276"/>
      <c r="C19" s="276"/>
      <c r="D19" s="276"/>
      <c r="E19" s="276"/>
      <c r="F19" s="288"/>
      <c r="G19" s="530"/>
      <c r="H19" s="272"/>
      <c r="I19" s="272"/>
      <c r="J19" s="89"/>
      <c r="K19" s="7"/>
    </row>
    <row r="20" spans="1:11" x14ac:dyDescent="0.2">
      <c r="A20" s="453"/>
      <c r="B20" s="276"/>
      <c r="C20" s="276"/>
      <c r="D20" s="276"/>
      <c r="E20" s="276"/>
      <c r="F20" s="273"/>
      <c r="G20" s="333"/>
      <c r="H20" s="273"/>
      <c r="I20" s="273"/>
      <c r="J20" s="89"/>
      <c r="K20" s="7"/>
    </row>
    <row r="21" spans="1:11" x14ac:dyDescent="0.2">
      <c r="A21" s="453"/>
      <c r="B21" s="276"/>
      <c r="C21" s="276"/>
      <c r="D21" s="276"/>
      <c r="E21" s="276"/>
      <c r="F21" s="288" t="s">
        <v>3329</v>
      </c>
      <c r="G21" s="530" t="s">
        <v>3526</v>
      </c>
      <c r="H21" s="272" t="s">
        <v>528</v>
      </c>
      <c r="I21" s="272"/>
      <c r="J21" s="89"/>
      <c r="K21" s="7"/>
    </row>
    <row r="22" spans="1:11" x14ac:dyDescent="0.2">
      <c r="A22" s="453"/>
      <c r="B22" s="276"/>
      <c r="C22" s="276"/>
      <c r="D22" s="276"/>
      <c r="E22" s="276"/>
      <c r="F22" s="288"/>
      <c r="G22" s="530"/>
      <c r="H22" s="272"/>
      <c r="I22" s="272"/>
      <c r="J22" s="89"/>
      <c r="K22" s="7"/>
    </row>
    <row r="23" spans="1:11" x14ac:dyDescent="0.2">
      <c r="A23" s="453"/>
      <c r="B23" s="276"/>
      <c r="C23" s="276"/>
      <c r="D23" s="276"/>
      <c r="E23" s="276"/>
      <c r="F23" s="273"/>
      <c r="G23" s="333"/>
      <c r="H23" s="273"/>
      <c r="I23" s="273"/>
      <c r="J23" s="89"/>
      <c r="K23" s="7"/>
    </row>
    <row r="24" spans="1:11" x14ac:dyDescent="0.2">
      <c r="A24" s="453"/>
      <c r="B24" s="276"/>
      <c r="C24" s="276"/>
      <c r="D24" s="276"/>
      <c r="E24" s="276"/>
      <c r="F24" s="288" t="s">
        <v>3330</v>
      </c>
      <c r="G24" s="530" t="s">
        <v>3527</v>
      </c>
      <c r="H24" s="272" t="s">
        <v>528</v>
      </c>
      <c r="I24" s="272"/>
      <c r="J24" s="89"/>
      <c r="K24" s="7"/>
    </row>
    <row r="25" spans="1:11" x14ac:dyDescent="0.2">
      <c r="A25" s="453"/>
      <c r="B25" s="276"/>
      <c r="C25" s="276"/>
      <c r="D25" s="276"/>
      <c r="E25" s="276"/>
      <c r="F25" s="288"/>
      <c r="G25" s="530"/>
      <c r="H25" s="272"/>
      <c r="I25" s="272"/>
      <c r="J25" s="89"/>
      <c r="K25" s="7"/>
    </row>
    <row r="26" spans="1:11" x14ac:dyDescent="0.2">
      <c r="A26" s="453"/>
      <c r="B26" s="276"/>
      <c r="C26" s="276"/>
      <c r="D26" s="276"/>
      <c r="E26" s="276"/>
      <c r="F26" s="273"/>
      <c r="G26" s="333"/>
      <c r="H26" s="273"/>
      <c r="I26" s="273"/>
      <c r="J26" s="89"/>
      <c r="K26" s="7"/>
    </row>
    <row r="27" spans="1:11" x14ac:dyDescent="0.2">
      <c r="A27" s="453"/>
      <c r="B27" s="276"/>
      <c r="C27" s="276"/>
      <c r="D27" s="276"/>
      <c r="E27" s="276"/>
      <c r="F27" s="288" t="s">
        <v>3331</v>
      </c>
      <c r="G27" s="530" t="s">
        <v>3528</v>
      </c>
      <c r="H27" s="272" t="s">
        <v>528</v>
      </c>
      <c r="I27" s="272"/>
      <c r="J27" s="89"/>
      <c r="K27" s="7"/>
    </row>
    <row r="28" spans="1:11" x14ac:dyDescent="0.2">
      <c r="A28" s="453"/>
      <c r="B28" s="276"/>
      <c r="C28" s="276"/>
      <c r="D28" s="276"/>
      <c r="E28" s="276"/>
      <c r="F28" s="288"/>
      <c r="G28" s="530"/>
      <c r="H28" s="272"/>
      <c r="I28" s="272"/>
      <c r="J28" s="89"/>
      <c r="K28" s="7"/>
    </row>
    <row r="29" spans="1:11" x14ac:dyDescent="0.2">
      <c r="A29" s="453"/>
      <c r="B29" s="276"/>
      <c r="C29" s="276"/>
      <c r="D29" s="276"/>
      <c r="E29" s="276"/>
      <c r="F29" s="273"/>
      <c r="G29" s="333"/>
      <c r="H29" s="273"/>
      <c r="I29" s="273"/>
      <c r="J29" s="89"/>
      <c r="K29" s="7"/>
    </row>
    <row r="30" spans="1:11" x14ac:dyDescent="0.2">
      <c r="A30" s="453"/>
      <c r="B30" s="276"/>
      <c r="C30" s="276"/>
      <c r="D30" s="276"/>
      <c r="E30" s="276"/>
      <c r="F30" s="288" t="s">
        <v>3332</v>
      </c>
      <c r="G30" s="530" t="s">
        <v>3529</v>
      </c>
      <c r="H30" s="272" t="s">
        <v>528</v>
      </c>
      <c r="I30" s="272"/>
      <c r="J30" s="89"/>
      <c r="K30" s="7"/>
    </row>
    <row r="31" spans="1:11" x14ac:dyDescent="0.2">
      <c r="A31" s="453"/>
      <c r="B31" s="276"/>
      <c r="C31" s="276"/>
      <c r="D31" s="276"/>
      <c r="E31" s="276"/>
      <c r="F31" s="288"/>
      <c r="G31" s="530"/>
      <c r="H31" s="272"/>
      <c r="I31" s="272"/>
      <c r="J31" s="89"/>
      <c r="K31" s="7"/>
    </row>
    <row r="32" spans="1:11" x14ac:dyDescent="0.2">
      <c r="A32" s="453"/>
      <c r="B32" s="276"/>
      <c r="C32" s="276"/>
      <c r="D32" s="276"/>
      <c r="E32" s="276"/>
      <c r="F32" s="273"/>
      <c r="G32" s="333"/>
      <c r="H32" s="273"/>
      <c r="I32" s="273"/>
      <c r="J32" s="89"/>
      <c r="K32" s="7"/>
    </row>
    <row r="33" spans="1:11" x14ac:dyDescent="0.2">
      <c r="A33" s="453"/>
      <c r="B33" s="276"/>
      <c r="C33" s="276"/>
      <c r="D33" s="276"/>
      <c r="E33" s="276"/>
      <c r="F33" s="288" t="s">
        <v>3333</v>
      </c>
      <c r="G33" s="530" t="s">
        <v>3530</v>
      </c>
      <c r="H33" s="272" t="s">
        <v>528</v>
      </c>
      <c r="I33" s="354" t="s">
        <v>4223</v>
      </c>
      <c r="J33" s="89"/>
      <c r="K33" s="7"/>
    </row>
    <row r="34" spans="1:11" x14ac:dyDescent="0.2">
      <c r="A34" s="453"/>
      <c r="B34" s="276"/>
      <c r="C34" s="276"/>
      <c r="D34" s="276"/>
      <c r="E34" s="276"/>
      <c r="F34" s="288"/>
      <c r="G34" s="530"/>
      <c r="H34" s="272"/>
      <c r="I34" s="272"/>
      <c r="J34" s="89"/>
      <c r="K34" s="7"/>
    </row>
    <row r="35" spans="1:11" x14ac:dyDescent="0.2">
      <c r="A35" s="453"/>
      <c r="B35" s="276"/>
      <c r="C35" s="276"/>
      <c r="D35" s="276"/>
      <c r="E35" s="276"/>
      <c r="F35" s="273"/>
      <c r="G35" s="333"/>
      <c r="H35" s="273"/>
      <c r="I35" s="273"/>
      <c r="J35" s="89"/>
      <c r="K35" s="7"/>
    </row>
    <row r="36" spans="1:11" x14ac:dyDescent="0.2">
      <c r="A36" s="453"/>
      <c r="B36" s="276"/>
      <c r="C36" s="276"/>
      <c r="D36" s="276"/>
      <c r="E36" s="276"/>
      <c r="F36" s="288" t="s">
        <v>3334</v>
      </c>
      <c r="G36" s="530" t="s">
        <v>3531</v>
      </c>
      <c r="H36" s="272" t="s">
        <v>528</v>
      </c>
      <c r="I36" s="272"/>
      <c r="J36" s="89"/>
      <c r="K36" s="7"/>
    </row>
    <row r="37" spans="1:11" x14ac:dyDescent="0.2">
      <c r="A37" s="453"/>
      <c r="B37" s="276"/>
      <c r="C37" s="276"/>
      <c r="D37" s="276"/>
      <c r="E37" s="276"/>
      <c r="F37" s="288"/>
      <c r="G37" s="530"/>
      <c r="H37" s="272"/>
      <c r="I37" s="272"/>
      <c r="J37" s="89"/>
      <c r="K37" s="7"/>
    </row>
    <row r="38" spans="1:11" x14ac:dyDescent="0.2">
      <c r="A38" s="453"/>
      <c r="B38" s="276"/>
      <c r="C38" s="276"/>
      <c r="D38" s="276"/>
      <c r="E38" s="276"/>
      <c r="F38" s="273"/>
      <c r="G38" s="333"/>
      <c r="H38" s="273"/>
      <c r="I38" s="273"/>
      <c r="J38" s="89"/>
      <c r="K38" s="7"/>
    </row>
    <row r="39" spans="1:11" x14ac:dyDescent="0.2">
      <c r="A39" s="453"/>
      <c r="B39" s="276"/>
      <c r="C39" s="276"/>
      <c r="D39" s="276"/>
      <c r="E39" s="276"/>
      <c r="F39" s="288" t="s">
        <v>3335</v>
      </c>
      <c r="G39" s="530" t="s">
        <v>3532</v>
      </c>
      <c r="H39" s="272" t="s">
        <v>528</v>
      </c>
      <c r="I39" s="272"/>
      <c r="J39" s="89"/>
      <c r="K39" s="7"/>
    </row>
    <row r="40" spans="1:11" x14ac:dyDescent="0.2">
      <c r="A40" s="453"/>
      <c r="B40" s="276"/>
      <c r="C40" s="276"/>
      <c r="D40" s="276"/>
      <c r="E40" s="276"/>
      <c r="F40" s="288"/>
      <c r="G40" s="530"/>
      <c r="H40" s="272"/>
      <c r="I40" s="272"/>
      <c r="J40" s="89"/>
      <c r="K40" s="7"/>
    </row>
    <row r="41" spans="1:11" x14ac:dyDescent="0.2">
      <c r="A41" s="453"/>
      <c r="B41" s="276"/>
      <c r="C41" s="276"/>
      <c r="D41" s="276"/>
      <c r="E41" s="276"/>
      <c r="F41" s="273"/>
      <c r="G41" s="333"/>
      <c r="H41" s="273"/>
      <c r="I41" s="273"/>
      <c r="J41" s="89"/>
      <c r="K41" s="7"/>
    </row>
    <row r="42" spans="1:11" x14ac:dyDescent="0.2">
      <c r="A42" s="453"/>
      <c r="B42" s="276"/>
      <c r="C42" s="276"/>
      <c r="D42" s="276"/>
      <c r="E42" s="276"/>
      <c r="F42" s="288" t="s">
        <v>3336</v>
      </c>
      <c r="G42" s="530" t="s">
        <v>3533</v>
      </c>
      <c r="H42" s="272" t="s">
        <v>528</v>
      </c>
      <c r="I42" s="272"/>
      <c r="J42" s="89"/>
      <c r="K42" s="7"/>
    </row>
    <row r="43" spans="1:11" x14ac:dyDescent="0.2">
      <c r="A43" s="453"/>
      <c r="B43" s="276"/>
      <c r="C43" s="276"/>
      <c r="D43" s="276"/>
      <c r="E43" s="276"/>
      <c r="F43" s="288"/>
      <c r="G43" s="530"/>
      <c r="H43" s="272"/>
      <c r="I43" s="272"/>
      <c r="J43" s="89"/>
      <c r="K43" s="7"/>
    </row>
    <row r="44" spans="1:11" x14ac:dyDescent="0.2">
      <c r="A44" s="453"/>
      <c r="B44" s="276"/>
      <c r="C44" s="276"/>
      <c r="D44" s="276"/>
      <c r="E44" s="276"/>
      <c r="F44" s="273"/>
      <c r="G44" s="333"/>
      <c r="H44" s="273"/>
      <c r="I44" s="273"/>
      <c r="J44" s="89"/>
      <c r="K44" s="7"/>
    </row>
    <row r="45" spans="1:11" x14ac:dyDescent="0.2">
      <c r="A45" s="453"/>
      <c r="B45" s="277" t="s">
        <v>3337</v>
      </c>
      <c r="C45" s="277" t="s">
        <v>1435</v>
      </c>
      <c r="D45" s="277"/>
      <c r="E45" s="277"/>
      <c r="F45" s="288" t="s">
        <v>3338</v>
      </c>
      <c r="G45" s="454" t="s">
        <v>1446</v>
      </c>
      <c r="H45" s="272" t="s">
        <v>528</v>
      </c>
      <c r="I45" s="354" t="s">
        <v>4228</v>
      </c>
      <c r="J45" s="39"/>
      <c r="K45" s="7"/>
    </row>
    <row r="46" spans="1:11" x14ac:dyDescent="0.2">
      <c r="A46" s="453"/>
      <c r="B46" s="278"/>
      <c r="C46" s="278"/>
      <c r="D46" s="278"/>
      <c r="E46" s="278"/>
      <c r="F46" s="288"/>
      <c r="G46" s="454"/>
      <c r="H46" s="272"/>
      <c r="I46" s="289"/>
      <c r="J46" s="39"/>
      <c r="K46" s="7"/>
    </row>
    <row r="47" spans="1:11" x14ac:dyDescent="0.2">
      <c r="A47" s="453"/>
      <c r="B47" s="279"/>
      <c r="C47" s="279"/>
      <c r="D47" s="279"/>
      <c r="E47" s="279"/>
      <c r="F47" s="273"/>
      <c r="G47" s="454"/>
      <c r="H47" s="273"/>
      <c r="I47" s="273"/>
      <c r="J47" s="89"/>
      <c r="K47" s="7"/>
    </row>
    <row r="48" spans="1:11" ht="15" customHeight="1" x14ac:dyDescent="0.2">
      <c r="A48" s="453"/>
      <c r="B48" s="279"/>
      <c r="C48" s="279"/>
      <c r="D48" s="279"/>
      <c r="E48" s="279"/>
      <c r="F48" s="288" t="s">
        <v>3339</v>
      </c>
      <c r="G48" s="454" t="s">
        <v>1447</v>
      </c>
      <c r="H48" s="272" t="s">
        <v>511</v>
      </c>
      <c r="I48" s="272"/>
      <c r="J48" s="26"/>
      <c r="K48" s="7"/>
    </row>
    <row r="49" spans="1:11" ht="15" customHeight="1" x14ac:dyDescent="0.2">
      <c r="A49" s="453"/>
      <c r="B49" s="279"/>
      <c r="C49" s="279"/>
      <c r="D49" s="279"/>
      <c r="E49" s="279"/>
      <c r="F49" s="288"/>
      <c r="G49" s="454"/>
      <c r="H49" s="272"/>
      <c r="I49" s="272"/>
      <c r="J49" s="26"/>
      <c r="K49" s="7"/>
    </row>
    <row r="50" spans="1:11" x14ac:dyDescent="0.2">
      <c r="A50" s="453"/>
      <c r="B50" s="279"/>
      <c r="C50" s="279"/>
      <c r="D50" s="279"/>
      <c r="E50" s="279"/>
      <c r="F50" s="273"/>
      <c r="G50" s="454"/>
      <c r="H50" s="273"/>
      <c r="I50" s="273"/>
      <c r="J50" s="89"/>
      <c r="K50" s="7"/>
    </row>
    <row r="51" spans="1:11" x14ac:dyDescent="0.2">
      <c r="A51" s="453"/>
      <c r="B51" s="279"/>
      <c r="C51" s="279"/>
      <c r="D51" s="279"/>
      <c r="E51" s="279"/>
      <c r="F51" s="288" t="s">
        <v>3340</v>
      </c>
      <c r="G51" s="454" t="s">
        <v>1448</v>
      </c>
      <c r="H51" s="272" t="s">
        <v>511</v>
      </c>
      <c r="I51" s="272"/>
      <c r="J51" s="26"/>
      <c r="K51" s="7"/>
    </row>
    <row r="52" spans="1:11" x14ac:dyDescent="0.2">
      <c r="A52" s="453"/>
      <c r="B52" s="279"/>
      <c r="C52" s="279"/>
      <c r="D52" s="279"/>
      <c r="E52" s="279"/>
      <c r="F52" s="288"/>
      <c r="G52" s="454"/>
      <c r="H52" s="272"/>
      <c r="I52" s="272"/>
      <c r="J52" s="26"/>
      <c r="K52" s="7"/>
    </row>
    <row r="53" spans="1:11" x14ac:dyDescent="0.2">
      <c r="A53" s="453"/>
      <c r="B53" s="279"/>
      <c r="C53" s="279"/>
      <c r="D53" s="279"/>
      <c r="E53" s="279"/>
      <c r="F53" s="273"/>
      <c r="G53" s="454"/>
      <c r="H53" s="273"/>
      <c r="I53" s="273"/>
      <c r="J53" s="89"/>
      <c r="K53" s="7"/>
    </row>
    <row r="54" spans="1:11" x14ac:dyDescent="0.2">
      <c r="A54" s="453"/>
      <c r="B54" s="279"/>
      <c r="C54" s="279"/>
      <c r="D54" s="279"/>
      <c r="E54" s="279"/>
      <c r="F54" s="288" t="s">
        <v>3341</v>
      </c>
      <c r="G54" s="454" t="s">
        <v>1449</v>
      </c>
      <c r="H54" s="272" t="s">
        <v>528</v>
      </c>
      <c r="I54" s="289"/>
      <c r="J54" s="39"/>
      <c r="K54" s="7"/>
    </row>
    <row r="55" spans="1:11" x14ac:dyDescent="0.2">
      <c r="A55" s="453"/>
      <c r="B55" s="279"/>
      <c r="C55" s="279"/>
      <c r="D55" s="279"/>
      <c r="E55" s="279"/>
      <c r="F55" s="288"/>
      <c r="G55" s="454"/>
      <c r="H55" s="272"/>
      <c r="I55" s="289"/>
      <c r="J55" s="39"/>
      <c r="K55" s="7"/>
    </row>
    <row r="56" spans="1:11" x14ac:dyDescent="0.2">
      <c r="A56" s="453"/>
      <c r="B56" s="279"/>
      <c r="C56" s="279"/>
      <c r="D56" s="279"/>
      <c r="E56" s="279"/>
      <c r="F56" s="273"/>
      <c r="G56" s="454"/>
      <c r="H56" s="273"/>
      <c r="I56" s="273"/>
      <c r="J56" s="89"/>
      <c r="K56" s="37"/>
    </row>
    <row r="57" spans="1:11" x14ac:dyDescent="0.2">
      <c r="A57" s="453"/>
      <c r="B57" s="279"/>
      <c r="C57" s="279"/>
      <c r="D57" s="279"/>
      <c r="E57" s="279"/>
      <c r="F57" s="288" t="s">
        <v>3342</v>
      </c>
      <c r="G57" s="454" t="s">
        <v>1450</v>
      </c>
      <c r="H57" s="272" t="s">
        <v>515</v>
      </c>
      <c r="I57" s="354" t="s">
        <v>4232</v>
      </c>
      <c r="J57" s="26"/>
      <c r="K57" s="37"/>
    </row>
    <row r="58" spans="1:11" x14ac:dyDescent="0.2">
      <c r="A58" s="453"/>
      <c r="B58" s="279"/>
      <c r="C58" s="279"/>
      <c r="D58" s="279"/>
      <c r="E58" s="279"/>
      <c r="F58" s="288"/>
      <c r="G58" s="454"/>
      <c r="H58" s="272"/>
      <c r="I58" s="272"/>
      <c r="J58" s="26"/>
      <c r="K58" s="37"/>
    </row>
    <row r="59" spans="1:11" x14ac:dyDescent="0.2">
      <c r="A59" s="453"/>
      <c r="B59" s="279"/>
      <c r="C59" s="279"/>
      <c r="D59" s="279"/>
      <c r="E59" s="279"/>
      <c r="F59" s="273"/>
      <c r="G59" s="454"/>
      <c r="H59" s="273"/>
      <c r="I59" s="273"/>
      <c r="J59" s="89"/>
      <c r="K59" s="37"/>
    </row>
    <row r="60" spans="1:11" x14ac:dyDescent="0.2">
      <c r="A60" s="453"/>
      <c r="B60" s="279"/>
      <c r="C60" s="279"/>
      <c r="D60" s="279"/>
      <c r="E60" s="279"/>
      <c r="F60" s="288" t="s">
        <v>3343</v>
      </c>
      <c r="G60" s="454" t="s">
        <v>1451</v>
      </c>
      <c r="H60" s="272" t="s">
        <v>528</v>
      </c>
      <c r="I60" s="272"/>
      <c r="J60" s="89"/>
      <c r="K60" s="37"/>
    </row>
    <row r="61" spans="1:11" x14ac:dyDescent="0.2">
      <c r="A61" s="453"/>
      <c r="B61" s="279"/>
      <c r="C61" s="279"/>
      <c r="D61" s="279"/>
      <c r="E61" s="279"/>
      <c r="F61" s="288"/>
      <c r="G61" s="454"/>
      <c r="H61" s="272"/>
      <c r="I61" s="272"/>
      <c r="J61" s="89"/>
      <c r="K61" s="37"/>
    </row>
    <row r="62" spans="1:11" x14ac:dyDescent="0.2">
      <c r="A62" s="453"/>
      <c r="B62" s="279"/>
      <c r="C62" s="279"/>
      <c r="D62" s="279"/>
      <c r="E62" s="279"/>
      <c r="F62" s="273"/>
      <c r="G62" s="454"/>
      <c r="H62" s="273"/>
      <c r="I62" s="273"/>
      <c r="J62" s="89"/>
      <c r="K62" s="37"/>
    </row>
    <row r="63" spans="1:11" x14ac:dyDescent="0.2">
      <c r="A63" s="453"/>
      <c r="B63" s="279"/>
      <c r="C63" s="279"/>
      <c r="D63" s="279"/>
      <c r="E63" s="279"/>
      <c r="F63" s="288" t="s">
        <v>3344</v>
      </c>
      <c r="G63" s="454" t="s">
        <v>1452</v>
      </c>
      <c r="H63" s="272" t="s">
        <v>511</v>
      </c>
      <c r="I63" s="354" t="s">
        <v>4229</v>
      </c>
      <c r="J63" s="89"/>
      <c r="K63" s="37"/>
    </row>
    <row r="64" spans="1:11" x14ac:dyDescent="0.2">
      <c r="A64" s="453"/>
      <c r="B64" s="279"/>
      <c r="C64" s="279"/>
      <c r="D64" s="279"/>
      <c r="E64" s="279"/>
      <c r="F64" s="288"/>
      <c r="G64" s="454"/>
      <c r="H64" s="272"/>
      <c r="I64" s="272"/>
      <c r="J64" s="89"/>
      <c r="K64" s="37"/>
    </row>
    <row r="65" spans="1:12" x14ac:dyDescent="0.2">
      <c r="A65" s="453"/>
      <c r="B65" s="279"/>
      <c r="C65" s="279"/>
      <c r="D65" s="279"/>
      <c r="E65" s="279"/>
      <c r="F65" s="273"/>
      <c r="G65" s="454"/>
      <c r="H65" s="273"/>
      <c r="I65" s="273"/>
      <c r="J65" s="89"/>
      <c r="K65" s="37"/>
    </row>
    <row r="66" spans="1:12" x14ac:dyDescent="0.2">
      <c r="A66" s="453"/>
      <c r="B66" s="279"/>
      <c r="C66" s="279"/>
      <c r="D66" s="279"/>
      <c r="E66" s="279"/>
      <c r="F66" s="288" t="s">
        <v>3345</v>
      </c>
      <c r="G66" s="454" t="s">
        <v>1453</v>
      </c>
      <c r="H66" s="272" t="s">
        <v>528</v>
      </c>
      <c r="I66" s="354" t="s">
        <v>4230</v>
      </c>
      <c r="J66" s="89"/>
      <c r="K66" s="37"/>
    </row>
    <row r="67" spans="1:12" x14ac:dyDescent="0.2">
      <c r="A67" s="453"/>
      <c r="B67" s="279"/>
      <c r="C67" s="279"/>
      <c r="D67" s="279"/>
      <c r="E67" s="279"/>
      <c r="F67" s="288"/>
      <c r="G67" s="454"/>
      <c r="H67" s="272"/>
      <c r="I67" s="272"/>
      <c r="J67" s="89"/>
      <c r="K67" s="37"/>
    </row>
    <row r="68" spans="1:12" x14ac:dyDescent="0.2">
      <c r="A68" s="453"/>
      <c r="B68" s="279"/>
      <c r="C68" s="279"/>
      <c r="D68" s="279"/>
      <c r="E68" s="279"/>
      <c r="F68" s="273"/>
      <c r="G68" s="454"/>
      <c r="H68" s="273"/>
      <c r="I68" s="273"/>
      <c r="J68" s="89"/>
      <c r="K68" s="37"/>
    </row>
    <row r="69" spans="1:12" x14ac:dyDescent="0.2">
      <c r="A69" s="453"/>
      <c r="B69" s="279"/>
      <c r="C69" s="279"/>
      <c r="D69" s="279"/>
      <c r="E69" s="279"/>
      <c r="F69" s="340" t="s">
        <v>3346</v>
      </c>
      <c r="G69" s="568" t="s">
        <v>4236</v>
      </c>
      <c r="H69" s="340" t="s">
        <v>515</v>
      </c>
      <c r="I69" s="340" t="s">
        <v>4233</v>
      </c>
      <c r="J69" s="89"/>
      <c r="K69" s="37"/>
    </row>
    <row r="70" spans="1:12" ht="45" x14ac:dyDescent="0.2">
      <c r="A70" s="453"/>
      <c r="B70" s="279"/>
      <c r="C70" s="279"/>
      <c r="D70" s="279"/>
      <c r="E70" s="279"/>
      <c r="F70" s="340"/>
      <c r="G70" s="568"/>
      <c r="H70" s="340"/>
      <c r="I70" s="340"/>
      <c r="J70" s="89"/>
      <c r="K70" s="37"/>
      <c r="L70" s="129" t="s">
        <v>4234</v>
      </c>
    </row>
    <row r="71" spans="1:12" x14ac:dyDescent="0.2">
      <c r="A71" s="453"/>
      <c r="B71" s="279"/>
      <c r="C71" s="279"/>
      <c r="D71" s="279"/>
      <c r="E71" s="279"/>
      <c r="F71" s="340"/>
      <c r="G71" s="568"/>
      <c r="H71" s="340"/>
      <c r="I71" s="340"/>
      <c r="J71" s="89"/>
      <c r="K71" s="37"/>
    </row>
    <row r="72" spans="1:12" x14ac:dyDescent="0.2">
      <c r="A72" s="453"/>
      <c r="B72" s="279"/>
      <c r="C72" s="279"/>
      <c r="D72" s="279"/>
      <c r="E72" s="279"/>
      <c r="F72" s="288" t="s">
        <v>3347</v>
      </c>
      <c r="G72" s="454" t="s">
        <v>1454</v>
      </c>
      <c r="H72" s="272" t="s">
        <v>511</v>
      </c>
      <c r="I72" s="272"/>
      <c r="J72" s="89"/>
      <c r="K72" s="37"/>
    </row>
    <row r="73" spans="1:12" x14ac:dyDescent="0.2">
      <c r="A73" s="453"/>
      <c r="B73" s="279"/>
      <c r="C73" s="279"/>
      <c r="D73" s="279"/>
      <c r="E73" s="279"/>
      <c r="F73" s="288"/>
      <c r="G73" s="454"/>
      <c r="H73" s="272"/>
      <c r="I73" s="272"/>
      <c r="J73" s="89"/>
      <c r="K73" s="37"/>
    </row>
    <row r="74" spans="1:12" x14ac:dyDescent="0.2">
      <c r="A74" s="453"/>
      <c r="B74" s="279"/>
      <c r="C74" s="279"/>
      <c r="D74" s="279"/>
      <c r="E74" s="279"/>
      <c r="F74" s="273"/>
      <c r="G74" s="454"/>
      <c r="H74" s="273"/>
      <c r="I74" s="273"/>
      <c r="J74" s="89"/>
      <c r="K74" s="37"/>
    </row>
    <row r="75" spans="1:12" x14ac:dyDescent="0.2">
      <c r="A75" s="453"/>
      <c r="B75" s="279"/>
      <c r="C75" s="279"/>
      <c r="D75" s="279"/>
      <c r="E75" s="279"/>
      <c r="F75" s="288" t="s">
        <v>3348</v>
      </c>
      <c r="G75" s="454" t="s">
        <v>1455</v>
      </c>
      <c r="H75" s="272" t="s">
        <v>511</v>
      </c>
      <c r="I75" s="272"/>
      <c r="J75" s="89"/>
      <c r="K75" s="37"/>
    </row>
    <row r="76" spans="1:12" x14ac:dyDescent="0.2">
      <c r="A76" s="453"/>
      <c r="B76" s="279"/>
      <c r="C76" s="279"/>
      <c r="D76" s="279"/>
      <c r="E76" s="279"/>
      <c r="F76" s="288"/>
      <c r="G76" s="454"/>
      <c r="H76" s="272"/>
      <c r="I76" s="272"/>
      <c r="J76" s="89"/>
      <c r="K76" s="37"/>
    </row>
    <row r="77" spans="1:12" x14ac:dyDescent="0.2">
      <c r="A77" s="453"/>
      <c r="B77" s="279"/>
      <c r="C77" s="279"/>
      <c r="D77" s="279"/>
      <c r="E77" s="279"/>
      <c r="F77" s="273"/>
      <c r="G77" s="454"/>
      <c r="H77" s="273"/>
      <c r="I77" s="273"/>
      <c r="J77" s="89"/>
      <c r="K77" s="37"/>
    </row>
    <row r="78" spans="1:12" x14ac:dyDescent="0.2">
      <c r="A78" s="453"/>
      <c r="B78" s="279"/>
      <c r="C78" s="279"/>
      <c r="D78" s="279"/>
      <c r="E78" s="279"/>
      <c r="F78" s="288" t="s">
        <v>3349</v>
      </c>
      <c r="G78" s="454" t="s">
        <v>1456</v>
      </c>
      <c r="H78" s="272" t="s">
        <v>511</v>
      </c>
      <c r="I78" s="272"/>
      <c r="J78" s="89"/>
      <c r="K78" s="37"/>
    </row>
    <row r="79" spans="1:12" x14ac:dyDescent="0.2">
      <c r="A79" s="453"/>
      <c r="B79" s="279"/>
      <c r="C79" s="279"/>
      <c r="D79" s="279"/>
      <c r="E79" s="279"/>
      <c r="F79" s="288"/>
      <c r="G79" s="454"/>
      <c r="H79" s="272"/>
      <c r="I79" s="272"/>
      <c r="J79" s="89"/>
      <c r="K79" s="37"/>
    </row>
    <row r="80" spans="1:12" x14ac:dyDescent="0.2">
      <c r="A80" s="453"/>
      <c r="B80" s="279"/>
      <c r="C80" s="279"/>
      <c r="D80" s="279"/>
      <c r="E80" s="279"/>
      <c r="F80" s="273"/>
      <c r="G80" s="454"/>
      <c r="H80" s="273"/>
      <c r="I80" s="273"/>
      <c r="J80" s="89"/>
      <c r="K80" s="37"/>
    </row>
    <row r="81" spans="1:12" x14ac:dyDescent="0.2">
      <c r="A81" s="453"/>
      <c r="B81" s="279"/>
      <c r="C81" s="279"/>
      <c r="D81" s="279"/>
      <c r="E81" s="279"/>
      <c r="F81" s="288" t="s">
        <v>3350</v>
      </c>
      <c r="G81" s="454" t="s">
        <v>1457</v>
      </c>
      <c r="H81" s="272" t="s">
        <v>528</v>
      </c>
      <c r="I81" s="272"/>
      <c r="J81" s="89"/>
      <c r="K81" s="37"/>
    </row>
    <row r="82" spans="1:12" x14ac:dyDescent="0.2">
      <c r="A82" s="453"/>
      <c r="B82" s="279"/>
      <c r="C82" s="279"/>
      <c r="D82" s="279"/>
      <c r="E82" s="279"/>
      <c r="F82" s="288"/>
      <c r="G82" s="454"/>
      <c r="H82" s="272"/>
      <c r="I82" s="272"/>
      <c r="J82" s="89"/>
      <c r="K82" s="37"/>
    </row>
    <row r="83" spans="1:12" x14ac:dyDescent="0.2">
      <c r="A83" s="453"/>
      <c r="B83" s="279"/>
      <c r="C83" s="279"/>
      <c r="D83" s="279"/>
      <c r="E83" s="279"/>
      <c r="F83" s="273"/>
      <c r="G83" s="454"/>
      <c r="H83" s="273"/>
      <c r="I83" s="273"/>
      <c r="J83" s="89"/>
      <c r="K83" s="37"/>
    </row>
    <row r="84" spans="1:12" x14ac:dyDescent="0.2">
      <c r="A84" s="453"/>
      <c r="B84" s="279"/>
      <c r="C84" s="279"/>
      <c r="D84" s="279"/>
      <c r="E84" s="279"/>
      <c r="F84" s="288" t="s">
        <v>3351</v>
      </c>
      <c r="G84" s="530" t="s">
        <v>3534</v>
      </c>
      <c r="H84" s="272" t="s">
        <v>515</v>
      </c>
      <c r="I84" s="354" t="s">
        <v>4231</v>
      </c>
      <c r="J84" s="89"/>
      <c r="K84" s="37"/>
    </row>
    <row r="85" spans="1:12" x14ac:dyDescent="0.2">
      <c r="A85" s="453"/>
      <c r="B85" s="279"/>
      <c r="C85" s="279"/>
      <c r="D85" s="279"/>
      <c r="E85" s="279"/>
      <c r="F85" s="288"/>
      <c r="G85" s="530"/>
      <c r="H85" s="272"/>
      <c r="I85" s="272"/>
      <c r="J85" s="89"/>
      <c r="K85" s="37"/>
    </row>
    <row r="86" spans="1:12" x14ac:dyDescent="0.2">
      <c r="A86" s="453"/>
      <c r="B86" s="279"/>
      <c r="C86" s="279"/>
      <c r="D86" s="279"/>
      <c r="E86" s="279"/>
      <c r="F86" s="273"/>
      <c r="G86" s="333"/>
      <c r="H86" s="273"/>
      <c r="I86" s="273"/>
      <c r="J86" s="89"/>
      <c r="K86" s="37"/>
    </row>
    <row r="87" spans="1:12" x14ac:dyDescent="0.25">
      <c r="A87" s="453"/>
      <c r="B87" s="280" t="s">
        <v>3352</v>
      </c>
      <c r="C87" s="384" t="s">
        <v>4237</v>
      </c>
      <c r="D87" s="280"/>
      <c r="E87" s="280"/>
      <c r="F87" s="288" t="s">
        <v>3353</v>
      </c>
      <c r="G87" s="454" t="s">
        <v>3597</v>
      </c>
      <c r="H87" s="272" t="s">
        <v>528</v>
      </c>
      <c r="I87" s="354" t="s">
        <v>4238</v>
      </c>
      <c r="J87" s="26"/>
      <c r="K87" s="33"/>
    </row>
    <row r="88" spans="1:12" ht="90" x14ac:dyDescent="0.25">
      <c r="A88" s="453"/>
      <c r="B88" s="280"/>
      <c r="C88" s="280"/>
      <c r="D88" s="280"/>
      <c r="E88" s="280"/>
      <c r="F88" s="288"/>
      <c r="G88" s="454"/>
      <c r="H88" s="272"/>
      <c r="I88" s="272"/>
      <c r="J88" s="26"/>
      <c r="K88" s="33"/>
      <c r="L88" s="129" t="s">
        <v>4240</v>
      </c>
    </row>
    <row r="89" spans="1:12" x14ac:dyDescent="0.25">
      <c r="A89" s="453"/>
      <c r="B89" s="281"/>
      <c r="C89" s="281"/>
      <c r="D89" s="281"/>
      <c r="E89" s="281"/>
      <c r="F89" s="273"/>
      <c r="G89" s="454"/>
      <c r="H89" s="273"/>
      <c r="I89" s="273"/>
      <c r="J89" s="89"/>
      <c r="K89" s="33"/>
    </row>
    <row r="90" spans="1:12" ht="15" customHeight="1" x14ac:dyDescent="0.25">
      <c r="A90" s="453"/>
      <c r="B90" s="281"/>
      <c r="C90" s="281"/>
      <c r="D90" s="281"/>
      <c r="E90" s="281"/>
      <c r="F90" s="288" t="s">
        <v>3354</v>
      </c>
      <c r="G90" s="454" t="s">
        <v>3535</v>
      </c>
      <c r="H90" s="272" t="s">
        <v>528</v>
      </c>
      <c r="I90" s="272"/>
      <c r="J90" s="26"/>
      <c r="K90" s="33"/>
    </row>
    <row r="91" spans="1:12" ht="15" customHeight="1" x14ac:dyDescent="0.25">
      <c r="A91" s="453"/>
      <c r="B91" s="281"/>
      <c r="C91" s="281"/>
      <c r="D91" s="281"/>
      <c r="E91" s="281"/>
      <c r="F91" s="288"/>
      <c r="G91" s="454"/>
      <c r="H91" s="272"/>
      <c r="I91" s="272"/>
      <c r="J91" s="26"/>
      <c r="K91" s="33"/>
    </row>
    <row r="92" spans="1:12" ht="24.6" customHeight="1" x14ac:dyDescent="0.25">
      <c r="A92" s="453"/>
      <c r="B92" s="281"/>
      <c r="C92" s="281"/>
      <c r="D92" s="281"/>
      <c r="E92" s="281"/>
      <c r="F92" s="273"/>
      <c r="G92" s="454"/>
      <c r="H92" s="273"/>
      <c r="I92" s="273"/>
      <c r="J92" s="89"/>
      <c r="K92" s="33"/>
      <c r="L92" s="129" t="s">
        <v>4241</v>
      </c>
    </row>
    <row r="93" spans="1:12" ht="15" customHeight="1" x14ac:dyDescent="0.25">
      <c r="A93" s="453"/>
      <c r="B93" s="281"/>
      <c r="C93" s="281"/>
      <c r="D93" s="281"/>
      <c r="E93" s="281"/>
      <c r="F93" s="288" t="s">
        <v>3355</v>
      </c>
      <c r="G93" s="454" t="s">
        <v>3536</v>
      </c>
      <c r="H93" s="272" t="s">
        <v>528</v>
      </c>
      <c r="I93" s="272"/>
      <c r="J93" s="26"/>
      <c r="K93" s="33"/>
    </row>
    <row r="94" spans="1:12" ht="15" customHeight="1" x14ac:dyDescent="0.25">
      <c r="A94" s="453"/>
      <c r="B94" s="281"/>
      <c r="C94" s="281"/>
      <c r="D94" s="281"/>
      <c r="E94" s="281"/>
      <c r="F94" s="288"/>
      <c r="G94" s="454"/>
      <c r="H94" s="272"/>
      <c r="I94" s="272"/>
      <c r="J94" s="26"/>
      <c r="K94" s="33"/>
    </row>
    <row r="95" spans="1:12" x14ac:dyDescent="0.25">
      <c r="A95" s="453"/>
      <c r="B95" s="281"/>
      <c r="C95" s="281"/>
      <c r="D95" s="281"/>
      <c r="E95" s="281"/>
      <c r="F95" s="273"/>
      <c r="G95" s="454"/>
      <c r="H95" s="273"/>
      <c r="I95" s="273"/>
      <c r="J95" s="89"/>
      <c r="K95" s="33"/>
    </row>
    <row r="96" spans="1:12" x14ac:dyDescent="0.25">
      <c r="A96" s="453"/>
      <c r="B96" s="281"/>
      <c r="C96" s="281"/>
      <c r="D96" s="281"/>
      <c r="E96" s="281"/>
      <c r="F96" s="288" t="s">
        <v>3356</v>
      </c>
      <c r="G96" s="454" t="s">
        <v>3537</v>
      </c>
      <c r="H96" s="272" t="s">
        <v>528</v>
      </c>
      <c r="I96" s="272"/>
      <c r="J96" s="26"/>
      <c r="K96" s="33"/>
    </row>
    <row r="97" spans="1:11" x14ac:dyDescent="0.25">
      <c r="A97" s="453"/>
      <c r="B97" s="281"/>
      <c r="C97" s="281"/>
      <c r="D97" s="281"/>
      <c r="E97" s="281"/>
      <c r="F97" s="288"/>
      <c r="G97" s="454"/>
      <c r="H97" s="272"/>
      <c r="I97" s="272"/>
      <c r="J97" s="26"/>
      <c r="K97" s="33"/>
    </row>
    <row r="98" spans="1:11" x14ac:dyDescent="0.25">
      <c r="A98" s="453"/>
      <c r="B98" s="281"/>
      <c r="C98" s="281"/>
      <c r="D98" s="281"/>
      <c r="E98" s="281"/>
      <c r="F98" s="273"/>
      <c r="G98" s="454"/>
      <c r="H98" s="273"/>
      <c r="I98" s="273"/>
      <c r="J98" s="89"/>
      <c r="K98" s="33"/>
    </row>
    <row r="99" spans="1:11" ht="15" customHeight="1" x14ac:dyDescent="0.25">
      <c r="A99" s="453"/>
      <c r="B99" s="281"/>
      <c r="C99" s="281"/>
      <c r="D99" s="281"/>
      <c r="E99" s="281"/>
      <c r="F99" s="288" t="s">
        <v>3357</v>
      </c>
      <c r="G99" s="454" t="s">
        <v>3538</v>
      </c>
      <c r="H99" s="272" t="s">
        <v>528</v>
      </c>
      <c r="I99" s="272"/>
      <c r="J99" s="26"/>
      <c r="K99" s="33"/>
    </row>
    <row r="100" spans="1:11" ht="15" customHeight="1" x14ac:dyDescent="0.25">
      <c r="A100" s="453"/>
      <c r="B100" s="281"/>
      <c r="C100" s="281"/>
      <c r="D100" s="281"/>
      <c r="E100" s="281"/>
      <c r="F100" s="288"/>
      <c r="G100" s="454"/>
      <c r="H100" s="272"/>
      <c r="I100" s="272"/>
      <c r="J100" s="26"/>
      <c r="K100" s="33"/>
    </row>
    <row r="101" spans="1:11" ht="15" customHeight="1" x14ac:dyDescent="0.25">
      <c r="A101" s="453"/>
      <c r="B101" s="281"/>
      <c r="C101" s="281"/>
      <c r="D101" s="281"/>
      <c r="E101" s="281"/>
      <c r="F101" s="273"/>
      <c r="G101" s="454"/>
      <c r="H101" s="273"/>
      <c r="I101" s="273"/>
      <c r="J101" s="89"/>
      <c r="K101" s="33"/>
    </row>
    <row r="102" spans="1:11" ht="15" customHeight="1" x14ac:dyDescent="0.25">
      <c r="A102" s="453"/>
      <c r="B102" s="281"/>
      <c r="C102" s="281"/>
      <c r="D102" s="281"/>
      <c r="E102" s="281"/>
      <c r="F102" s="288" t="s">
        <v>3358</v>
      </c>
      <c r="G102" s="454" t="s">
        <v>3539</v>
      </c>
      <c r="H102" s="272" t="s">
        <v>528</v>
      </c>
      <c r="I102" s="272"/>
      <c r="J102" s="89"/>
      <c r="K102" s="33"/>
    </row>
    <row r="103" spans="1:11" ht="15" customHeight="1" x14ac:dyDescent="0.25">
      <c r="A103" s="453"/>
      <c r="B103" s="281"/>
      <c r="C103" s="281"/>
      <c r="D103" s="281"/>
      <c r="E103" s="281"/>
      <c r="F103" s="288"/>
      <c r="G103" s="454"/>
      <c r="H103" s="272"/>
      <c r="I103" s="272"/>
      <c r="J103" s="89"/>
      <c r="K103" s="33"/>
    </row>
    <row r="104" spans="1:11" ht="15" customHeight="1" x14ac:dyDescent="0.25">
      <c r="A104" s="453"/>
      <c r="B104" s="281"/>
      <c r="C104" s="281"/>
      <c r="D104" s="281"/>
      <c r="E104" s="281"/>
      <c r="F104" s="273"/>
      <c r="G104" s="454"/>
      <c r="H104" s="273"/>
      <c r="I104" s="273"/>
      <c r="J104" s="89"/>
      <c r="K104" s="33"/>
    </row>
    <row r="105" spans="1:11" ht="15" customHeight="1" x14ac:dyDescent="0.25">
      <c r="A105" s="453"/>
      <c r="B105" s="281"/>
      <c r="C105" s="281"/>
      <c r="D105" s="281"/>
      <c r="E105" s="281"/>
      <c r="F105" s="288" t="s">
        <v>3359</v>
      </c>
      <c r="G105" s="454" t="s">
        <v>3540</v>
      </c>
      <c r="H105" s="272" t="s">
        <v>528</v>
      </c>
      <c r="I105" s="272"/>
      <c r="J105" s="89"/>
      <c r="K105" s="33"/>
    </row>
    <row r="106" spans="1:11" ht="15" customHeight="1" x14ac:dyDescent="0.25">
      <c r="A106" s="453"/>
      <c r="B106" s="281"/>
      <c r="C106" s="281"/>
      <c r="D106" s="281"/>
      <c r="E106" s="281"/>
      <c r="F106" s="288"/>
      <c r="G106" s="454"/>
      <c r="H106" s="272"/>
      <c r="I106" s="272"/>
      <c r="J106" s="89"/>
      <c r="K106" s="33"/>
    </row>
    <row r="107" spans="1:11" ht="15" customHeight="1" x14ac:dyDescent="0.25">
      <c r="A107" s="453"/>
      <c r="B107" s="281"/>
      <c r="C107" s="281"/>
      <c r="D107" s="281"/>
      <c r="E107" s="281"/>
      <c r="F107" s="273"/>
      <c r="G107" s="454"/>
      <c r="H107" s="273"/>
      <c r="I107" s="273"/>
      <c r="J107" s="89"/>
      <c r="K107" s="33"/>
    </row>
    <row r="108" spans="1:11" ht="15" customHeight="1" x14ac:dyDescent="0.25">
      <c r="A108" s="453"/>
      <c r="B108" s="281"/>
      <c r="C108" s="281"/>
      <c r="D108" s="281"/>
      <c r="E108" s="281"/>
      <c r="F108" s="288" t="s">
        <v>3360</v>
      </c>
      <c r="G108" s="454" t="s">
        <v>3541</v>
      </c>
      <c r="H108" s="272" t="s">
        <v>528</v>
      </c>
      <c r="I108" s="354" t="s">
        <v>4239</v>
      </c>
      <c r="J108" s="89"/>
      <c r="K108" s="33"/>
    </row>
    <row r="109" spans="1:11" ht="15" customHeight="1" x14ac:dyDescent="0.25">
      <c r="A109" s="453"/>
      <c r="B109" s="281"/>
      <c r="C109" s="281"/>
      <c r="D109" s="281"/>
      <c r="E109" s="281"/>
      <c r="F109" s="288"/>
      <c r="G109" s="454"/>
      <c r="H109" s="272"/>
      <c r="I109" s="272"/>
      <c r="J109" s="89"/>
      <c r="K109" s="33"/>
    </row>
    <row r="110" spans="1:11" ht="15" customHeight="1" x14ac:dyDescent="0.25">
      <c r="A110" s="453"/>
      <c r="B110" s="281"/>
      <c r="C110" s="281"/>
      <c r="D110" s="281"/>
      <c r="E110" s="281"/>
      <c r="F110" s="273"/>
      <c r="G110" s="454"/>
      <c r="H110" s="273"/>
      <c r="I110" s="273"/>
      <c r="J110" s="89"/>
      <c r="K110" s="33"/>
    </row>
    <row r="111" spans="1:11" ht="15" customHeight="1" x14ac:dyDescent="0.25">
      <c r="A111" s="453"/>
      <c r="B111" s="281"/>
      <c r="C111" s="281"/>
      <c r="D111" s="281"/>
      <c r="E111" s="281"/>
      <c r="F111" s="288" t="s">
        <v>3361</v>
      </c>
      <c r="G111" s="565" t="s">
        <v>3542</v>
      </c>
      <c r="H111" s="272" t="s">
        <v>528</v>
      </c>
      <c r="I111" s="272"/>
      <c r="J111" s="89"/>
      <c r="K111" s="33"/>
    </row>
    <row r="112" spans="1:11" ht="15" customHeight="1" x14ac:dyDescent="0.25">
      <c r="A112" s="453"/>
      <c r="B112" s="281"/>
      <c r="C112" s="281"/>
      <c r="D112" s="281"/>
      <c r="E112" s="281"/>
      <c r="F112" s="288"/>
      <c r="G112" s="520"/>
      <c r="H112" s="272"/>
      <c r="I112" s="272"/>
      <c r="J112" s="89"/>
      <c r="K112" s="33"/>
    </row>
    <row r="113" spans="1:11" ht="15" customHeight="1" x14ac:dyDescent="0.25">
      <c r="A113" s="453"/>
      <c r="B113" s="281"/>
      <c r="C113" s="281"/>
      <c r="D113" s="281"/>
      <c r="E113" s="281"/>
      <c r="F113" s="273"/>
      <c r="G113" s="566"/>
      <c r="H113" s="273"/>
      <c r="I113" s="273"/>
      <c r="J113" s="89"/>
      <c r="K113" s="33"/>
    </row>
    <row r="114" spans="1:11" ht="15" customHeight="1" x14ac:dyDescent="0.25">
      <c r="A114" s="453"/>
      <c r="B114" s="281"/>
      <c r="C114" s="281"/>
      <c r="D114" s="281"/>
      <c r="E114" s="281"/>
      <c r="F114" s="288" t="s">
        <v>3362</v>
      </c>
      <c r="G114" s="565" t="s">
        <v>3543</v>
      </c>
      <c r="H114" s="272" t="s">
        <v>528</v>
      </c>
      <c r="I114" s="354" t="s">
        <v>4238</v>
      </c>
      <c r="J114" s="89"/>
      <c r="K114" s="33"/>
    </row>
    <row r="115" spans="1:11" ht="15" customHeight="1" x14ac:dyDescent="0.25">
      <c r="A115" s="453"/>
      <c r="B115" s="281"/>
      <c r="C115" s="281"/>
      <c r="D115" s="281"/>
      <c r="E115" s="281"/>
      <c r="F115" s="288"/>
      <c r="G115" s="520"/>
      <c r="H115" s="272"/>
      <c r="I115" s="272"/>
      <c r="J115" s="89"/>
      <c r="K115" s="33"/>
    </row>
    <row r="116" spans="1:11" ht="15" customHeight="1" x14ac:dyDescent="0.25">
      <c r="A116" s="453"/>
      <c r="B116" s="281"/>
      <c r="C116" s="281"/>
      <c r="D116" s="281"/>
      <c r="E116" s="281"/>
      <c r="F116" s="273"/>
      <c r="G116" s="566"/>
      <c r="H116" s="273"/>
      <c r="I116" s="273"/>
      <c r="J116" s="89"/>
      <c r="K116" s="33"/>
    </row>
    <row r="117" spans="1:11" ht="15" customHeight="1" x14ac:dyDescent="0.25">
      <c r="A117" s="453"/>
      <c r="B117" s="281"/>
      <c r="C117" s="281"/>
      <c r="D117" s="281"/>
      <c r="E117" s="281"/>
      <c r="F117" s="288" t="s">
        <v>3363</v>
      </c>
      <c r="G117" s="454" t="s">
        <v>3544</v>
      </c>
      <c r="H117" s="272" t="s">
        <v>528</v>
      </c>
      <c r="I117" s="272"/>
      <c r="J117" s="89"/>
      <c r="K117" s="33"/>
    </row>
    <row r="118" spans="1:11" ht="15" customHeight="1" x14ac:dyDescent="0.25">
      <c r="A118" s="453"/>
      <c r="B118" s="281"/>
      <c r="C118" s="281"/>
      <c r="D118" s="281"/>
      <c r="E118" s="281"/>
      <c r="F118" s="288"/>
      <c r="G118" s="454"/>
      <c r="H118" s="272"/>
      <c r="I118" s="272"/>
      <c r="J118" s="89"/>
      <c r="K118" s="33"/>
    </row>
    <row r="119" spans="1:11" ht="15" customHeight="1" x14ac:dyDescent="0.25">
      <c r="A119" s="453"/>
      <c r="B119" s="281"/>
      <c r="C119" s="281"/>
      <c r="D119" s="281"/>
      <c r="E119" s="281"/>
      <c r="F119" s="273"/>
      <c r="G119" s="454"/>
      <c r="H119" s="273"/>
      <c r="I119" s="273"/>
      <c r="J119" s="89"/>
      <c r="K119" s="33"/>
    </row>
    <row r="120" spans="1:11" ht="15" customHeight="1" x14ac:dyDescent="0.25">
      <c r="A120" s="453"/>
      <c r="B120" s="281"/>
      <c r="C120" s="281"/>
      <c r="D120" s="281"/>
      <c r="E120" s="281"/>
      <c r="F120" s="288" t="s">
        <v>3364</v>
      </c>
      <c r="G120" s="539" t="s">
        <v>3545</v>
      </c>
      <c r="H120" s="272" t="s">
        <v>528</v>
      </c>
      <c r="I120" s="272"/>
      <c r="J120" s="89"/>
      <c r="K120" s="33"/>
    </row>
    <row r="121" spans="1:11" ht="15" customHeight="1" x14ac:dyDescent="0.25">
      <c r="A121" s="453"/>
      <c r="B121" s="281"/>
      <c r="C121" s="281"/>
      <c r="D121" s="281"/>
      <c r="E121" s="281"/>
      <c r="F121" s="288"/>
      <c r="G121" s="540"/>
      <c r="H121" s="272"/>
      <c r="I121" s="272"/>
      <c r="J121" s="89"/>
      <c r="K121" s="33"/>
    </row>
    <row r="122" spans="1:11" ht="15" customHeight="1" x14ac:dyDescent="0.25">
      <c r="A122" s="453"/>
      <c r="B122" s="281"/>
      <c r="C122" s="281"/>
      <c r="D122" s="281"/>
      <c r="E122" s="281"/>
      <c r="F122" s="273"/>
      <c r="G122" s="541"/>
      <c r="H122" s="273"/>
      <c r="I122" s="273"/>
      <c r="J122" s="89"/>
      <c r="K122" s="33"/>
    </row>
    <row r="123" spans="1:11" ht="15" customHeight="1" x14ac:dyDescent="0.25">
      <c r="A123" s="453"/>
      <c r="B123" s="281"/>
      <c r="C123" s="281"/>
      <c r="D123" s="281"/>
      <c r="E123" s="281"/>
      <c r="F123" s="288" t="s">
        <v>3365</v>
      </c>
      <c r="G123" s="539" t="s">
        <v>3546</v>
      </c>
      <c r="H123" s="272" t="s">
        <v>528</v>
      </c>
      <c r="I123" s="272"/>
      <c r="J123" s="89"/>
      <c r="K123" s="33"/>
    </row>
    <row r="124" spans="1:11" ht="15" customHeight="1" x14ac:dyDescent="0.25">
      <c r="A124" s="453"/>
      <c r="B124" s="281"/>
      <c r="C124" s="281"/>
      <c r="D124" s="281"/>
      <c r="E124" s="281"/>
      <c r="F124" s="288"/>
      <c r="G124" s="540"/>
      <c r="H124" s="272"/>
      <c r="I124" s="272"/>
      <c r="J124" s="89"/>
      <c r="K124" s="33"/>
    </row>
    <row r="125" spans="1:11" ht="15" customHeight="1" x14ac:dyDescent="0.25">
      <c r="A125" s="453"/>
      <c r="B125" s="281"/>
      <c r="C125" s="281"/>
      <c r="D125" s="281"/>
      <c r="E125" s="281"/>
      <c r="F125" s="273"/>
      <c r="G125" s="541"/>
      <c r="H125" s="273"/>
      <c r="I125" s="273"/>
      <c r="J125" s="89"/>
      <c r="K125" s="33"/>
    </row>
    <row r="126" spans="1:11" ht="15" customHeight="1" x14ac:dyDescent="0.25">
      <c r="A126" s="453"/>
      <c r="B126" s="281"/>
      <c r="C126" s="281"/>
      <c r="D126" s="281"/>
      <c r="E126" s="281"/>
      <c r="F126" s="288" t="s">
        <v>3549</v>
      </c>
      <c r="G126" s="539" t="s">
        <v>3547</v>
      </c>
      <c r="H126" s="272" t="s">
        <v>528</v>
      </c>
      <c r="I126" s="272"/>
      <c r="J126" s="89"/>
      <c r="K126" s="33"/>
    </row>
    <row r="127" spans="1:11" ht="15" customHeight="1" x14ac:dyDescent="0.25">
      <c r="A127" s="453"/>
      <c r="B127" s="281"/>
      <c r="C127" s="281"/>
      <c r="D127" s="281"/>
      <c r="E127" s="281"/>
      <c r="F127" s="288"/>
      <c r="G127" s="540"/>
      <c r="H127" s="272"/>
      <c r="I127" s="272"/>
      <c r="J127" s="89"/>
      <c r="K127" s="33"/>
    </row>
    <row r="128" spans="1:11" ht="15" customHeight="1" x14ac:dyDescent="0.25">
      <c r="A128" s="453"/>
      <c r="B128" s="281"/>
      <c r="C128" s="281"/>
      <c r="D128" s="281"/>
      <c r="E128" s="281"/>
      <c r="F128" s="273"/>
      <c r="G128" s="541"/>
      <c r="H128" s="273"/>
      <c r="I128" s="273"/>
      <c r="J128" s="89"/>
      <c r="K128" s="33"/>
    </row>
    <row r="129" spans="1:12" ht="15" customHeight="1" x14ac:dyDescent="0.25">
      <c r="A129" s="453"/>
      <c r="B129" s="281"/>
      <c r="C129" s="281"/>
      <c r="D129" s="281"/>
      <c r="E129" s="281"/>
      <c r="F129" s="288" t="s">
        <v>3550</v>
      </c>
      <c r="G129" s="539" t="s">
        <v>3548</v>
      </c>
      <c r="H129" s="272" t="s">
        <v>528</v>
      </c>
      <c r="I129" s="272"/>
      <c r="J129" s="89"/>
      <c r="K129" s="33"/>
    </row>
    <row r="130" spans="1:12" ht="15" customHeight="1" x14ac:dyDescent="0.25">
      <c r="A130" s="453"/>
      <c r="B130" s="281"/>
      <c r="C130" s="281"/>
      <c r="D130" s="281"/>
      <c r="E130" s="281"/>
      <c r="F130" s="288"/>
      <c r="G130" s="540"/>
      <c r="H130" s="272"/>
      <c r="I130" s="272"/>
      <c r="J130" s="89"/>
      <c r="K130" s="33"/>
    </row>
    <row r="131" spans="1:12" ht="15" customHeight="1" x14ac:dyDescent="0.25">
      <c r="A131" s="453"/>
      <c r="B131" s="281"/>
      <c r="C131" s="281"/>
      <c r="D131" s="281"/>
      <c r="E131" s="281"/>
      <c r="F131" s="273"/>
      <c r="G131" s="541"/>
      <c r="H131" s="273"/>
      <c r="I131" s="273"/>
      <c r="J131" s="89"/>
      <c r="K131" s="33"/>
    </row>
    <row r="132" spans="1:12" x14ac:dyDescent="0.25">
      <c r="A132" s="453"/>
      <c r="B132" s="560" t="s">
        <v>3366</v>
      </c>
      <c r="C132" s="560" t="s">
        <v>1413</v>
      </c>
      <c r="D132" s="560"/>
      <c r="E132" s="560"/>
      <c r="F132" s="535" t="s">
        <v>3367</v>
      </c>
      <c r="G132" s="558" t="s">
        <v>3551</v>
      </c>
      <c r="H132" s="388" t="s">
        <v>528</v>
      </c>
      <c r="I132" s="564" t="s">
        <v>4244</v>
      </c>
      <c r="J132" s="26"/>
      <c r="K132" s="33"/>
    </row>
    <row r="133" spans="1:12" x14ac:dyDescent="0.25">
      <c r="A133" s="453"/>
      <c r="B133" s="561"/>
      <c r="C133" s="561"/>
      <c r="D133" s="561"/>
      <c r="E133" s="561"/>
      <c r="F133" s="535"/>
      <c r="G133" s="558"/>
      <c r="H133" s="388"/>
      <c r="I133" s="564"/>
      <c r="J133" s="26"/>
      <c r="K133" s="33"/>
      <c r="L133" s="340" t="s">
        <v>4242</v>
      </c>
    </row>
    <row r="134" spans="1:12" x14ac:dyDescent="0.2">
      <c r="A134" s="453"/>
      <c r="B134" s="562"/>
      <c r="C134" s="562"/>
      <c r="D134" s="562"/>
      <c r="E134" s="562"/>
      <c r="F134" s="389"/>
      <c r="G134" s="559"/>
      <c r="H134" s="389"/>
      <c r="I134" s="564"/>
      <c r="J134" s="89"/>
      <c r="K134" s="34"/>
      <c r="L134" s="340"/>
    </row>
    <row r="135" spans="1:12" x14ac:dyDescent="0.2">
      <c r="A135" s="453"/>
      <c r="B135" s="563"/>
      <c r="C135" s="563"/>
      <c r="D135" s="563"/>
      <c r="E135" s="563"/>
      <c r="F135" s="535" t="s">
        <v>3368</v>
      </c>
      <c r="G135" s="558" t="s">
        <v>3552</v>
      </c>
      <c r="H135" s="388" t="s">
        <v>528</v>
      </c>
      <c r="I135" s="387" t="s">
        <v>4244</v>
      </c>
      <c r="J135" s="26"/>
      <c r="K135" s="34"/>
      <c r="L135" s="340"/>
    </row>
    <row r="136" spans="1:12" x14ac:dyDescent="0.2">
      <c r="A136" s="453"/>
      <c r="B136" s="563"/>
      <c r="C136" s="563"/>
      <c r="D136" s="563"/>
      <c r="E136" s="563"/>
      <c r="F136" s="535"/>
      <c r="G136" s="558"/>
      <c r="H136" s="388"/>
      <c r="I136" s="388"/>
      <c r="J136" s="26"/>
      <c r="K136" s="34"/>
    </row>
    <row r="137" spans="1:12" x14ac:dyDescent="0.2">
      <c r="A137" s="453"/>
      <c r="B137" s="563"/>
      <c r="C137" s="563"/>
      <c r="D137" s="563"/>
      <c r="E137" s="563"/>
      <c r="F137" s="389"/>
      <c r="G137" s="559"/>
      <c r="H137" s="389"/>
      <c r="I137" s="389"/>
      <c r="J137" s="89"/>
      <c r="K137" s="34"/>
    </row>
    <row r="138" spans="1:12" ht="30.75" customHeight="1" x14ac:dyDescent="0.2">
      <c r="A138" s="453"/>
      <c r="B138" s="563"/>
      <c r="C138" s="563"/>
      <c r="D138" s="563"/>
      <c r="E138" s="563"/>
      <c r="F138" s="535" t="s">
        <v>3369</v>
      </c>
      <c r="G138" s="558" t="s">
        <v>3553</v>
      </c>
      <c r="H138" s="388" t="s">
        <v>528</v>
      </c>
      <c r="I138" s="564" t="s">
        <v>4243</v>
      </c>
      <c r="J138" s="26"/>
      <c r="K138" s="34"/>
      <c r="L138" s="129" t="s">
        <v>4247</v>
      </c>
    </row>
    <row r="139" spans="1:12" ht="16.350000000000001" customHeight="1" x14ac:dyDescent="0.2">
      <c r="A139" s="453"/>
      <c r="B139" s="563"/>
      <c r="C139" s="563"/>
      <c r="D139" s="563"/>
      <c r="E139" s="563"/>
      <c r="F139" s="535"/>
      <c r="G139" s="558"/>
      <c r="H139" s="388"/>
      <c r="I139" s="564"/>
      <c r="J139" s="26"/>
      <c r="K139" s="34"/>
    </row>
    <row r="140" spans="1:12" x14ac:dyDescent="0.2">
      <c r="A140" s="453"/>
      <c r="B140" s="563"/>
      <c r="C140" s="563"/>
      <c r="D140" s="563"/>
      <c r="E140" s="563"/>
      <c r="F140" s="389"/>
      <c r="G140" s="559"/>
      <c r="H140" s="389"/>
      <c r="I140" s="564"/>
      <c r="J140" s="89"/>
      <c r="K140" s="34"/>
    </row>
    <row r="141" spans="1:12" ht="16.350000000000001" customHeight="1" x14ac:dyDescent="0.2">
      <c r="A141" s="453"/>
      <c r="B141" s="563"/>
      <c r="C141" s="563"/>
      <c r="D141" s="563"/>
      <c r="E141" s="563"/>
      <c r="F141" s="535" t="s">
        <v>3370</v>
      </c>
      <c r="G141" s="558" t="s">
        <v>3554</v>
      </c>
      <c r="H141" s="388" t="s">
        <v>528</v>
      </c>
      <c r="I141" s="387" t="s">
        <v>4245</v>
      </c>
      <c r="J141" s="26"/>
      <c r="K141" s="34"/>
    </row>
    <row r="142" spans="1:12" ht="16.350000000000001" customHeight="1" x14ac:dyDescent="0.2">
      <c r="A142" s="453"/>
      <c r="B142" s="563"/>
      <c r="C142" s="563"/>
      <c r="D142" s="563"/>
      <c r="E142" s="563"/>
      <c r="F142" s="535"/>
      <c r="G142" s="558"/>
      <c r="H142" s="388"/>
      <c r="I142" s="388"/>
      <c r="J142" s="26"/>
      <c r="K142" s="34"/>
    </row>
    <row r="143" spans="1:12" x14ac:dyDescent="0.2">
      <c r="A143" s="453"/>
      <c r="B143" s="563"/>
      <c r="C143" s="563"/>
      <c r="D143" s="563"/>
      <c r="E143" s="563"/>
      <c r="F143" s="389"/>
      <c r="G143" s="559"/>
      <c r="H143" s="389"/>
      <c r="I143" s="389"/>
      <c r="J143" s="89"/>
      <c r="K143" s="100"/>
    </row>
    <row r="144" spans="1:12" ht="16.350000000000001" customHeight="1" x14ac:dyDescent="0.2">
      <c r="A144" s="453"/>
      <c r="B144" s="563"/>
      <c r="C144" s="563"/>
      <c r="D144" s="563"/>
      <c r="E144" s="563"/>
      <c r="F144" s="535" t="s">
        <v>3371</v>
      </c>
      <c r="G144" s="558" t="s">
        <v>3555</v>
      </c>
      <c r="H144" s="388" t="s">
        <v>528</v>
      </c>
      <c r="I144" s="387" t="s">
        <v>4246</v>
      </c>
      <c r="J144" s="26"/>
      <c r="K144" s="100"/>
    </row>
    <row r="145" spans="1:11" ht="16.350000000000001" customHeight="1" x14ac:dyDescent="0.2">
      <c r="A145" s="453"/>
      <c r="B145" s="563"/>
      <c r="C145" s="563"/>
      <c r="D145" s="563"/>
      <c r="E145" s="563"/>
      <c r="F145" s="535"/>
      <c r="G145" s="558"/>
      <c r="H145" s="388"/>
      <c r="I145" s="388"/>
      <c r="J145" s="26"/>
      <c r="K145" s="100"/>
    </row>
    <row r="146" spans="1:11" x14ac:dyDescent="0.2">
      <c r="A146" s="453"/>
      <c r="B146" s="563"/>
      <c r="C146" s="563"/>
      <c r="D146" s="563"/>
      <c r="E146" s="563"/>
      <c r="F146" s="389"/>
      <c r="G146" s="559"/>
      <c r="H146" s="389"/>
      <c r="I146" s="389"/>
      <c r="J146" s="89"/>
      <c r="K146" s="37"/>
    </row>
    <row r="147" spans="1:11" ht="16.350000000000001" customHeight="1" x14ac:dyDescent="0.2">
      <c r="A147" s="453"/>
      <c r="B147" s="563"/>
      <c r="C147" s="563"/>
      <c r="D147" s="563"/>
      <c r="E147" s="563"/>
      <c r="F147" s="535" t="s">
        <v>3372</v>
      </c>
      <c r="G147" s="558" t="s">
        <v>3556</v>
      </c>
      <c r="H147" s="388" t="s">
        <v>528</v>
      </c>
      <c r="I147" s="387" t="s">
        <v>4244</v>
      </c>
      <c r="J147" s="26"/>
      <c r="K147" s="34"/>
    </row>
    <row r="148" spans="1:11" ht="16.350000000000001" customHeight="1" x14ac:dyDescent="0.2">
      <c r="A148" s="453"/>
      <c r="B148" s="563"/>
      <c r="C148" s="563"/>
      <c r="D148" s="563"/>
      <c r="E148" s="563"/>
      <c r="F148" s="535"/>
      <c r="G148" s="558"/>
      <c r="H148" s="388"/>
      <c r="I148" s="388"/>
      <c r="J148" s="26"/>
      <c r="K148" s="34"/>
    </row>
    <row r="149" spans="1:11" x14ac:dyDescent="0.2">
      <c r="A149" s="453"/>
      <c r="B149" s="563"/>
      <c r="C149" s="563"/>
      <c r="D149" s="563"/>
      <c r="E149" s="563"/>
      <c r="F149" s="389"/>
      <c r="G149" s="559"/>
      <c r="H149" s="389"/>
      <c r="I149" s="389"/>
      <c r="J149" s="89"/>
      <c r="K149" s="100"/>
    </row>
    <row r="150" spans="1:11" x14ac:dyDescent="0.25">
      <c r="A150" s="453"/>
      <c r="B150" s="282" t="s">
        <v>3373</v>
      </c>
      <c r="C150" s="282" t="s">
        <v>1438</v>
      </c>
      <c r="D150" s="282"/>
      <c r="E150" s="282"/>
      <c r="F150" s="288" t="s">
        <v>3374</v>
      </c>
      <c r="G150" s="530" t="s">
        <v>3557</v>
      </c>
      <c r="H150" s="272" t="s">
        <v>511</v>
      </c>
      <c r="I150" s="354" t="s">
        <v>4250</v>
      </c>
      <c r="J150" s="26"/>
      <c r="K150" s="33"/>
    </row>
    <row r="151" spans="1:11" x14ac:dyDescent="0.25">
      <c r="A151" s="453"/>
      <c r="B151" s="283"/>
      <c r="C151" s="283"/>
      <c r="D151" s="283"/>
      <c r="E151" s="283"/>
      <c r="F151" s="288"/>
      <c r="G151" s="530"/>
      <c r="H151" s="272"/>
      <c r="I151" s="272"/>
      <c r="J151" s="26"/>
      <c r="K151" s="33"/>
    </row>
    <row r="152" spans="1:11" x14ac:dyDescent="0.2">
      <c r="A152" s="453"/>
      <c r="B152" s="284"/>
      <c r="C152" s="284"/>
      <c r="D152" s="284"/>
      <c r="E152" s="284"/>
      <c r="F152" s="273"/>
      <c r="G152" s="333"/>
      <c r="H152" s="273"/>
      <c r="I152" s="273"/>
      <c r="J152" s="89"/>
      <c r="K152" s="34"/>
    </row>
    <row r="153" spans="1:11" ht="15" customHeight="1" x14ac:dyDescent="0.2">
      <c r="A153" s="453"/>
      <c r="B153" s="285"/>
      <c r="C153" s="285"/>
      <c r="D153" s="285"/>
      <c r="E153" s="285"/>
      <c r="F153" s="288" t="s">
        <v>3375</v>
      </c>
      <c r="G153" s="530" t="s">
        <v>3558</v>
      </c>
      <c r="H153" s="272" t="s">
        <v>511</v>
      </c>
      <c r="I153" s="354" t="s">
        <v>4249</v>
      </c>
      <c r="J153" s="26"/>
      <c r="K153" s="34"/>
    </row>
    <row r="154" spans="1:11" x14ac:dyDescent="0.2">
      <c r="A154" s="453"/>
      <c r="B154" s="285"/>
      <c r="C154" s="285"/>
      <c r="D154" s="285"/>
      <c r="E154" s="285"/>
      <c r="F154" s="288"/>
      <c r="G154" s="530"/>
      <c r="H154" s="272"/>
      <c r="I154" s="272"/>
      <c r="J154" s="26"/>
      <c r="K154" s="34"/>
    </row>
    <row r="155" spans="1:11" x14ac:dyDescent="0.2">
      <c r="A155" s="453"/>
      <c r="B155" s="285"/>
      <c r="C155" s="285"/>
      <c r="D155" s="285"/>
      <c r="E155" s="285"/>
      <c r="F155" s="273"/>
      <c r="G155" s="333"/>
      <c r="H155" s="273"/>
      <c r="I155" s="273"/>
      <c r="J155" s="89"/>
      <c r="K155" s="34"/>
    </row>
    <row r="156" spans="1:11" ht="16.350000000000001" customHeight="1" x14ac:dyDescent="0.2">
      <c r="A156" s="453"/>
      <c r="B156" s="285"/>
      <c r="C156" s="285"/>
      <c r="D156" s="285"/>
      <c r="E156" s="285"/>
      <c r="F156" s="288" t="s">
        <v>3376</v>
      </c>
      <c r="G156" s="530" t="s">
        <v>3559</v>
      </c>
      <c r="H156" s="272" t="s">
        <v>511</v>
      </c>
      <c r="I156" s="354" t="s">
        <v>4248</v>
      </c>
      <c r="J156" s="26"/>
      <c r="K156" s="34"/>
    </row>
    <row r="157" spans="1:11" ht="16.350000000000001" customHeight="1" x14ac:dyDescent="0.2">
      <c r="A157" s="453"/>
      <c r="B157" s="285"/>
      <c r="C157" s="285"/>
      <c r="D157" s="285"/>
      <c r="E157" s="285"/>
      <c r="F157" s="288"/>
      <c r="G157" s="530"/>
      <c r="H157" s="272"/>
      <c r="I157" s="272"/>
      <c r="J157" s="26"/>
      <c r="K157" s="34"/>
    </row>
    <row r="158" spans="1:11" x14ac:dyDescent="0.2">
      <c r="A158" s="453"/>
      <c r="B158" s="285"/>
      <c r="C158" s="285"/>
      <c r="D158" s="285"/>
      <c r="E158" s="285"/>
      <c r="F158" s="273"/>
      <c r="G158" s="333"/>
      <c r="H158" s="273"/>
      <c r="I158" s="273"/>
      <c r="J158" s="89"/>
      <c r="K158" s="34"/>
    </row>
    <row r="159" spans="1:11" ht="16.350000000000001" customHeight="1" x14ac:dyDescent="0.2">
      <c r="A159" s="453"/>
      <c r="B159" s="285"/>
      <c r="C159" s="285"/>
      <c r="D159" s="285"/>
      <c r="E159" s="285"/>
      <c r="F159" s="288" t="s">
        <v>3377</v>
      </c>
      <c r="G159" s="530" t="s">
        <v>3560</v>
      </c>
      <c r="H159" s="272" t="s">
        <v>528</v>
      </c>
      <c r="I159" s="272"/>
      <c r="J159" s="26"/>
      <c r="K159" s="34"/>
    </row>
    <row r="160" spans="1:11" ht="16.350000000000001" customHeight="1" x14ac:dyDescent="0.2">
      <c r="A160" s="453"/>
      <c r="B160" s="285"/>
      <c r="C160" s="285"/>
      <c r="D160" s="285"/>
      <c r="E160" s="285"/>
      <c r="F160" s="288"/>
      <c r="G160" s="530"/>
      <c r="H160" s="272"/>
      <c r="I160" s="272"/>
      <c r="J160" s="26"/>
      <c r="K160" s="34"/>
    </row>
    <row r="161" spans="1:11" x14ac:dyDescent="0.2">
      <c r="A161" s="453"/>
      <c r="B161" s="285"/>
      <c r="C161" s="285"/>
      <c r="D161" s="285"/>
      <c r="E161" s="285"/>
      <c r="F161" s="273"/>
      <c r="G161" s="333"/>
      <c r="H161" s="273"/>
      <c r="I161" s="273"/>
      <c r="J161" s="89"/>
      <c r="K161" s="100"/>
    </row>
    <row r="162" spans="1:11" ht="16.350000000000001" customHeight="1" x14ac:dyDescent="0.2">
      <c r="A162" s="453"/>
      <c r="B162" s="285"/>
      <c r="C162" s="285"/>
      <c r="D162" s="285"/>
      <c r="E162" s="285"/>
      <c r="F162" s="288" t="s">
        <v>3378</v>
      </c>
      <c r="G162" s="530" t="s">
        <v>3561</v>
      </c>
      <c r="H162" s="272" t="s">
        <v>528</v>
      </c>
      <c r="I162" s="272"/>
      <c r="J162" s="26"/>
      <c r="K162" s="100"/>
    </row>
    <row r="163" spans="1:11" ht="16.350000000000001" customHeight="1" x14ac:dyDescent="0.2">
      <c r="A163" s="453"/>
      <c r="B163" s="285"/>
      <c r="C163" s="285"/>
      <c r="D163" s="285"/>
      <c r="E163" s="285"/>
      <c r="F163" s="288"/>
      <c r="G163" s="530"/>
      <c r="H163" s="272"/>
      <c r="I163" s="272"/>
      <c r="J163" s="26"/>
      <c r="K163" s="100"/>
    </row>
    <row r="164" spans="1:11" x14ac:dyDescent="0.2">
      <c r="A164" s="453"/>
      <c r="B164" s="285"/>
      <c r="C164" s="285"/>
      <c r="D164" s="285"/>
      <c r="E164" s="285"/>
      <c r="F164" s="273"/>
      <c r="G164" s="333"/>
      <c r="H164" s="273"/>
      <c r="I164" s="273"/>
      <c r="J164" s="89"/>
      <c r="K164" s="37"/>
    </row>
    <row r="165" spans="1:11" ht="16.350000000000001" customHeight="1" x14ac:dyDescent="0.2">
      <c r="A165" s="453"/>
      <c r="B165" s="285"/>
      <c r="C165" s="285"/>
      <c r="D165" s="285"/>
      <c r="E165" s="285"/>
      <c r="F165" s="288" t="s">
        <v>3379</v>
      </c>
      <c r="G165" s="530" t="s">
        <v>3562</v>
      </c>
      <c r="H165" s="272" t="s">
        <v>528</v>
      </c>
      <c r="I165" s="272"/>
      <c r="J165" s="26"/>
      <c r="K165" s="34"/>
    </row>
    <row r="166" spans="1:11" ht="16.350000000000001" customHeight="1" x14ac:dyDescent="0.2">
      <c r="A166" s="453"/>
      <c r="B166" s="285"/>
      <c r="C166" s="285"/>
      <c r="D166" s="285"/>
      <c r="E166" s="285"/>
      <c r="F166" s="288"/>
      <c r="G166" s="530"/>
      <c r="H166" s="272"/>
      <c r="I166" s="272"/>
      <c r="J166" s="26"/>
      <c r="K166" s="34"/>
    </row>
    <row r="167" spans="1:11" x14ac:dyDescent="0.2">
      <c r="A167" s="453"/>
      <c r="B167" s="285"/>
      <c r="C167" s="285"/>
      <c r="D167" s="285"/>
      <c r="E167" s="285"/>
      <c r="F167" s="273"/>
      <c r="G167" s="333"/>
      <c r="H167" s="273"/>
      <c r="I167" s="273"/>
      <c r="J167" s="89"/>
      <c r="K167" s="100"/>
    </row>
    <row r="168" spans="1:11" x14ac:dyDescent="0.25">
      <c r="A168" s="453"/>
      <c r="B168" s="282" t="s">
        <v>458</v>
      </c>
      <c r="C168" s="282" t="s">
        <v>1408</v>
      </c>
      <c r="D168" s="282"/>
      <c r="E168" s="282"/>
      <c r="F168" s="288" t="s">
        <v>3380</v>
      </c>
      <c r="G168" s="530" t="s">
        <v>3585</v>
      </c>
      <c r="H168" s="272" t="s">
        <v>507</v>
      </c>
      <c r="I168" s="340" t="s">
        <v>4251</v>
      </c>
      <c r="J168" s="26"/>
      <c r="K168" s="33"/>
    </row>
    <row r="169" spans="1:11" x14ac:dyDescent="0.25">
      <c r="A169" s="453"/>
      <c r="B169" s="283"/>
      <c r="C169" s="283"/>
      <c r="D169" s="283"/>
      <c r="E169" s="283"/>
      <c r="F169" s="288"/>
      <c r="G169" s="530"/>
      <c r="H169" s="272"/>
      <c r="I169" s="340"/>
      <c r="J169" s="26"/>
      <c r="K169" s="33"/>
    </row>
    <row r="170" spans="1:11" x14ac:dyDescent="0.2">
      <c r="A170" s="453"/>
      <c r="B170" s="284"/>
      <c r="C170" s="284"/>
      <c r="D170" s="284"/>
      <c r="E170" s="284"/>
      <c r="F170" s="273"/>
      <c r="G170" s="333"/>
      <c r="H170" s="273"/>
      <c r="I170" s="340"/>
      <c r="J170" s="89"/>
      <c r="K170" s="34"/>
    </row>
    <row r="171" spans="1:11" ht="15" customHeight="1" x14ac:dyDescent="0.2">
      <c r="A171" s="453"/>
      <c r="B171" s="285"/>
      <c r="C171" s="285"/>
      <c r="D171" s="285"/>
      <c r="E171" s="285"/>
      <c r="F171" s="288" t="s">
        <v>3381</v>
      </c>
      <c r="G171" s="530" t="s">
        <v>3586</v>
      </c>
      <c r="H171" s="272" t="s">
        <v>507</v>
      </c>
      <c r="I171" s="340" t="s">
        <v>4251</v>
      </c>
      <c r="J171" s="26"/>
      <c r="K171" s="34"/>
    </row>
    <row r="172" spans="1:11" x14ac:dyDescent="0.2">
      <c r="A172" s="453"/>
      <c r="B172" s="285"/>
      <c r="C172" s="285"/>
      <c r="D172" s="285"/>
      <c r="E172" s="285"/>
      <c r="F172" s="288"/>
      <c r="G172" s="530"/>
      <c r="H172" s="272"/>
      <c r="I172" s="340"/>
      <c r="J172" s="26"/>
      <c r="K172" s="34"/>
    </row>
    <row r="173" spans="1:11" x14ac:dyDescent="0.2">
      <c r="A173" s="453"/>
      <c r="B173" s="285"/>
      <c r="C173" s="285"/>
      <c r="D173" s="285"/>
      <c r="E173" s="285"/>
      <c r="F173" s="273"/>
      <c r="G173" s="333"/>
      <c r="H173" s="273"/>
      <c r="I173" s="340"/>
      <c r="J173" s="89"/>
      <c r="K173" s="34"/>
    </row>
    <row r="174" spans="1:11" ht="16.350000000000001" customHeight="1" x14ac:dyDescent="0.2">
      <c r="A174" s="453"/>
      <c r="B174" s="285"/>
      <c r="C174" s="285"/>
      <c r="D174" s="285"/>
      <c r="E174" s="285"/>
      <c r="F174" s="288" t="s">
        <v>3382</v>
      </c>
      <c r="G174" s="530" t="s">
        <v>3587</v>
      </c>
      <c r="H174" s="272" t="s">
        <v>507</v>
      </c>
      <c r="I174" s="340" t="s">
        <v>4251</v>
      </c>
      <c r="J174" s="26"/>
      <c r="K174" s="34"/>
    </row>
    <row r="175" spans="1:11" ht="16.350000000000001" customHeight="1" x14ac:dyDescent="0.2">
      <c r="A175" s="453"/>
      <c r="B175" s="285"/>
      <c r="C175" s="285"/>
      <c r="D175" s="285"/>
      <c r="E175" s="285"/>
      <c r="F175" s="288"/>
      <c r="G175" s="530"/>
      <c r="H175" s="272"/>
      <c r="I175" s="340"/>
      <c r="J175" s="26"/>
      <c r="K175" s="34"/>
    </row>
    <row r="176" spans="1:11" x14ac:dyDescent="0.2">
      <c r="A176" s="453"/>
      <c r="B176" s="285"/>
      <c r="C176" s="285"/>
      <c r="D176" s="285"/>
      <c r="E176" s="285"/>
      <c r="F176" s="273"/>
      <c r="G176" s="333"/>
      <c r="H176" s="273"/>
      <c r="I176" s="340"/>
      <c r="J176" s="89"/>
      <c r="K176" s="34"/>
    </row>
    <row r="177" spans="1:11" ht="16.350000000000001" customHeight="1" x14ac:dyDescent="0.2">
      <c r="A177" s="453"/>
      <c r="B177" s="285"/>
      <c r="C177" s="285"/>
      <c r="D177" s="285"/>
      <c r="E177" s="285"/>
      <c r="F177" s="288" t="s">
        <v>3383</v>
      </c>
      <c r="G177" s="530" t="s">
        <v>3588</v>
      </c>
      <c r="H177" s="272" t="s">
        <v>507</v>
      </c>
      <c r="I177" s="340" t="s">
        <v>4251</v>
      </c>
      <c r="J177" s="26"/>
      <c r="K177" s="34"/>
    </row>
    <row r="178" spans="1:11" ht="16.350000000000001" customHeight="1" x14ac:dyDescent="0.2">
      <c r="A178" s="453"/>
      <c r="B178" s="285"/>
      <c r="C178" s="285"/>
      <c r="D178" s="285"/>
      <c r="E178" s="285"/>
      <c r="F178" s="288"/>
      <c r="G178" s="530"/>
      <c r="H178" s="272"/>
      <c r="I178" s="340"/>
      <c r="J178" s="26"/>
      <c r="K178" s="34"/>
    </row>
    <row r="179" spans="1:11" x14ac:dyDescent="0.2">
      <c r="A179" s="453"/>
      <c r="B179" s="285"/>
      <c r="C179" s="285"/>
      <c r="D179" s="285"/>
      <c r="E179" s="285"/>
      <c r="F179" s="273"/>
      <c r="G179" s="333"/>
      <c r="H179" s="273"/>
      <c r="I179" s="340"/>
      <c r="J179" s="89"/>
      <c r="K179" s="100"/>
    </row>
    <row r="180" spans="1:11" ht="16.350000000000001" customHeight="1" x14ac:dyDescent="0.2">
      <c r="A180" s="453"/>
      <c r="B180" s="285"/>
      <c r="C180" s="285"/>
      <c r="D180" s="285"/>
      <c r="E180" s="285"/>
      <c r="F180" s="288" t="s">
        <v>3384</v>
      </c>
      <c r="G180" s="530" t="s">
        <v>3589</v>
      </c>
      <c r="H180" s="272" t="s">
        <v>507</v>
      </c>
      <c r="I180" s="340" t="s">
        <v>4251</v>
      </c>
      <c r="J180" s="26"/>
      <c r="K180" s="100"/>
    </row>
    <row r="181" spans="1:11" ht="16.350000000000001" customHeight="1" x14ac:dyDescent="0.2">
      <c r="A181" s="453"/>
      <c r="B181" s="285"/>
      <c r="C181" s="285"/>
      <c r="D181" s="285"/>
      <c r="E181" s="285"/>
      <c r="F181" s="288"/>
      <c r="G181" s="530"/>
      <c r="H181" s="272"/>
      <c r="I181" s="340"/>
      <c r="J181" s="26"/>
      <c r="K181" s="100"/>
    </row>
    <row r="182" spans="1:11" x14ac:dyDescent="0.2">
      <c r="A182" s="453"/>
      <c r="B182" s="285"/>
      <c r="C182" s="285"/>
      <c r="D182" s="285"/>
      <c r="E182" s="285"/>
      <c r="F182" s="273"/>
      <c r="G182" s="333"/>
      <c r="H182" s="273"/>
      <c r="I182" s="340"/>
      <c r="J182" s="89"/>
      <c r="K182" s="37"/>
    </row>
    <row r="183" spans="1:11" ht="16.350000000000001" customHeight="1" x14ac:dyDescent="0.2">
      <c r="A183" s="453"/>
      <c r="B183" s="285"/>
      <c r="C183" s="285"/>
      <c r="D183" s="285"/>
      <c r="E183" s="285"/>
      <c r="F183" s="288" t="s">
        <v>3385</v>
      </c>
      <c r="G183" s="530" t="s">
        <v>3590</v>
      </c>
      <c r="H183" s="272" t="s">
        <v>507</v>
      </c>
      <c r="I183" s="340" t="s">
        <v>4251</v>
      </c>
      <c r="J183" s="26"/>
      <c r="K183" s="34"/>
    </row>
    <row r="184" spans="1:11" ht="16.350000000000001" customHeight="1" x14ac:dyDescent="0.2">
      <c r="A184" s="453"/>
      <c r="B184" s="285"/>
      <c r="C184" s="285"/>
      <c r="D184" s="285"/>
      <c r="E184" s="285"/>
      <c r="F184" s="288"/>
      <c r="G184" s="530"/>
      <c r="H184" s="272"/>
      <c r="I184" s="340"/>
      <c r="J184" s="26"/>
      <c r="K184" s="34"/>
    </row>
    <row r="185" spans="1:11" x14ac:dyDescent="0.2">
      <c r="A185" s="453"/>
      <c r="B185" s="285"/>
      <c r="C185" s="285"/>
      <c r="D185" s="285"/>
      <c r="E185" s="285"/>
      <c r="F185" s="273"/>
      <c r="G185" s="333"/>
      <c r="H185" s="273"/>
      <c r="I185" s="340"/>
      <c r="J185" s="89"/>
      <c r="K185" s="100"/>
    </row>
    <row r="186" spans="1:11" x14ac:dyDescent="0.25">
      <c r="A186" s="453"/>
      <c r="B186" s="282" t="s">
        <v>459</v>
      </c>
      <c r="C186" s="282" t="s">
        <v>1409</v>
      </c>
      <c r="D186" s="282"/>
      <c r="E186" s="282"/>
      <c r="F186" s="288" t="s">
        <v>3386</v>
      </c>
      <c r="G186" s="530" t="s">
        <v>3579</v>
      </c>
      <c r="H186" s="272" t="s">
        <v>507</v>
      </c>
      <c r="I186" s="340" t="s">
        <v>4251</v>
      </c>
      <c r="J186" s="26"/>
      <c r="K186" s="33"/>
    </row>
    <row r="187" spans="1:11" x14ac:dyDescent="0.25">
      <c r="A187" s="453"/>
      <c r="B187" s="283"/>
      <c r="C187" s="283"/>
      <c r="D187" s="283"/>
      <c r="E187" s="283"/>
      <c r="F187" s="288"/>
      <c r="G187" s="530"/>
      <c r="H187" s="272"/>
      <c r="I187" s="340"/>
      <c r="J187" s="26"/>
      <c r="K187" s="33"/>
    </row>
    <row r="188" spans="1:11" x14ac:dyDescent="0.2">
      <c r="A188" s="453"/>
      <c r="B188" s="284"/>
      <c r="C188" s="284"/>
      <c r="D188" s="284"/>
      <c r="E188" s="284"/>
      <c r="F188" s="273"/>
      <c r="G188" s="333"/>
      <c r="H188" s="273"/>
      <c r="I188" s="340"/>
      <c r="J188" s="89"/>
      <c r="K188" s="34"/>
    </row>
    <row r="189" spans="1:11" ht="15" customHeight="1" x14ac:dyDescent="0.2">
      <c r="A189" s="453"/>
      <c r="B189" s="285"/>
      <c r="C189" s="285"/>
      <c r="D189" s="285"/>
      <c r="E189" s="285"/>
      <c r="F189" s="288" t="s">
        <v>3387</v>
      </c>
      <c r="G189" s="530" t="s">
        <v>3580</v>
      </c>
      <c r="H189" s="272" t="s">
        <v>507</v>
      </c>
      <c r="I189" s="340" t="s">
        <v>4251</v>
      </c>
      <c r="J189" s="26"/>
      <c r="K189" s="34"/>
    </row>
    <row r="190" spans="1:11" x14ac:dyDescent="0.2">
      <c r="A190" s="453"/>
      <c r="B190" s="285"/>
      <c r="C190" s="285"/>
      <c r="D190" s="285"/>
      <c r="E190" s="285"/>
      <c r="F190" s="288"/>
      <c r="G190" s="530"/>
      <c r="H190" s="272"/>
      <c r="I190" s="340"/>
      <c r="J190" s="26"/>
      <c r="K190" s="34"/>
    </row>
    <row r="191" spans="1:11" x14ac:dyDescent="0.2">
      <c r="A191" s="453"/>
      <c r="B191" s="285"/>
      <c r="C191" s="285"/>
      <c r="D191" s="285"/>
      <c r="E191" s="285"/>
      <c r="F191" s="273"/>
      <c r="G191" s="333"/>
      <c r="H191" s="273"/>
      <c r="I191" s="340"/>
      <c r="J191" s="89"/>
      <c r="K191" s="34"/>
    </row>
    <row r="192" spans="1:11" ht="16.350000000000001" customHeight="1" x14ac:dyDescent="0.2">
      <c r="A192" s="453"/>
      <c r="B192" s="285"/>
      <c r="C192" s="285"/>
      <c r="D192" s="285"/>
      <c r="E192" s="285"/>
      <c r="F192" s="288" t="s">
        <v>3388</v>
      </c>
      <c r="G192" s="530" t="s">
        <v>3581</v>
      </c>
      <c r="H192" s="272" t="s">
        <v>507</v>
      </c>
      <c r="I192" s="340" t="s">
        <v>4251</v>
      </c>
      <c r="J192" s="26"/>
      <c r="K192" s="34"/>
    </row>
    <row r="193" spans="1:11" ht="16.350000000000001" customHeight="1" x14ac:dyDescent="0.2">
      <c r="A193" s="453"/>
      <c r="B193" s="285"/>
      <c r="C193" s="285"/>
      <c r="D193" s="285"/>
      <c r="E193" s="285"/>
      <c r="F193" s="288"/>
      <c r="G193" s="530"/>
      <c r="H193" s="272"/>
      <c r="I193" s="340"/>
      <c r="J193" s="26"/>
      <c r="K193" s="34"/>
    </row>
    <row r="194" spans="1:11" x14ac:dyDescent="0.2">
      <c r="A194" s="453"/>
      <c r="B194" s="285"/>
      <c r="C194" s="285"/>
      <c r="D194" s="285"/>
      <c r="E194" s="285"/>
      <c r="F194" s="273"/>
      <c r="G194" s="333"/>
      <c r="H194" s="273"/>
      <c r="I194" s="340"/>
      <c r="J194" s="89"/>
      <c r="K194" s="34"/>
    </row>
    <row r="195" spans="1:11" ht="16.350000000000001" customHeight="1" x14ac:dyDescent="0.2">
      <c r="A195" s="453"/>
      <c r="B195" s="285"/>
      <c r="C195" s="285"/>
      <c r="D195" s="285"/>
      <c r="E195" s="285"/>
      <c r="F195" s="288" t="s">
        <v>3389</v>
      </c>
      <c r="G195" s="530" t="s">
        <v>3582</v>
      </c>
      <c r="H195" s="272" t="s">
        <v>507</v>
      </c>
      <c r="I195" s="340" t="s">
        <v>4251</v>
      </c>
      <c r="J195" s="26"/>
      <c r="K195" s="34"/>
    </row>
    <row r="196" spans="1:11" ht="16.350000000000001" customHeight="1" x14ac:dyDescent="0.2">
      <c r="A196" s="453"/>
      <c r="B196" s="285"/>
      <c r="C196" s="285"/>
      <c r="D196" s="285"/>
      <c r="E196" s="285"/>
      <c r="F196" s="288"/>
      <c r="G196" s="530"/>
      <c r="H196" s="272"/>
      <c r="I196" s="340"/>
      <c r="J196" s="26"/>
      <c r="K196" s="34"/>
    </row>
    <row r="197" spans="1:11" x14ac:dyDescent="0.2">
      <c r="A197" s="453"/>
      <c r="B197" s="285"/>
      <c r="C197" s="285"/>
      <c r="D197" s="285"/>
      <c r="E197" s="285"/>
      <c r="F197" s="273"/>
      <c r="G197" s="333"/>
      <c r="H197" s="273"/>
      <c r="I197" s="340"/>
      <c r="J197" s="89"/>
      <c r="K197" s="100"/>
    </row>
    <row r="198" spans="1:11" ht="16.350000000000001" customHeight="1" x14ac:dyDescent="0.2">
      <c r="A198" s="453"/>
      <c r="B198" s="285"/>
      <c r="C198" s="285"/>
      <c r="D198" s="285"/>
      <c r="E198" s="285"/>
      <c r="F198" s="288" t="s">
        <v>3390</v>
      </c>
      <c r="G198" s="530" t="s">
        <v>3583</v>
      </c>
      <c r="H198" s="272" t="s">
        <v>507</v>
      </c>
      <c r="I198" s="340" t="s">
        <v>4251</v>
      </c>
      <c r="J198" s="26"/>
      <c r="K198" s="100"/>
    </row>
    <row r="199" spans="1:11" ht="16.350000000000001" customHeight="1" x14ac:dyDescent="0.2">
      <c r="A199" s="453"/>
      <c r="B199" s="285"/>
      <c r="C199" s="285"/>
      <c r="D199" s="285"/>
      <c r="E199" s="285"/>
      <c r="F199" s="288"/>
      <c r="G199" s="530"/>
      <c r="H199" s="272"/>
      <c r="I199" s="340"/>
      <c r="J199" s="26"/>
      <c r="K199" s="100"/>
    </row>
    <row r="200" spans="1:11" x14ac:dyDescent="0.2">
      <c r="A200" s="453"/>
      <c r="B200" s="285"/>
      <c r="C200" s="285"/>
      <c r="D200" s="285"/>
      <c r="E200" s="285"/>
      <c r="F200" s="273"/>
      <c r="G200" s="333"/>
      <c r="H200" s="273"/>
      <c r="I200" s="340"/>
      <c r="J200" s="89"/>
      <c r="K200" s="37"/>
    </row>
    <row r="201" spans="1:11" ht="16.350000000000001" customHeight="1" x14ac:dyDescent="0.2">
      <c r="A201" s="453"/>
      <c r="B201" s="285"/>
      <c r="C201" s="285"/>
      <c r="D201" s="285"/>
      <c r="E201" s="285"/>
      <c r="F201" s="288" t="s">
        <v>3391</v>
      </c>
      <c r="G201" s="530" t="s">
        <v>3584</v>
      </c>
      <c r="H201" s="272" t="s">
        <v>507</v>
      </c>
      <c r="I201" s="340" t="s">
        <v>4251</v>
      </c>
      <c r="J201" s="26"/>
      <c r="K201" s="34"/>
    </row>
    <row r="202" spans="1:11" ht="16.350000000000001" customHeight="1" x14ac:dyDescent="0.2">
      <c r="A202" s="453"/>
      <c r="B202" s="285"/>
      <c r="C202" s="285"/>
      <c r="D202" s="285"/>
      <c r="E202" s="285"/>
      <c r="F202" s="288"/>
      <c r="G202" s="530"/>
      <c r="H202" s="272"/>
      <c r="I202" s="340"/>
      <c r="J202" s="26"/>
      <c r="K202" s="34"/>
    </row>
    <row r="203" spans="1:11" x14ac:dyDescent="0.2">
      <c r="A203" s="453"/>
      <c r="B203" s="285"/>
      <c r="C203" s="285"/>
      <c r="D203" s="285"/>
      <c r="E203" s="285"/>
      <c r="F203" s="273"/>
      <c r="G203" s="333"/>
      <c r="H203" s="273"/>
      <c r="I203" s="340"/>
      <c r="J203" s="89"/>
      <c r="K203" s="100"/>
    </row>
    <row r="204" spans="1:11" ht="15" customHeight="1" x14ac:dyDescent="0.2">
      <c r="A204" s="453"/>
      <c r="B204" s="555" t="s">
        <v>460</v>
      </c>
      <c r="C204" s="440" t="s">
        <v>1412</v>
      </c>
      <c r="D204" s="440"/>
      <c r="E204" s="440"/>
      <c r="F204" s="288" t="s">
        <v>3392</v>
      </c>
      <c r="G204" s="530" t="s">
        <v>3573</v>
      </c>
      <c r="H204" s="272" t="s">
        <v>515</v>
      </c>
      <c r="I204" s="354" t="s">
        <v>4252</v>
      </c>
      <c r="J204" s="26"/>
      <c r="K204" s="37"/>
    </row>
    <row r="205" spans="1:11" x14ac:dyDescent="0.2">
      <c r="A205" s="453"/>
      <c r="B205" s="556"/>
      <c r="C205" s="441"/>
      <c r="D205" s="441"/>
      <c r="E205" s="441"/>
      <c r="F205" s="274"/>
      <c r="G205" s="332"/>
      <c r="H205" s="272"/>
      <c r="I205" s="274"/>
      <c r="J205" s="91"/>
      <c r="K205" s="37"/>
    </row>
    <row r="206" spans="1:11" x14ac:dyDescent="0.2">
      <c r="A206" s="453"/>
      <c r="B206" s="556"/>
      <c r="C206" s="441"/>
      <c r="D206" s="441"/>
      <c r="E206" s="441"/>
      <c r="F206" s="273"/>
      <c r="G206" s="333"/>
      <c r="H206" s="273"/>
      <c r="I206" s="273"/>
      <c r="J206" s="89"/>
      <c r="K206" s="37"/>
    </row>
    <row r="207" spans="1:11" ht="15" customHeight="1" x14ac:dyDescent="0.2">
      <c r="A207" s="453"/>
      <c r="B207" s="556"/>
      <c r="C207" s="441"/>
      <c r="D207" s="441"/>
      <c r="E207" s="441"/>
      <c r="F207" s="288" t="s">
        <v>3393</v>
      </c>
      <c r="G207" s="530" t="s">
        <v>3574</v>
      </c>
      <c r="H207" s="272" t="s">
        <v>515</v>
      </c>
      <c r="I207" s="354" t="s">
        <v>4252</v>
      </c>
      <c r="J207" s="26"/>
      <c r="K207" s="7"/>
    </row>
    <row r="208" spans="1:11" x14ac:dyDescent="0.2">
      <c r="A208" s="453"/>
      <c r="B208" s="556"/>
      <c r="C208" s="441"/>
      <c r="D208" s="441"/>
      <c r="E208" s="441"/>
      <c r="F208" s="274"/>
      <c r="G208" s="332"/>
      <c r="H208" s="272"/>
      <c r="I208" s="274"/>
      <c r="J208" s="91"/>
      <c r="K208" s="7"/>
    </row>
    <row r="209" spans="1:11" x14ac:dyDescent="0.2">
      <c r="A209" s="453"/>
      <c r="B209" s="556"/>
      <c r="C209" s="441"/>
      <c r="D209" s="441"/>
      <c r="E209" s="441"/>
      <c r="F209" s="273"/>
      <c r="G209" s="333"/>
      <c r="H209" s="273"/>
      <c r="I209" s="273"/>
      <c r="J209" s="89"/>
      <c r="K209" s="7"/>
    </row>
    <row r="210" spans="1:11" ht="16.350000000000001" customHeight="1" x14ac:dyDescent="0.2">
      <c r="A210" s="453"/>
      <c r="B210" s="556"/>
      <c r="C210" s="441"/>
      <c r="D210" s="441"/>
      <c r="E210" s="441"/>
      <c r="F210" s="288" t="s">
        <v>3394</v>
      </c>
      <c r="G210" s="530" t="s">
        <v>3575</v>
      </c>
      <c r="H210" s="272" t="s">
        <v>515</v>
      </c>
      <c r="I210" s="354" t="s">
        <v>4252</v>
      </c>
      <c r="J210" s="26"/>
      <c r="K210" s="7"/>
    </row>
    <row r="211" spans="1:11" x14ac:dyDescent="0.2">
      <c r="A211" s="453"/>
      <c r="B211" s="556"/>
      <c r="C211" s="441"/>
      <c r="D211" s="441"/>
      <c r="E211" s="441"/>
      <c r="F211" s="274"/>
      <c r="G211" s="332"/>
      <c r="H211" s="272"/>
      <c r="I211" s="274"/>
      <c r="J211" s="91"/>
      <c r="K211" s="7"/>
    </row>
    <row r="212" spans="1:11" x14ac:dyDescent="0.2">
      <c r="A212" s="453"/>
      <c r="B212" s="556"/>
      <c r="C212" s="441"/>
      <c r="D212" s="441"/>
      <c r="E212" s="441"/>
      <c r="F212" s="273"/>
      <c r="G212" s="333"/>
      <c r="H212" s="273"/>
      <c r="I212" s="273"/>
      <c r="J212" s="89"/>
      <c r="K212" s="7"/>
    </row>
    <row r="213" spans="1:11" ht="16.350000000000001" customHeight="1" x14ac:dyDescent="0.2">
      <c r="A213" s="453"/>
      <c r="B213" s="556"/>
      <c r="C213" s="441"/>
      <c r="D213" s="441"/>
      <c r="E213" s="441"/>
      <c r="F213" s="288" t="s">
        <v>3395</v>
      </c>
      <c r="G213" s="530" t="s">
        <v>3576</v>
      </c>
      <c r="H213" s="272" t="s">
        <v>515</v>
      </c>
      <c r="I213" s="354" t="s">
        <v>4252</v>
      </c>
      <c r="J213" s="26"/>
      <c r="K213" s="6"/>
    </row>
    <row r="214" spans="1:11" x14ac:dyDescent="0.2">
      <c r="A214" s="453"/>
      <c r="B214" s="556"/>
      <c r="C214" s="441"/>
      <c r="D214" s="441"/>
      <c r="E214" s="441"/>
      <c r="F214" s="274"/>
      <c r="G214" s="332"/>
      <c r="H214" s="272"/>
      <c r="I214" s="274"/>
      <c r="J214" s="91"/>
      <c r="K214" s="7"/>
    </row>
    <row r="215" spans="1:11" x14ac:dyDescent="0.2">
      <c r="A215" s="453"/>
      <c r="B215" s="556"/>
      <c r="C215" s="441"/>
      <c r="D215" s="441"/>
      <c r="E215" s="441"/>
      <c r="F215" s="273"/>
      <c r="G215" s="333"/>
      <c r="H215" s="273"/>
      <c r="I215" s="273"/>
      <c r="J215" s="89"/>
      <c r="K215" s="7"/>
    </row>
    <row r="216" spans="1:11" ht="16.350000000000001" customHeight="1" x14ac:dyDescent="0.2">
      <c r="A216" s="453"/>
      <c r="B216" s="556"/>
      <c r="C216" s="441"/>
      <c r="D216" s="441"/>
      <c r="E216" s="441"/>
      <c r="F216" s="288" t="s">
        <v>3396</v>
      </c>
      <c r="G216" s="530" t="s">
        <v>3577</v>
      </c>
      <c r="H216" s="272" t="s">
        <v>515</v>
      </c>
      <c r="I216" s="354" t="s">
        <v>4252</v>
      </c>
      <c r="J216" s="26"/>
      <c r="K216" s="6"/>
    </row>
    <row r="217" spans="1:11" x14ac:dyDescent="0.2">
      <c r="A217" s="453"/>
      <c r="B217" s="556"/>
      <c r="C217" s="441"/>
      <c r="D217" s="441"/>
      <c r="E217" s="441"/>
      <c r="F217" s="274"/>
      <c r="G217" s="332"/>
      <c r="H217" s="272"/>
      <c r="I217" s="274"/>
      <c r="J217" s="91"/>
      <c r="K217" s="7"/>
    </row>
    <row r="218" spans="1:11" x14ac:dyDescent="0.2">
      <c r="A218" s="453"/>
      <c r="B218" s="556"/>
      <c r="C218" s="441"/>
      <c r="D218" s="441"/>
      <c r="E218" s="441"/>
      <c r="F218" s="273"/>
      <c r="G218" s="333"/>
      <c r="H218" s="273"/>
      <c r="I218" s="273"/>
      <c r="J218" s="89"/>
      <c r="K218" s="7"/>
    </row>
    <row r="219" spans="1:11" ht="16.350000000000001" customHeight="1" x14ac:dyDescent="0.2">
      <c r="A219" s="453"/>
      <c r="B219" s="556"/>
      <c r="C219" s="441"/>
      <c r="D219" s="441"/>
      <c r="E219" s="441"/>
      <c r="F219" s="288" t="s">
        <v>3397</v>
      </c>
      <c r="G219" s="530" t="s">
        <v>3578</v>
      </c>
      <c r="H219" s="272" t="s">
        <v>515</v>
      </c>
      <c r="I219" s="354" t="s">
        <v>4252</v>
      </c>
      <c r="J219" s="26"/>
      <c r="K219" s="6"/>
    </row>
    <row r="220" spans="1:11" x14ac:dyDescent="0.2">
      <c r="A220" s="453"/>
      <c r="B220" s="556"/>
      <c r="C220" s="441"/>
      <c r="D220" s="441"/>
      <c r="E220" s="441"/>
      <c r="F220" s="274"/>
      <c r="G220" s="332"/>
      <c r="H220" s="272"/>
      <c r="I220" s="274"/>
      <c r="J220" s="91"/>
      <c r="K220" s="7"/>
    </row>
    <row r="221" spans="1:11" x14ac:dyDescent="0.2">
      <c r="A221" s="453"/>
      <c r="B221" s="556"/>
      <c r="C221" s="441"/>
      <c r="D221" s="441"/>
      <c r="E221" s="441"/>
      <c r="F221" s="273"/>
      <c r="G221" s="333"/>
      <c r="H221" s="273"/>
      <c r="I221" s="273"/>
      <c r="J221" s="89"/>
      <c r="K221" s="7"/>
    </row>
    <row r="222" spans="1:11" ht="15" customHeight="1" x14ac:dyDescent="0.2">
      <c r="A222" s="453"/>
      <c r="B222" s="556"/>
      <c r="C222" s="441"/>
      <c r="D222" s="441"/>
      <c r="E222" s="441"/>
      <c r="F222" s="288" t="s">
        <v>3398</v>
      </c>
      <c r="G222" s="542" t="s">
        <v>3567</v>
      </c>
      <c r="H222" s="272" t="s">
        <v>515</v>
      </c>
      <c r="I222" s="354" t="s">
        <v>4252</v>
      </c>
      <c r="J222" s="26"/>
      <c r="K222" s="37"/>
    </row>
    <row r="223" spans="1:11" x14ac:dyDescent="0.2">
      <c r="A223" s="453"/>
      <c r="B223" s="556"/>
      <c r="C223" s="441"/>
      <c r="D223" s="441"/>
      <c r="E223" s="441"/>
      <c r="F223" s="274"/>
      <c r="G223" s="542"/>
      <c r="H223" s="272"/>
      <c r="I223" s="274"/>
      <c r="J223" s="91"/>
      <c r="K223" s="37"/>
    </row>
    <row r="224" spans="1:11" x14ac:dyDescent="0.2">
      <c r="A224" s="453"/>
      <c r="B224" s="556"/>
      <c r="C224" s="441"/>
      <c r="D224" s="441"/>
      <c r="E224" s="441"/>
      <c r="F224" s="273"/>
      <c r="G224" s="542"/>
      <c r="H224" s="273"/>
      <c r="I224" s="273"/>
      <c r="J224" s="89"/>
      <c r="K224" s="37"/>
    </row>
    <row r="225" spans="1:11" ht="15" customHeight="1" x14ac:dyDescent="0.2">
      <c r="A225" s="453"/>
      <c r="B225" s="556"/>
      <c r="C225" s="441"/>
      <c r="D225" s="441"/>
      <c r="E225" s="441"/>
      <c r="F225" s="288" t="s">
        <v>3399</v>
      </c>
      <c r="G225" s="542" t="s">
        <v>3568</v>
      </c>
      <c r="H225" s="272" t="s">
        <v>515</v>
      </c>
      <c r="I225" s="354" t="s">
        <v>4252</v>
      </c>
      <c r="J225" s="26"/>
      <c r="K225" s="7"/>
    </row>
    <row r="226" spans="1:11" x14ac:dyDescent="0.2">
      <c r="A226" s="453"/>
      <c r="B226" s="556"/>
      <c r="C226" s="441"/>
      <c r="D226" s="441"/>
      <c r="E226" s="441"/>
      <c r="F226" s="274"/>
      <c r="G226" s="542"/>
      <c r="H226" s="272"/>
      <c r="I226" s="274"/>
      <c r="J226" s="91"/>
      <c r="K226" s="7"/>
    </row>
    <row r="227" spans="1:11" x14ac:dyDescent="0.2">
      <c r="A227" s="453"/>
      <c r="B227" s="556"/>
      <c r="C227" s="441"/>
      <c r="D227" s="441"/>
      <c r="E227" s="441"/>
      <c r="F227" s="273"/>
      <c r="G227" s="542"/>
      <c r="H227" s="273"/>
      <c r="I227" s="273"/>
      <c r="J227" s="89"/>
      <c r="K227" s="7"/>
    </row>
    <row r="228" spans="1:11" ht="16.350000000000001" customHeight="1" x14ac:dyDescent="0.2">
      <c r="A228" s="453"/>
      <c r="B228" s="556"/>
      <c r="C228" s="441"/>
      <c r="D228" s="441"/>
      <c r="E228" s="441"/>
      <c r="F228" s="288" t="s">
        <v>3400</v>
      </c>
      <c r="G228" s="542" t="s">
        <v>3569</v>
      </c>
      <c r="H228" s="272" t="s">
        <v>515</v>
      </c>
      <c r="I228" s="354" t="s">
        <v>4252</v>
      </c>
      <c r="J228" s="26"/>
      <c r="K228" s="7"/>
    </row>
    <row r="229" spans="1:11" x14ac:dyDescent="0.2">
      <c r="A229" s="453"/>
      <c r="B229" s="556"/>
      <c r="C229" s="441"/>
      <c r="D229" s="441"/>
      <c r="E229" s="441"/>
      <c r="F229" s="274"/>
      <c r="G229" s="542"/>
      <c r="H229" s="272"/>
      <c r="I229" s="274"/>
      <c r="J229" s="91"/>
      <c r="K229" s="7"/>
    </row>
    <row r="230" spans="1:11" x14ac:dyDescent="0.2">
      <c r="A230" s="453"/>
      <c r="B230" s="556"/>
      <c r="C230" s="441"/>
      <c r="D230" s="441"/>
      <c r="E230" s="441"/>
      <c r="F230" s="273"/>
      <c r="G230" s="542"/>
      <c r="H230" s="273"/>
      <c r="I230" s="273"/>
      <c r="J230" s="89"/>
      <c r="K230" s="7"/>
    </row>
    <row r="231" spans="1:11" ht="16.350000000000001" customHeight="1" x14ac:dyDescent="0.2">
      <c r="A231" s="453"/>
      <c r="B231" s="556"/>
      <c r="C231" s="441"/>
      <c r="D231" s="441"/>
      <c r="E231" s="441"/>
      <c r="F231" s="288" t="s">
        <v>3401</v>
      </c>
      <c r="G231" s="542" t="s">
        <v>3570</v>
      </c>
      <c r="H231" s="272" t="s">
        <v>515</v>
      </c>
      <c r="I231" s="354" t="s">
        <v>4252</v>
      </c>
      <c r="J231" s="26"/>
      <c r="K231" s="6"/>
    </row>
    <row r="232" spans="1:11" x14ac:dyDescent="0.2">
      <c r="A232" s="453"/>
      <c r="B232" s="556"/>
      <c r="C232" s="441"/>
      <c r="D232" s="441"/>
      <c r="E232" s="441"/>
      <c r="F232" s="274"/>
      <c r="G232" s="542"/>
      <c r="H232" s="272"/>
      <c r="I232" s="274"/>
      <c r="J232" s="91"/>
      <c r="K232" s="7"/>
    </row>
    <row r="233" spans="1:11" x14ac:dyDescent="0.2">
      <c r="A233" s="453"/>
      <c r="B233" s="556"/>
      <c r="C233" s="441"/>
      <c r="D233" s="441"/>
      <c r="E233" s="441"/>
      <c r="F233" s="273"/>
      <c r="G233" s="542"/>
      <c r="H233" s="273"/>
      <c r="I233" s="273"/>
      <c r="J233" s="89"/>
      <c r="K233" s="7"/>
    </row>
    <row r="234" spans="1:11" ht="16.350000000000001" customHeight="1" x14ac:dyDescent="0.2">
      <c r="A234" s="453"/>
      <c r="B234" s="556"/>
      <c r="C234" s="441"/>
      <c r="D234" s="441"/>
      <c r="E234" s="441"/>
      <c r="F234" s="288" t="s">
        <v>3402</v>
      </c>
      <c r="G234" s="542" t="s">
        <v>3571</v>
      </c>
      <c r="H234" s="272" t="s">
        <v>515</v>
      </c>
      <c r="I234" s="354" t="s">
        <v>4252</v>
      </c>
      <c r="J234" s="26"/>
      <c r="K234" s="6"/>
    </row>
    <row r="235" spans="1:11" x14ac:dyDescent="0.2">
      <c r="A235" s="453"/>
      <c r="B235" s="556"/>
      <c r="C235" s="441"/>
      <c r="D235" s="441"/>
      <c r="E235" s="441"/>
      <c r="F235" s="274"/>
      <c r="G235" s="542"/>
      <c r="H235" s="272"/>
      <c r="I235" s="274"/>
      <c r="J235" s="91"/>
      <c r="K235" s="7"/>
    </row>
    <row r="236" spans="1:11" x14ac:dyDescent="0.2">
      <c r="A236" s="453"/>
      <c r="B236" s="556"/>
      <c r="C236" s="441"/>
      <c r="D236" s="441"/>
      <c r="E236" s="441"/>
      <c r="F236" s="273"/>
      <c r="G236" s="542"/>
      <c r="H236" s="273"/>
      <c r="I236" s="273"/>
      <c r="J236" s="89"/>
      <c r="K236" s="7"/>
    </row>
    <row r="237" spans="1:11" ht="16.350000000000001" customHeight="1" x14ac:dyDescent="0.2">
      <c r="A237" s="453"/>
      <c r="B237" s="556"/>
      <c r="C237" s="441"/>
      <c r="D237" s="441"/>
      <c r="E237" s="441"/>
      <c r="F237" s="288" t="s">
        <v>3403</v>
      </c>
      <c r="G237" s="542" t="s">
        <v>3572</v>
      </c>
      <c r="H237" s="272" t="s">
        <v>515</v>
      </c>
      <c r="I237" s="354" t="s">
        <v>4252</v>
      </c>
      <c r="J237" s="26"/>
      <c r="K237" s="6"/>
    </row>
    <row r="238" spans="1:11" x14ac:dyDescent="0.2">
      <c r="A238" s="453"/>
      <c r="B238" s="556"/>
      <c r="C238" s="441"/>
      <c r="D238" s="441"/>
      <c r="E238" s="441"/>
      <c r="F238" s="274"/>
      <c r="G238" s="542"/>
      <c r="H238" s="272"/>
      <c r="I238" s="274"/>
      <c r="J238" s="91"/>
      <c r="K238" s="7"/>
    </row>
    <row r="239" spans="1:11" x14ac:dyDescent="0.2">
      <c r="A239" s="453"/>
      <c r="B239" s="557"/>
      <c r="C239" s="442"/>
      <c r="D239" s="442"/>
      <c r="E239" s="442"/>
      <c r="F239" s="273"/>
      <c r="G239" s="542"/>
      <c r="H239" s="273"/>
      <c r="I239" s="273"/>
      <c r="J239" s="89"/>
      <c r="K239" s="7"/>
    </row>
    <row r="240" spans="1:11" ht="15" customHeight="1" x14ac:dyDescent="0.2">
      <c r="A240" s="453"/>
      <c r="B240" s="361" t="s">
        <v>461</v>
      </c>
      <c r="C240" s="549" t="s">
        <v>1458</v>
      </c>
      <c r="D240" s="552"/>
      <c r="E240" s="552"/>
      <c r="F240" s="535" t="s">
        <v>3392</v>
      </c>
      <c r="G240" s="553" t="s">
        <v>3563</v>
      </c>
      <c r="H240" s="543" t="s">
        <v>528</v>
      </c>
      <c r="I240" s="387" t="s">
        <v>3114</v>
      </c>
      <c r="J240" s="26"/>
      <c r="K240" s="37"/>
    </row>
    <row r="241" spans="1:12" x14ac:dyDescent="0.2">
      <c r="A241" s="453"/>
      <c r="B241" s="547"/>
      <c r="C241" s="550"/>
      <c r="D241" s="547"/>
      <c r="E241" s="547"/>
      <c r="F241" s="534"/>
      <c r="G241" s="553"/>
      <c r="H241" s="544"/>
      <c r="I241" s="534"/>
      <c r="J241" s="91"/>
      <c r="K241" s="37"/>
    </row>
    <row r="242" spans="1:12" ht="30" x14ac:dyDescent="0.2">
      <c r="A242" s="453"/>
      <c r="B242" s="548"/>
      <c r="C242" s="550"/>
      <c r="D242" s="548"/>
      <c r="E242" s="548"/>
      <c r="F242" s="389"/>
      <c r="G242" s="553"/>
      <c r="H242" s="545"/>
      <c r="I242" s="389"/>
      <c r="J242" s="89"/>
      <c r="K242" s="37"/>
      <c r="L242" s="165" t="s">
        <v>4253</v>
      </c>
    </row>
    <row r="243" spans="1:12" ht="16.149999999999999" customHeight="1" x14ac:dyDescent="0.2">
      <c r="A243" s="453"/>
      <c r="B243" s="548"/>
      <c r="C243" s="550"/>
      <c r="D243" s="548"/>
      <c r="E243" s="548"/>
      <c r="F243" s="535" t="s">
        <v>3393</v>
      </c>
      <c r="G243" s="553" t="s">
        <v>1442</v>
      </c>
      <c r="H243" s="543" t="s">
        <v>528</v>
      </c>
      <c r="I243" s="387" t="s">
        <v>3114</v>
      </c>
      <c r="J243" s="26"/>
      <c r="K243" s="7"/>
    </row>
    <row r="244" spans="1:12" ht="60" x14ac:dyDescent="0.2">
      <c r="A244" s="453"/>
      <c r="B244" s="548"/>
      <c r="C244" s="550"/>
      <c r="D244" s="548"/>
      <c r="E244" s="548"/>
      <c r="F244" s="534"/>
      <c r="G244" s="553"/>
      <c r="H244" s="544"/>
      <c r="I244" s="534"/>
      <c r="J244" s="91"/>
      <c r="K244" s="7"/>
      <c r="L244" s="193" t="s">
        <v>4254</v>
      </c>
    </row>
    <row r="245" spans="1:12" x14ac:dyDescent="0.2">
      <c r="A245" s="453"/>
      <c r="B245" s="548"/>
      <c r="C245" s="550"/>
      <c r="D245" s="548"/>
      <c r="E245" s="548"/>
      <c r="F245" s="389"/>
      <c r="G245" s="553"/>
      <c r="H245" s="545"/>
      <c r="I245" s="389"/>
      <c r="J245" s="89"/>
      <c r="K245" s="7"/>
    </row>
    <row r="246" spans="1:12" ht="16.350000000000001" customHeight="1" x14ac:dyDescent="0.2">
      <c r="A246" s="453"/>
      <c r="B246" s="548"/>
      <c r="C246" s="550"/>
      <c r="D246" s="548"/>
      <c r="E246" s="548"/>
      <c r="F246" s="535" t="s">
        <v>3394</v>
      </c>
      <c r="G246" s="554" t="s">
        <v>1463</v>
      </c>
      <c r="H246" s="543" t="s">
        <v>507</v>
      </c>
      <c r="I246" s="387" t="s">
        <v>4255</v>
      </c>
      <c r="J246" s="26"/>
      <c r="K246" s="7"/>
    </row>
    <row r="247" spans="1:12" x14ac:dyDescent="0.2">
      <c r="A247" s="453"/>
      <c r="B247" s="548"/>
      <c r="C247" s="550"/>
      <c r="D247" s="548"/>
      <c r="E247" s="548"/>
      <c r="F247" s="534"/>
      <c r="G247" s="554"/>
      <c r="H247" s="544"/>
      <c r="I247" s="534"/>
      <c r="J247" s="91"/>
      <c r="K247" s="7"/>
    </row>
    <row r="248" spans="1:12" x14ac:dyDescent="0.2">
      <c r="A248" s="453"/>
      <c r="B248" s="548"/>
      <c r="C248" s="550"/>
      <c r="D248" s="548"/>
      <c r="E248" s="548"/>
      <c r="F248" s="389"/>
      <c r="G248" s="554"/>
      <c r="H248" s="545"/>
      <c r="I248" s="389"/>
      <c r="J248" s="89"/>
      <c r="K248" s="7"/>
    </row>
    <row r="249" spans="1:12" ht="16.350000000000001" customHeight="1" x14ac:dyDescent="0.2">
      <c r="A249" s="453"/>
      <c r="B249" s="548"/>
      <c r="C249" s="550"/>
      <c r="D249" s="548"/>
      <c r="E249" s="548"/>
      <c r="F249" s="535" t="s">
        <v>3395</v>
      </c>
      <c r="G249" s="536" t="s">
        <v>1459</v>
      </c>
      <c r="H249" s="543" t="s">
        <v>507</v>
      </c>
      <c r="I249" s="387" t="s">
        <v>4255</v>
      </c>
      <c r="J249" s="26"/>
      <c r="K249" s="6"/>
    </row>
    <row r="250" spans="1:12" x14ac:dyDescent="0.2">
      <c r="A250" s="453"/>
      <c r="B250" s="548"/>
      <c r="C250" s="550"/>
      <c r="D250" s="548"/>
      <c r="E250" s="548"/>
      <c r="F250" s="534"/>
      <c r="G250" s="537"/>
      <c r="H250" s="544"/>
      <c r="I250" s="534"/>
      <c r="J250" s="91"/>
      <c r="K250" s="7"/>
    </row>
    <row r="251" spans="1:12" x14ac:dyDescent="0.2">
      <c r="A251" s="453"/>
      <c r="B251" s="548"/>
      <c r="C251" s="550"/>
      <c r="D251" s="548"/>
      <c r="E251" s="548"/>
      <c r="F251" s="389"/>
      <c r="G251" s="538"/>
      <c r="H251" s="545"/>
      <c r="I251" s="389"/>
      <c r="J251" s="89"/>
      <c r="K251" s="7"/>
    </row>
    <row r="252" spans="1:12" ht="16.350000000000001" customHeight="1" x14ac:dyDescent="0.2">
      <c r="A252" s="453"/>
      <c r="B252" s="548"/>
      <c r="C252" s="550"/>
      <c r="D252" s="548"/>
      <c r="E252" s="548"/>
      <c r="F252" s="535" t="s">
        <v>3396</v>
      </c>
      <c r="G252" s="536" t="s">
        <v>1440</v>
      </c>
      <c r="H252" s="543" t="s">
        <v>507</v>
      </c>
      <c r="I252" s="387" t="s">
        <v>4255</v>
      </c>
      <c r="J252" s="26"/>
      <c r="K252" s="6"/>
    </row>
    <row r="253" spans="1:12" ht="15" customHeight="1" x14ac:dyDescent="0.2">
      <c r="A253" s="453"/>
      <c r="B253" s="548"/>
      <c r="C253" s="550"/>
      <c r="D253" s="548"/>
      <c r="E253" s="548"/>
      <c r="F253" s="534"/>
      <c r="G253" s="537"/>
      <c r="H253" s="544"/>
      <c r="I253" s="534"/>
      <c r="J253" s="91"/>
      <c r="K253" s="7"/>
    </row>
    <row r="254" spans="1:12" ht="15" customHeight="1" x14ac:dyDescent="0.2">
      <c r="A254" s="453"/>
      <c r="B254" s="548"/>
      <c r="C254" s="550"/>
      <c r="D254" s="548"/>
      <c r="E254" s="548"/>
      <c r="F254" s="389"/>
      <c r="G254" s="538"/>
      <c r="H254" s="545"/>
      <c r="I254" s="389"/>
      <c r="J254" s="89"/>
      <c r="K254" s="7"/>
    </row>
    <row r="255" spans="1:12" ht="15" customHeight="1" x14ac:dyDescent="0.2">
      <c r="A255" s="453"/>
      <c r="B255" s="548"/>
      <c r="C255" s="550"/>
      <c r="D255" s="548"/>
      <c r="E255" s="548"/>
      <c r="F255" s="535" t="s">
        <v>3397</v>
      </c>
      <c r="G255" s="536" t="s">
        <v>3564</v>
      </c>
      <c r="H255" s="543" t="s">
        <v>507</v>
      </c>
      <c r="I255" s="387" t="s">
        <v>4255</v>
      </c>
      <c r="J255" s="89"/>
      <c r="K255" s="7"/>
    </row>
    <row r="256" spans="1:12" ht="15" customHeight="1" x14ac:dyDescent="0.2">
      <c r="A256" s="453"/>
      <c r="B256" s="548"/>
      <c r="C256" s="550"/>
      <c r="D256" s="548"/>
      <c r="E256" s="548"/>
      <c r="F256" s="534"/>
      <c r="G256" s="537"/>
      <c r="H256" s="544"/>
      <c r="I256" s="534"/>
      <c r="J256" s="89"/>
      <c r="K256" s="7"/>
    </row>
    <row r="257" spans="1:11" ht="15" customHeight="1" x14ac:dyDescent="0.2">
      <c r="A257" s="453"/>
      <c r="B257" s="548"/>
      <c r="C257" s="550"/>
      <c r="D257" s="548"/>
      <c r="E257" s="548"/>
      <c r="F257" s="389"/>
      <c r="G257" s="538"/>
      <c r="H257" s="545"/>
      <c r="I257" s="389"/>
      <c r="J257" s="89"/>
      <c r="K257" s="7"/>
    </row>
    <row r="258" spans="1:11" ht="17.100000000000001" customHeight="1" x14ac:dyDescent="0.2">
      <c r="A258" s="453"/>
      <c r="B258" s="548"/>
      <c r="C258" s="550"/>
      <c r="D258" s="548"/>
      <c r="E258" s="548"/>
      <c r="F258" s="535" t="s">
        <v>3398</v>
      </c>
      <c r="G258" s="536" t="s">
        <v>1460</v>
      </c>
      <c r="H258" s="543" t="s">
        <v>507</v>
      </c>
      <c r="I258" s="387" t="s">
        <v>4255</v>
      </c>
      <c r="J258" s="89"/>
      <c r="K258" s="7"/>
    </row>
    <row r="259" spans="1:11" ht="16.350000000000001" customHeight="1" x14ac:dyDescent="0.2">
      <c r="A259" s="453"/>
      <c r="B259" s="548"/>
      <c r="C259" s="550"/>
      <c r="D259" s="548"/>
      <c r="E259" s="548"/>
      <c r="F259" s="534"/>
      <c r="G259" s="537"/>
      <c r="H259" s="544"/>
      <c r="I259" s="534"/>
      <c r="J259" s="89"/>
      <c r="K259" s="7"/>
    </row>
    <row r="260" spans="1:11" ht="16.350000000000001" customHeight="1" x14ac:dyDescent="0.2">
      <c r="A260" s="453"/>
      <c r="B260" s="548"/>
      <c r="C260" s="550"/>
      <c r="D260" s="548"/>
      <c r="E260" s="548"/>
      <c r="F260" s="389"/>
      <c r="G260" s="538"/>
      <c r="H260" s="545"/>
      <c r="I260" s="389"/>
      <c r="J260" s="89"/>
      <c r="K260" s="7"/>
    </row>
    <row r="261" spans="1:11" ht="15" customHeight="1" x14ac:dyDescent="0.2">
      <c r="A261" s="453"/>
      <c r="B261" s="548"/>
      <c r="C261" s="550"/>
      <c r="D261" s="548"/>
      <c r="E261" s="548"/>
      <c r="F261" s="535" t="s">
        <v>3399</v>
      </c>
      <c r="G261" s="536" t="s">
        <v>1464</v>
      </c>
      <c r="H261" s="543" t="s">
        <v>507</v>
      </c>
      <c r="I261" s="387" t="s">
        <v>4255</v>
      </c>
      <c r="J261" s="89"/>
      <c r="K261" s="7"/>
    </row>
    <row r="262" spans="1:11" ht="15" customHeight="1" x14ac:dyDescent="0.2">
      <c r="A262" s="453"/>
      <c r="B262" s="548"/>
      <c r="C262" s="550"/>
      <c r="D262" s="548"/>
      <c r="E262" s="548"/>
      <c r="F262" s="534"/>
      <c r="G262" s="537"/>
      <c r="H262" s="544"/>
      <c r="I262" s="534"/>
      <c r="J262" s="89"/>
      <c r="K262" s="7"/>
    </row>
    <row r="263" spans="1:11" ht="15" customHeight="1" x14ac:dyDescent="0.2">
      <c r="A263" s="453"/>
      <c r="B263" s="548"/>
      <c r="C263" s="550"/>
      <c r="D263" s="548"/>
      <c r="E263" s="548"/>
      <c r="F263" s="389"/>
      <c r="G263" s="538"/>
      <c r="H263" s="545"/>
      <c r="I263" s="389"/>
      <c r="J263" s="89"/>
      <c r="K263" s="7"/>
    </row>
    <row r="264" spans="1:11" ht="15" customHeight="1" x14ac:dyDescent="0.2">
      <c r="A264" s="453"/>
      <c r="B264" s="548"/>
      <c r="C264" s="550"/>
      <c r="D264" s="548"/>
      <c r="E264" s="548"/>
      <c r="F264" s="535" t="s">
        <v>3400</v>
      </c>
      <c r="G264" s="536" t="s">
        <v>1461</v>
      </c>
      <c r="H264" s="543" t="s">
        <v>507</v>
      </c>
      <c r="I264" s="387" t="s">
        <v>4255</v>
      </c>
      <c r="J264" s="89"/>
      <c r="K264" s="7"/>
    </row>
    <row r="265" spans="1:11" ht="15" customHeight="1" x14ac:dyDescent="0.2">
      <c r="A265" s="453"/>
      <c r="B265" s="548"/>
      <c r="C265" s="550"/>
      <c r="D265" s="548"/>
      <c r="E265" s="548"/>
      <c r="F265" s="534"/>
      <c r="G265" s="537"/>
      <c r="H265" s="544"/>
      <c r="I265" s="534"/>
      <c r="J265" s="89"/>
      <c r="K265" s="7"/>
    </row>
    <row r="266" spans="1:11" ht="15" customHeight="1" x14ac:dyDescent="0.2">
      <c r="A266" s="453"/>
      <c r="B266" s="548"/>
      <c r="C266" s="550"/>
      <c r="D266" s="548"/>
      <c r="E266" s="548"/>
      <c r="F266" s="389"/>
      <c r="G266" s="538"/>
      <c r="H266" s="545"/>
      <c r="I266" s="389"/>
      <c r="J266" s="89"/>
      <c r="K266" s="7"/>
    </row>
    <row r="267" spans="1:11" ht="15" customHeight="1" x14ac:dyDescent="0.2">
      <c r="A267" s="453"/>
      <c r="B267" s="548"/>
      <c r="C267" s="550"/>
      <c r="D267" s="548"/>
      <c r="E267" s="548"/>
      <c r="F267" s="535" t="s">
        <v>3401</v>
      </c>
      <c r="G267" s="536" t="s">
        <v>1462</v>
      </c>
      <c r="H267" s="543" t="s">
        <v>507</v>
      </c>
      <c r="I267" s="387" t="s">
        <v>4255</v>
      </c>
      <c r="J267" s="89"/>
      <c r="K267" s="7"/>
    </row>
    <row r="268" spans="1:11" ht="15" customHeight="1" x14ac:dyDescent="0.2">
      <c r="A268" s="453"/>
      <c r="B268" s="548"/>
      <c r="C268" s="550"/>
      <c r="D268" s="548"/>
      <c r="E268" s="548"/>
      <c r="F268" s="534"/>
      <c r="G268" s="537"/>
      <c r="H268" s="544"/>
      <c r="I268" s="534"/>
      <c r="J268" s="89"/>
      <c r="K268" s="7"/>
    </row>
    <row r="269" spans="1:11" ht="15" customHeight="1" x14ac:dyDescent="0.2">
      <c r="A269" s="453"/>
      <c r="B269" s="548"/>
      <c r="C269" s="550"/>
      <c r="D269" s="548"/>
      <c r="E269" s="548"/>
      <c r="F269" s="389"/>
      <c r="G269" s="538"/>
      <c r="H269" s="545"/>
      <c r="I269" s="389"/>
      <c r="J269" s="89"/>
      <c r="K269" s="7"/>
    </row>
    <row r="270" spans="1:11" ht="15" customHeight="1" x14ac:dyDescent="0.2">
      <c r="A270" s="453"/>
      <c r="B270" s="548"/>
      <c r="C270" s="550"/>
      <c r="D270" s="548"/>
      <c r="E270" s="548"/>
      <c r="F270" s="535" t="s">
        <v>3402</v>
      </c>
      <c r="G270" s="536" t="s">
        <v>1441</v>
      </c>
      <c r="H270" s="543" t="s">
        <v>507</v>
      </c>
      <c r="I270" s="387" t="s">
        <v>4255</v>
      </c>
      <c r="J270" s="89"/>
      <c r="K270" s="7"/>
    </row>
    <row r="271" spans="1:11" ht="15" customHeight="1" x14ac:dyDescent="0.2">
      <c r="A271" s="453"/>
      <c r="B271" s="548"/>
      <c r="C271" s="550"/>
      <c r="D271" s="548"/>
      <c r="E271" s="548"/>
      <c r="F271" s="534"/>
      <c r="G271" s="537"/>
      <c r="H271" s="544"/>
      <c r="I271" s="534"/>
      <c r="J271" s="89"/>
      <c r="K271" s="7"/>
    </row>
    <row r="272" spans="1:11" ht="15" customHeight="1" x14ac:dyDescent="0.2">
      <c r="A272" s="453"/>
      <c r="B272" s="548"/>
      <c r="C272" s="550"/>
      <c r="D272" s="548"/>
      <c r="E272" s="548"/>
      <c r="F272" s="389"/>
      <c r="G272" s="538"/>
      <c r="H272" s="545"/>
      <c r="I272" s="389"/>
      <c r="J272" s="89"/>
      <c r="K272" s="7"/>
    </row>
    <row r="273" spans="1:11" ht="15" customHeight="1" x14ac:dyDescent="0.2">
      <c r="A273" s="453"/>
      <c r="B273" s="548"/>
      <c r="C273" s="550"/>
      <c r="D273" s="548"/>
      <c r="E273" s="548"/>
      <c r="F273" s="535" t="s">
        <v>3403</v>
      </c>
      <c r="G273" s="536" t="s">
        <v>1443</v>
      </c>
      <c r="H273" s="543" t="s">
        <v>507</v>
      </c>
      <c r="I273" s="387" t="s">
        <v>4255</v>
      </c>
      <c r="J273" s="89"/>
      <c r="K273" s="7"/>
    </row>
    <row r="274" spans="1:11" ht="15" customHeight="1" x14ac:dyDescent="0.2">
      <c r="A274" s="453"/>
      <c r="B274" s="548"/>
      <c r="C274" s="550"/>
      <c r="D274" s="548"/>
      <c r="E274" s="548"/>
      <c r="F274" s="534"/>
      <c r="G274" s="537"/>
      <c r="H274" s="544"/>
      <c r="I274" s="534"/>
      <c r="J274" s="89"/>
      <c r="K274" s="7"/>
    </row>
    <row r="275" spans="1:11" ht="15" customHeight="1" x14ac:dyDescent="0.2">
      <c r="A275" s="453"/>
      <c r="B275" s="548"/>
      <c r="C275" s="550"/>
      <c r="D275" s="548"/>
      <c r="E275" s="548"/>
      <c r="F275" s="389"/>
      <c r="G275" s="538"/>
      <c r="H275" s="545"/>
      <c r="I275" s="389"/>
      <c r="J275" s="89"/>
      <c r="K275" s="7"/>
    </row>
    <row r="276" spans="1:11" ht="15" customHeight="1" x14ac:dyDescent="0.2">
      <c r="A276" s="453"/>
      <c r="B276" s="548"/>
      <c r="C276" s="550"/>
      <c r="D276" s="548"/>
      <c r="E276" s="548"/>
      <c r="F276" s="535" t="s">
        <v>3404</v>
      </c>
      <c r="G276" s="536" t="s">
        <v>1444</v>
      </c>
      <c r="H276" s="543" t="s">
        <v>507</v>
      </c>
      <c r="I276" s="387" t="s">
        <v>4255</v>
      </c>
      <c r="J276" s="89"/>
      <c r="K276" s="7"/>
    </row>
    <row r="277" spans="1:11" ht="15" customHeight="1" x14ac:dyDescent="0.2">
      <c r="A277" s="453"/>
      <c r="B277" s="548"/>
      <c r="C277" s="550"/>
      <c r="D277" s="548"/>
      <c r="E277" s="548"/>
      <c r="F277" s="534"/>
      <c r="G277" s="537"/>
      <c r="H277" s="544"/>
      <c r="I277" s="534"/>
      <c r="J277" s="89"/>
      <c r="K277" s="7"/>
    </row>
    <row r="278" spans="1:11" ht="15" customHeight="1" x14ac:dyDescent="0.2">
      <c r="A278" s="453"/>
      <c r="B278" s="548"/>
      <c r="C278" s="550"/>
      <c r="D278" s="548"/>
      <c r="E278" s="548"/>
      <c r="F278" s="389"/>
      <c r="G278" s="538"/>
      <c r="H278" s="545"/>
      <c r="I278" s="389"/>
      <c r="J278" s="89"/>
      <c r="K278" s="7"/>
    </row>
    <row r="279" spans="1:11" ht="15" customHeight="1" x14ac:dyDescent="0.2">
      <c r="A279" s="453"/>
      <c r="B279" s="548"/>
      <c r="C279" s="550"/>
      <c r="D279" s="548"/>
      <c r="E279" s="548"/>
      <c r="F279" s="535" t="s">
        <v>3405</v>
      </c>
      <c r="G279" s="536" t="s">
        <v>1445</v>
      </c>
      <c r="H279" s="543" t="s">
        <v>507</v>
      </c>
      <c r="I279" s="387" t="s">
        <v>4255</v>
      </c>
      <c r="J279" s="89"/>
      <c r="K279" s="7"/>
    </row>
    <row r="280" spans="1:11" ht="15" customHeight="1" x14ac:dyDescent="0.2">
      <c r="A280" s="453"/>
      <c r="B280" s="548"/>
      <c r="C280" s="550"/>
      <c r="D280" s="548"/>
      <c r="E280" s="548"/>
      <c r="F280" s="534"/>
      <c r="G280" s="537"/>
      <c r="H280" s="544"/>
      <c r="I280" s="534"/>
      <c r="J280" s="89"/>
      <c r="K280" s="7"/>
    </row>
    <row r="281" spans="1:11" ht="15" customHeight="1" x14ac:dyDescent="0.2">
      <c r="A281" s="453"/>
      <c r="B281" s="548"/>
      <c r="C281" s="550"/>
      <c r="D281" s="548"/>
      <c r="E281" s="548"/>
      <c r="F281" s="389"/>
      <c r="G281" s="538"/>
      <c r="H281" s="545"/>
      <c r="I281" s="389"/>
      <c r="J281" s="89"/>
      <c r="K281" s="7"/>
    </row>
    <row r="282" spans="1:11" ht="17.100000000000001" customHeight="1" x14ac:dyDescent="0.2">
      <c r="A282" s="453"/>
      <c r="B282" s="548"/>
      <c r="C282" s="550"/>
      <c r="D282" s="548"/>
      <c r="E282" s="548"/>
      <c r="F282" s="535" t="s">
        <v>3406</v>
      </c>
      <c r="G282" s="536" t="s">
        <v>3565</v>
      </c>
      <c r="H282" s="543" t="s">
        <v>507</v>
      </c>
      <c r="I282" s="387" t="s">
        <v>4255</v>
      </c>
      <c r="J282" s="89"/>
      <c r="K282" s="7"/>
    </row>
    <row r="283" spans="1:11" ht="16.350000000000001" customHeight="1" x14ac:dyDescent="0.2">
      <c r="A283" s="453"/>
      <c r="B283" s="548"/>
      <c r="C283" s="550"/>
      <c r="D283" s="548"/>
      <c r="E283" s="548"/>
      <c r="F283" s="534"/>
      <c r="G283" s="537"/>
      <c r="H283" s="544"/>
      <c r="I283" s="534"/>
      <c r="J283" s="89"/>
      <c r="K283" s="7"/>
    </row>
    <row r="284" spans="1:11" ht="16.350000000000001" customHeight="1" x14ac:dyDescent="0.2">
      <c r="A284" s="453"/>
      <c r="B284" s="548"/>
      <c r="C284" s="550"/>
      <c r="D284" s="548"/>
      <c r="E284" s="548"/>
      <c r="F284" s="389"/>
      <c r="G284" s="538"/>
      <c r="H284" s="545"/>
      <c r="I284" s="389"/>
      <c r="J284" s="89"/>
      <c r="K284" s="7"/>
    </row>
    <row r="285" spans="1:11" ht="17.100000000000001" customHeight="1" x14ac:dyDescent="0.2">
      <c r="A285" s="453"/>
      <c r="B285" s="548"/>
      <c r="C285" s="550"/>
      <c r="D285" s="548"/>
      <c r="E285" s="548"/>
      <c r="F285" s="535" t="s">
        <v>3407</v>
      </c>
      <c r="G285" s="536" t="s">
        <v>3566</v>
      </c>
      <c r="H285" s="543" t="s">
        <v>507</v>
      </c>
      <c r="I285" s="387" t="s">
        <v>4255</v>
      </c>
      <c r="J285" s="89"/>
      <c r="K285" s="7"/>
    </row>
    <row r="286" spans="1:11" ht="16.350000000000001" customHeight="1" x14ac:dyDescent="0.2">
      <c r="A286" s="453"/>
      <c r="B286" s="548"/>
      <c r="C286" s="550"/>
      <c r="D286" s="548"/>
      <c r="E286" s="548"/>
      <c r="F286" s="534"/>
      <c r="G286" s="537"/>
      <c r="H286" s="544"/>
      <c r="I286" s="534"/>
      <c r="J286" s="89"/>
      <c r="K286" s="7"/>
    </row>
    <row r="287" spans="1:11" ht="16.350000000000001" customHeight="1" x14ac:dyDescent="0.2">
      <c r="A287" s="546"/>
      <c r="B287" s="548"/>
      <c r="C287" s="551"/>
      <c r="D287" s="548"/>
      <c r="E287" s="548"/>
      <c r="F287" s="389"/>
      <c r="G287" s="538"/>
      <c r="H287" s="545"/>
      <c r="I287" s="389"/>
      <c r="J287" s="89"/>
      <c r="K287" s="7"/>
    </row>
    <row r="400" spans="5:5" x14ac:dyDescent="0.2">
      <c r="E400" s="92" t="s">
        <v>528</v>
      </c>
    </row>
    <row r="401" spans="5:5" x14ac:dyDescent="0.2">
      <c r="E401" s="92" t="s">
        <v>511</v>
      </c>
    </row>
    <row r="402" spans="5:5" x14ac:dyDescent="0.2">
      <c r="E402" s="92" t="s">
        <v>515</v>
      </c>
    </row>
    <row r="403" spans="5:5" x14ac:dyDescent="0.2">
      <c r="E403" s="92" t="s">
        <v>505</v>
      </c>
    </row>
    <row r="404" spans="5:5" x14ac:dyDescent="0.2">
      <c r="E404" s="92" t="s">
        <v>507</v>
      </c>
    </row>
  </sheetData>
  <mergeCells count="419">
    <mergeCell ref="H261:H263"/>
    <mergeCell ref="H264:H266"/>
    <mergeCell ref="H267:H269"/>
    <mergeCell ref="H270:H272"/>
    <mergeCell ref="H273:H275"/>
    <mergeCell ref="H276:H278"/>
    <mergeCell ref="H279:H281"/>
    <mergeCell ref="H282:H284"/>
    <mergeCell ref="H285:H287"/>
    <mergeCell ref="F120:F122"/>
    <mergeCell ref="G120:G122"/>
    <mergeCell ref="H120:H122"/>
    <mergeCell ref="I120:I122"/>
    <mergeCell ref="B45:B86"/>
    <mergeCell ref="C45:C86"/>
    <mergeCell ref="H51:H53"/>
    <mergeCell ref="I51:I53"/>
    <mergeCell ref="H54:H56"/>
    <mergeCell ref="I54:I56"/>
    <mergeCell ref="B87:B131"/>
    <mergeCell ref="C87:C131"/>
    <mergeCell ref="D87:D131"/>
    <mergeCell ref="E87:E131"/>
    <mergeCell ref="F93:F95"/>
    <mergeCell ref="G93:G95"/>
    <mergeCell ref="F99:F101"/>
    <mergeCell ref="G99:G101"/>
    <mergeCell ref="H99:H101"/>
    <mergeCell ref="I99:I101"/>
    <mergeCell ref="G108:G110"/>
    <mergeCell ref="H108:H110"/>
    <mergeCell ref="I108:I110"/>
    <mergeCell ref="F111:F113"/>
    <mergeCell ref="D45:D86"/>
    <mergeCell ref="E45:E86"/>
    <mergeCell ref="F45:F47"/>
    <mergeCell ref="G45:G47"/>
    <mergeCell ref="F60:F62"/>
    <mergeCell ref="G60:G62"/>
    <mergeCell ref="F69:F71"/>
    <mergeCell ref="G69:G71"/>
    <mergeCell ref="F15:F17"/>
    <mergeCell ref="G15:G17"/>
    <mergeCell ref="G21:G23"/>
    <mergeCell ref="F42:F44"/>
    <mergeCell ref="G42:G44"/>
    <mergeCell ref="F51:F53"/>
    <mergeCell ref="G51:G53"/>
    <mergeCell ref="F78:F80"/>
    <mergeCell ref="G78:G80"/>
    <mergeCell ref="F66:F68"/>
    <mergeCell ref="G66:G68"/>
    <mergeCell ref="F54:F56"/>
    <mergeCell ref="G54:G56"/>
    <mergeCell ref="F81:F83"/>
    <mergeCell ref="G81:G83"/>
    <mergeCell ref="B3:B44"/>
    <mergeCell ref="C3:C44"/>
    <mergeCell ref="D3:D44"/>
    <mergeCell ref="E3:E44"/>
    <mergeCell ref="F3:F5"/>
    <mergeCell ref="F9:F11"/>
    <mergeCell ref="H9:H11"/>
    <mergeCell ref="I9:I11"/>
    <mergeCell ref="F12:F14"/>
    <mergeCell ref="G12:G14"/>
    <mergeCell ref="H12:H14"/>
    <mergeCell ref="I12:I14"/>
    <mergeCell ref="F24:F26"/>
    <mergeCell ref="G24:G26"/>
    <mergeCell ref="H24:H26"/>
    <mergeCell ref="I24:I26"/>
    <mergeCell ref="H42:H44"/>
    <mergeCell ref="G9:G11"/>
    <mergeCell ref="H87:H89"/>
    <mergeCell ref="I87:I89"/>
    <mergeCell ref="F90:F92"/>
    <mergeCell ref="G90:G92"/>
    <mergeCell ref="H90:H92"/>
    <mergeCell ref="I90:I92"/>
    <mergeCell ref="F87:F89"/>
    <mergeCell ref="G87:G89"/>
    <mergeCell ref="H66:H68"/>
    <mergeCell ref="I66:I68"/>
    <mergeCell ref="I84:I86"/>
    <mergeCell ref="F72:F74"/>
    <mergeCell ref="G72:G74"/>
    <mergeCell ref="H72:H74"/>
    <mergeCell ref="I72:I74"/>
    <mergeCell ref="F75:F77"/>
    <mergeCell ref="G75:G77"/>
    <mergeCell ref="H75:H77"/>
    <mergeCell ref="I75:I77"/>
    <mergeCell ref="H78:H80"/>
    <mergeCell ref="I78:I80"/>
    <mergeCell ref="H93:H95"/>
    <mergeCell ref="I93:I95"/>
    <mergeCell ref="F96:F98"/>
    <mergeCell ref="G96:G98"/>
    <mergeCell ref="H96:H98"/>
    <mergeCell ref="I96:I98"/>
    <mergeCell ref="H132:H134"/>
    <mergeCell ref="I132:I134"/>
    <mergeCell ref="F135:F137"/>
    <mergeCell ref="G135:G137"/>
    <mergeCell ref="H135:H137"/>
    <mergeCell ref="I135:I137"/>
    <mergeCell ref="I126:I128"/>
    <mergeCell ref="G111:G113"/>
    <mergeCell ref="H111:H113"/>
    <mergeCell ref="I111:I113"/>
    <mergeCell ref="F114:F116"/>
    <mergeCell ref="G114:G116"/>
    <mergeCell ref="H114:H116"/>
    <mergeCell ref="I114:I116"/>
    <mergeCell ref="G117:G119"/>
    <mergeCell ref="H117:H119"/>
    <mergeCell ref="I117:I119"/>
    <mergeCell ref="F126:F128"/>
    <mergeCell ref="G126:G128"/>
    <mergeCell ref="H126:H128"/>
    <mergeCell ref="F123:F125"/>
    <mergeCell ref="G123:G125"/>
    <mergeCell ref="H123:H125"/>
    <mergeCell ref="I123:I125"/>
    <mergeCell ref="B132:B149"/>
    <mergeCell ref="C132:C149"/>
    <mergeCell ref="D132:D149"/>
    <mergeCell ref="E132:E149"/>
    <mergeCell ref="F132:F134"/>
    <mergeCell ref="G132:G134"/>
    <mergeCell ref="F138:F140"/>
    <mergeCell ref="G138:G140"/>
    <mergeCell ref="F144:F146"/>
    <mergeCell ref="G144:G146"/>
    <mergeCell ref="H144:H146"/>
    <mergeCell ref="I144:I146"/>
    <mergeCell ref="F147:F149"/>
    <mergeCell ref="G147:G149"/>
    <mergeCell ref="H147:H149"/>
    <mergeCell ref="I147:I149"/>
    <mergeCell ref="H138:H140"/>
    <mergeCell ref="I138:I140"/>
    <mergeCell ref="F141:F143"/>
    <mergeCell ref="G141:G143"/>
    <mergeCell ref="H141:H143"/>
    <mergeCell ref="I141:I143"/>
    <mergeCell ref="H150:H152"/>
    <mergeCell ref="I150:I152"/>
    <mergeCell ref="F153:F155"/>
    <mergeCell ref="G153:G155"/>
    <mergeCell ref="H153:H155"/>
    <mergeCell ref="I153:I155"/>
    <mergeCell ref="B150:B167"/>
    <mergeCell ref="C150:C167"/>
    <mergeCell ref="D150:D167"/>
    <mergeCell ref="E150:E167"/>
    <mergeCell ref="F150:F152"/>
    <mergeCell ref="G150:G152"/>
    <mergeCell ref="F156:F158"/>
    <mergeCell ref="G156:G158"/>
    <mergeCell ref="F162:F164"/>
    <mergeCell ref="G162:G164"/>
    <mergeCell ref="H162:H164"/>
    <mergeCell ref="I162:I164"/>
    <mergeCell ref="F165:F167"/>
    <mergeCell ref="G165:G167"/>
    <mergeCell ref="H165:H167"/>
    <mergeCell ref="I165:I167"/>
    <mergeCell ref="H156:H158"/>
    <mergeCell ref="I156:I158"/>
    <mergeCell ref="F159:F161"/>
    <mergeCell ref="G159:G161"/>
    <mergeCell ref="H159:H161"/>
    <mergeCell ref="I159:I161"/>
    <mergeCell ref="H168:H170"/>
    <mergeCell ref="I168:I170"/>
    <mergeCell ref="F171:F173"/>
    <mergeCell ref="G171:G173"/>
    <mergeCell ref="H171:H173"/>
    <mergeCell ref="I171:I173"/>
    <mergeCell ref="B168:B185"/>
    <mergeCell ref="C168:C185"/>
    <mergeCell ref="D168:D185"/>
    <mergeCell ref="E168:E185"/>
    <mergeCell ref="F168:F170"/>
    <mergeCell ref="G168:G170"/>
    <mergeCell ref="F174:F176"/>
    <mergeCell ref="G174:G176"/>
    <mergeCell ref="F180:F182"/>
    <mergeCell ref="G180:G182"/>
    <mergeCell ref="H180:H182"/>
    <mergeCell ref="I180:I182"/>
    <mergeCell ref="F183:F185"/>
    <mergeCell ref="G183:G185"/>
    <mergeCell ref="H183:H185"/>
    <mergeCell ref="I183:I185"/>
    <mergeCell ref="H174:H176"/>
    <mergeCell ref="I174:I176"/>
    <mergeCell ref="F177:F179"/>
    <mergeCell ref="G177:G179"/>
    <mergeCell ref="H177:H179"/>
    <mergeCell ref="I177:I179"/>
    <mergeCell ref="H186:H188"/>
    <mergeCell ref="I186:I188"/>
    <mergeCell ref="F189:F191"/>
    <mergeCell ref="G189:G191"/>
    <mergeCell ref="H189:H191"/>
    <mergeCell ref="I189:I191"/>
    <mergeCell ref="B186:B203"/>
    <mergeCell ref="C186:C203"/>
    <mergeCell ref="D186:D203"/>
    <mergeCell ref="E186:E203"/>
    <mergeCell ref="F186:F188"/>
    <mergeCell ref="G186:G188"/>
    <mergeCell ref="F192:F194"/>
    <mergeCell ref="G192:G194"/>
    <mergeCell ref="F198:F200"/>
    <mergeCell ref="G198:G200"/>
    <mergeCell ref="H198:H200"/>
    <mergeCell ref="I198:I200"/>
    <mergeCell ref="F201:F203"/>
    <mergeCell ref="G201:G203"/>
    <mergeCell ref="H201:H203"/>
    <mergeCell ref="I201:I203"/>
    <mergeCell ref="H192:H194"/>
    <mergeCell ref="I192:I194"/>
    <mergeCell ref="F195:F197"/>
    <mergeCell ref="G195:G197"/>
    <mergeCell ref="H195:H197"/>
    <mergeCell ref="I195:I197"/>
    <mergeCell ref="H225:H227"/>
    <mergeCell ref="I225:I227"/>
    <mergeCell ref="H204:H206"/>
    <mergeCell ref="I204:I206"/>
    <mergeCell ref="F207:F209"/>
    <mergeCell ref="G207:G209"/>
    <mergeCell ref="H207:H209"/>
    <mergeCell ref="I207:I209"/>
    <mergeCell ref="F204:F206"/>
    <mergeCell ref="G204:G206"/>
    <mergeCell ref="F210:F212"/>
    <mergeCell ref="G210:G212"/>
    <mergeCell ref="F216:F218"/>
    <mergeCell ref="G216:G218"/>
    <mergeCell ref="G225:G227"/>
    <mergeCell ref="B204:B239"/>
    <mergeCell ref="C204:C239"/>
    <mergeCell ref="D204:D239"/>
    <mergeCell ref="E204:E239"/>
    <mergeCell ref="H216:H218"/>
    <mergeCell ref="I216:I218"/>
    <mergeCell ref="F219:F221"/>
    <mergeCell ref="G219:G221"/>
    <mergeCell ref="H219:H221"/>
    <mergeCell ref="I219:I221"/>
    <mergeCell ref="H210:H212"/>
    <mergeCell ref="I210:I212"/>
    <mergeCell ref="F213:F215"/>
    <mergeCell ref="G213:G215"/>
    <mergeCell ref="H213:H215"/>
    <mergeCell ref="I213:I215"/>
    <mergeCell ref="F222:F224"/>
    <mergeCell ref="G222:G224"/>
    <mergeCell ref="F228:F230"/>
    <mergeCell ref="G228:G230"/>
    <mergeCell ref="F234:F236"/>
    <mergeCell ref="G234:G236"/>
    <mergeCell ref="F237:F239"/>
    <mergeCell ref="G237:G239"/>
    <mergeCell ref="C240:C287"/>
    <mergeCell ref="D240:D287"/>
    <mergeCell ref="E240:E287"/>
    <mergeCell ref="F240:F242"/>
    <mergeCell ref="G249:G251"/>
    <mergeCell ref="F246:F248"/>
    <mergeCell ref="G264:G266"/>
    <mergeCell ref="F252:F254"/>
    <mergeCell ref="G243:G245"/>
    <mergeCell ref="G246:G248"/>
    <mergeCell ref="F285:F287"/>
    <mergeCell ref="G285:G287"/>
    <mergeCell ref="G240:G242"/>
    <mergeCell ref="F243:F245"/>
    <mergeCell ref="G252:G254"/>
    <mergeCell ref="G255:G257"/>
    <mergeCell ref="A3:A287"/>
    <mergeCell ref="F102:F104"/>
    <mergeCell ref="G102:G104"/>
    <mergeCell ref="H102:H104"/>
    <mergeCell ref="I102:I104"/>
    <mergeCell ref="F105:F107"/>
    <mergeCell ref="G105:G107"/>
    <mergeCell ref="H105:H107"/>
    <mergeCell ref="I105:I107"/>
    <mergeCell ref="F108:F110"/>
    <mergeCell ref="I252:I254"/>
    <mergeCell ref="F258:F260"/>
    <mergeCell ref="G258:G260"/>
    <mergeCell ref="I258:I260"/>
    <mergeCell ref="F261:F263"/>
    <mergeCell ref="I261:I263"/>
    <mergeCell ref="F264:F266"/>
    <mergeCell ref="I276:I278"/>
    <mergeCell ref="F267:F269"/>
    <mergeCell ref="G267:G269"/>
    <mergeCell ref="G261:G263"/>
    <mergeCell ref="I264:I266"/>
    <mergeCell ref="F255:F257"/>
    <mergeCell ref="B240:B287"/>
    <mergeCell ref="H237:H239"/>
    <mergeCell ref="I237:I239"/>
    <mergeCell ref="H228:H230"/>
    <mergeCell ref="I285:I287"/>
    <mergeCell ref="F279:F281"/>
    <mergeCell ref="G279:G281"/>
    <mergeCell ref="I279:I281"/>
    <mergeCell ref="F282:F284"/>
    <mergeCell ref="G282:G284"/>
    <mergeCell ref="I282:I284"/>
    <mergeCell ref="I255:I257"/>
    <mergeCell ref="I246:I248"/>
    <mergeCell ref="F249:F251"/>
    <mergeCell ref="F273:F275"/>
    <mergeCell ref="G273:G275"/>
    <mergeCell ref="I249:I251"/>
    <mergeCell ref="I228:I230"/>
    <mergeCell ref="H240:H242"/>
    <mergeCell ref="H243:H245"/>
    <mergeCell ref="H246:H248"/>
    <mergeCell ref="H249:H251"/>
    <mergeCell ref="H252:H254"/>
    <mergeCell ref="H255:H257"/>
    <mergeCell ref="H258:H260"/>
    <mergeCell ref="I273:I275"/>
    <mergeCell ref="F276:F278"/>
    <mergeCell ref="G276:G278"/>
    <mergeCell ref="I21:I23"/>
    <mergeCell ref="G33:G35"/>
    <mergeCell ref="H33:H35"/>
    <mergeCell ref="I240:I242"/>
    <mergeCell ref="I243:I245"/>
    <mergeCell ref="F129:F131"/>
    <mergeCell ref="G129:G131"/>
    <mergeCell ref="H129:H131"/>
    <mergeCell ref="I129:I131"/>
    <mergeCell ref="F117:F119"/>
    <mergeCell ref="F231:F233"/>
    <mergeCell ref="G231:G233"/>
    <mergeCell ref="H231:H233"/>
    <mergeCell ref="I231:I233"/>
    <mergeCell ref="H222:H224"/>
    <mergeCell ref="I222:I224"/>
    <mergeCell ref="F225:F227"/>
    <mergeCell ref="I267:I269"/>
    <mergeCell ref="F270:F272"/>
    <mergeCell ref="G270:G272"/>
    <mergeCell ref="I270:I272"/>
    <mergeCell ref="H234:H236"/>
    <mergeCell ref="I234:I236"/>
    <mergeCell ref="H18:H20"/>
    <mergeCell ref="I18:I20"/>
    <mergeCell ref="F33:F35"/>
    <mergeCell ref="I30:I32"/>
    <mergeCell ref="F21:F23"/>
    <mergeCell ref="H69:H71"/>
    <mergeCell ref="I69:I71"/>
    <mergeCell ref="H60:H62"/>
    <mergeCell ref="I60:I62"/>
    <mergeCell ref="F63:F65"/>
    <mergeCell ref="G63:G65"/>
    <mergeCell ref="H63:H65"/>
    <mergeCell ref="I63:I65"/>
    <mergeCell ref="H45:H47"/>
    <mergeCell ref="I45:I47"/>
    <mergeCell ref="F48:F50"/>
    <mergeCell ref="G48:G50"/>
    <mergeCell ref="H48:H50"/>
    <mergeCell ref="I48:I50"/>
    <mergeCell ref="F57:F59"/>
    <mergeCell ref="G57:G59"/>
    <mergeCell ref="H57:H59"/>
    <mergeCell ref="I57:I59"/>
    <mergeCell ref="H21:H23"/>
    <mergeCell ref="I33:I35"/>
    <mergeCell ref="F36:F38"/>
    <mergeCell ref="G36:G38"/>
    <mergeCell ref="H81:H83"/>
    <mergeCell ref="I81:I83"/>
    <mergeCell ref="F84:F86"/>
    <mergeCell ref="G84:G86"/>
    <mergeCell ref="H84:H86"/>
    <mergeCell ref="I42:I44"/>
    <mergeCell ref="H36:H38"/>
    <mergeCell ref="I36:I38"/>
    <mergeCell ref="L133:L135"/>
    <mergeCell ref="D1:K1"/>
    <mergeCell ref="F39:F41"/>
    <mergeCell ref="G39:G41"/>
    <mergeCell ref="H39:H41"/>
    <mergeCell ref="I39:I41"/>
    <mergeCell ref="F27:F29"/>
    <mergeCell ref="G27:G29"/>
    <mergeCell ref="H27:H29"/>
    <mergeCell ref="I27:I29"/>
    <mergeCell ref="F30:F32"/>
    <mergeCell ref="G30:G32"/>
    <mergeCell ref="H30:H32"/>
    <mergeCell ref="H15:H17"/>
    <mergeCell ref="I15:I17"/>
    <mergeCell ref="F18:F20"/>
    <mergeCell ref="G18:G20"/>
    <mergeCell ref="G3:G5"/>
    <mergeCell ref="H3:H5"/>
    <mergeCell ref="I3:I5"/>
    <mergeCell ref="F6:F8"/>
    <mergeCell ref="G6:G8"/>
    <mergeCell ref="H6:H8"/>
    <mergeCell ref="I6:I8"/>
  </mergeCells>
  <phoneticPr fontId="14" type="noConversion"/>
  <dataValidations count="1">
    <dataValidation type="list" allowBlank="1" showInputMessage="1" showErrorMessage="1" sqref="H252 H255 E240:E287 E3:E204 H3:H240 H243 H246 H249 G255:G257 H258 H261 H264 H267 H270 H273 H276 H279 H282 H285" xr:uid="{B4A20150-34BD-9049-A2E2-CA7A93605DD8}">
      <formula1>$E$400:$E$404</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5548-93D3-2A4B-B411-D8C15D80AC32}">
  <sheetPr>
    <tabColor theme="4"/>
  </sheetPr>
  <dimension ref="A1:M371"/>
  <sheetViews>
    <sheetView showGridLines="0" topLeftCell="A11" zoomScale="125" workbookViewId="0">
      <selection activeCell="C3" sqref="C3:C20"/>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32.28515625" style="15" customWidth="1"/>
    <col min="10" max="10" width="9.7109375" style="15" hidden="1" customWidth="1"/>
    <col min="11" max="11" width="45.140625" style="3" hidden="1" customWidth="1"/>
    <col min="12" max="12" width="12" style="14" customWidth="1"/>
    <col min="13" max="13" width="36.28515625" style="14" customWidth="1"/>
    <col min="14"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3" ht="30" customHeight="1" x14ac:dyDescent="0.2">
      <c r="A1" s="18"/>
      <c r="B1" s="18"/>
      <c r="C1" s="19"/>
      <c r="D1" s="19"/>
      <c r="E1" s="19"/>
      <c r="F1" s="19"/>
      <c r="G1" s="19"/>
      <c r="H1" s="19"/>
      <c r="I1" s="19"/>
      <c r="J1" s="19"/>
    </row>
    <row r="2" spans="1:13"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3" x14ac:dyDescent="0.2">
      <c r="A3" s="354" t="s">
        <v>3877</v>
      </c>
      <c r="B3" s="275" t="s">
        <v>3878</v>
      </c>
      <c r="C3" s="570" t="s">
        <v>4338</v>
      </c>
      <c r="D3" s="275"/>
      <c r="E3" s="275"/>
      <c r="F3" s="288" t="s">
        <v>3879</v>
      </c>
      <c r="G3" s="569" t="s">
        <v>4484</v>
      </c>
      <c r="H3" s="272"/>
      <c r="I3" s="272"/>
      <c r="J3" s="109" t="s">
        <v>3880</v>
      </c>
      <c r="K3" s="7"/>
      <c r="M3" s="117"/>
    </row>
    <row r="4" spans="1:13" x14ac:dyDescent="0.2">
      <c r="A4" s="288"/>
      <c r="B4" s="275"/>
      <c r="C4" s="275"/>
      <c r="D4" s="275"/>
      <c r="E4" s="275"/>
      <c r="F4" s="288"/>
      <c r="G4" s="272"/>
      <c r="H4" s="272"/>
      <c r="I4" s="272"/>
      <c r="J4" s="109" t="s">
        <v>3881</v>
      </c>
      <c r="K4" s="7"/>
      <c r="M4" s="127"/>
    </row>
    <row r="5" spans="1:13" x14ac:dyDescent="0.2">
      <c r="A5" s="273"/>
      <c r="B5" s="276"/>
      <c r="C5" s="276"/>
      <c r="D5" s="276"/>
      <c r="E5" s="276"/>
      <c r="F5" s="273"/>
      <c r="G5" s="273"/>
      <c r="H5" s="273"/>
      <c r="I5" s="273"/>
      <c r="J5" s="109" t="s">
        <v>3882</v>
      </c>
      <c r="K5" s="7"/>
      <c r="M5" s="117"/>
    </row>
    <row r="6" spans="1:13" ht="15" customHeight="1" x14ac:dyDescent="0.2">
      <c r="A6" s="273"/>
      <c r="B6" s="276"/>
      <c r="C6" s="276"/>
      <c r="D6" s="276"/>
      <c r="E6" s="276"/>
      <c r="F6" s="288" t="s">
        <v>3883</v>
      </c>
      <c r="G6" s="354" t="s">
        <v>3862</v>
      </c>
      <c r="H6" s="272"/>
      <c r="I6" s="289"/>
      <c r="J6" s="109" t="s">
        <v>3884</v>
      </c>
      <c r="K6" s="7"/>
      <c r="M6" s="117"/>
    </row>
    <row r="7" spans="1:13" ht="15" customHeight="1" x14ac:dyDescent="0.2">
      <c r="A7" s="273"/>
      <c r="B7" s="276"/>
      <c r="C7" s="276"/>
      <c r="D7" s="276"/>
      <c r="E7" s="276"/>
      <c r="F7" s="288"/>
      <c r="G7" s="289"/>
      <c r="H7" s="272"/>
      <c r="I7" s="289"/>
      <c r="J7" s="109" t="s">
        <v>3885</v>
      </c>
      <c r="K7" s="7"/>
      <c r="M7" s="117"/>
    </row>
    <row r="8" spans="1:13" x14ac:dyDescent="0.2">
      <c r="A8" s="273"/>
      <c r="B8" s="276"/>
      <c r="C8" s="276"/>
      <c r="D8" s="276"/>
      <c r="E8" s="276"/>
      <c r="F8" s="273"/>
      <c r="G8" s="273"/>
      <c r="H8" s="273"/>
      <c r="I8" s="273"/>
      <c r="J8" s="109" t="s">
        <v>3886</v>
      </c>
      <c r="K8" s="7"/>
      <c r="M8" s="117"/>
    </row>
    <row r="9" spans="1:13" ht="15" customHeight="1" x14ac:dyDescent="0.2">
      <c r="A9" s="273"/>
      <c r="B9" s="276"/>
      <c r="C9" s="276"/>
      <c r="D9" s="276"/>
      <c r="E9" s="276"/>
      <c r="F9" s="288" t="s">
        <v>3887</v>
      </c>
      <c r="G9" s="354" t="s">
        <v>3863</v>
      </c>
      <c r="H9" s="272"/>
      <c r="I9" s="272"/>
      <c r="J9" s="26"/>
      <c r="K9" s="7"/>
      <c r="M9" s="127" t="s">
        <v>4328</v>
      </c>
    </row>
    <row r="10" spans="1:13" ht="15" customHeight="1" x14ac:dyDescent="0.2">
      <c r="A10" s="273"/>
      <c r="B10" s="276"/>
      <c r="C10" s="276"/>
      <c r="D10" s="276"/>
      <c r="E10" s="276"/>
      <c r="F10" s="288"/>
      <c r="G10" s="272"/>
      <c r="H10" s="272"/>
      <c r="I10" s="272"/>
      <c r="J10" s="26"/>
      <c r="K10" s="7"/>
      <c r="M10" s="127" t="s">
        <v>4356</v>
      </c>
    </row>
    <row r="11" spans="1:13" x14ac:dyDescent="0.2">
      <c r="A11" s="273"/>
      <c r="B11" s="276"/>
      <c r="C11" s="276"/>
      <c r="D11" s="276"/>
      <c r="E11" s="276"/>
      <c r="F11" s="273"/>
      <c r="G11" s="273"/>
      <c r="H11" s="273"/>
      <c r="I11" s="273"/>
      <c r="J11" s="89"/>
      <c r="K11" s="7"/>
      <c r="M11" s="127" t="s">
        <v>4330</v>
      </c>
    </row>
    <row r="12" spans="1:13" ht="15" customHeight="1" x14ac:dyDescent="0.2">
      <c r="A12" s="273"/>
      <c r="B12" s="276"/>
      <c r="C12" s="276"/>
      <c r="D12" s="276"/>
      <c r="E12" s="276"/>
      <c r="F12" s="288" t="s">
        <v>3888</v>
      </c>
      <c r="G12" s="272"/>
      <c r="H12" s="272"/>
      <c r="I12" s="272"/>
      <c r="J12" s="26"/>
      <c r="K12" s="7"/>
      <c r="M12" s="127" t="s">
        <v>4485</v>
      </c>
    </row>
    <row r="13" spans="1:13" ht="15" customHeight="1" x14ac:dyDescent="0.2">
      <c r="A13" s="273"/>
      <c r="B13" s="276"/>
      <c r="C13" s="276"/>
      <c r="D13" s="276"/>
      <c r="E13" s="276"/>
      <c r="F13" s="288"/>
      <c r="G13" s="272"/>
      <c r="H13" s="272"/>
      <c r="I13" s="272"/>
      <c r="J13" s="26"/>
      <c r="K13" s="7"/>
      <c r="M13" s="127" t="s">
        <v>4331</v>
      </c>
    </row>
    <row r="14" spans="1:13" ht="38.25" x14ac:dyDescent="0.2">
      <c r="A14" s="273"/>
      <c r="B14" s="276"/>
      <c r="C14" s="276"/>
      <c r="D14" s="276"/>
      <c r="E14" s="276"/>
      <c r="F14" s="273"/>
      <c r="G14" s="273"/>
      <c r="H14" s="273"/>
      <c r="I14" s="273"/>
      <c r="J14" s="89"/>
      <c r="K14" s="7"/>
      <c r="M14" s="127" t="s">
        <v>4486</v>
      </c>
    </row>
    <row r="15" spans="1:13" ht="15" customHeight="1" x14ac:dyDescent="0.2">
      <c r="A15" s="273"/>
      <c r="B15" s="276"/>
      <c r="C15" s="276"/>
      <c r="D15" s="276"/>
      <c r="E15" s="276"/>
      <c r="F15" s="288" t="s">
        <v>3889</v>
      </c>
      <c r="G15" s="272"/>
      <c r="H15" s="272"/>
      <c r="I15" s="272"/>
      <c r="J15" s="26"/>
      <c r="K15" s="7"/>
      <c r="M15" s="127" t="s">
        <v>4341</v>
      </c>
    </row>
    <row r="16" spans="1:13"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3890</v>
      </c>
      <c r="G18" s="272"/>
      <c r="H18" s="272"/>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3891</v>
      </c>
      <c r="C21" s="277" t="s">
        <v>842</v>
      </c>
      <c r="D21" s="277"/>
      <c r="E21" s="277"/>
      <c r="F21" s="288" t="s">
        <v>3892</v>
      </c>
      <c r="G21" s="354" t="s">
        <v>3864</v>
      </c>
      <c r="H21" s="272"/>
      <c r="I21" s="289"/>
      <c r="J21" s="39"/>
      <c r="K21" s="7"/>
    </row>
    <row r="22" spans="1:11" x14ac:dyDescent="0.2">
      <c r="A22" s="273"/>
      <c r="B22" s="278"/>
      <c r="C22" s="278"/>
      <c r="D22" s="278"/>
      <c r="E22" s="278"/>
      <c r="F22" s="288"/>
      <c r="G22" s="289"/>
      <c r="H22" s="272"/>
      <c r="I22" s="289"/>
      <c r="J22" s="39"/>
      <c r="K22" s="7"/>
    </row>
    <row r="23" spans="1:11" x14ac:dyDescent="0.2">
      <c r="A23" s="273"/>
      <c r="B23" s="279"/>
      <c r="C23" s="279"/>
      <c r="D23" s="279"/>
      <c r="E23" s="279"/>
      <c r="F23" s="273"/>
      <c r="G23" s="273"/>
      <c r="H23" s="273"/>
      <c r="I23" s="273"/>
      <c r="J23" s="89"/>
      <c r="K23" s="7"/>
    </row>
    <row r="24" spans="1:11" ht="15" customHeight="1" x14ac:dyDescent="0.2">
      <c r="A24" s="273"/>
      <c r="B24" s="279"/>
      <c r="C24" s="279"/>
      <c r="D24" s="279"/>
      <c r="E24" s="279"/>
      <c r="F24" s="288" t="s">
        <v>3893</v>
      </c>
      <c r="G24" s="354" t="s">
        <v>3865</v>
      </c>
      <c r="H24" s="272"/>
      <c r="I24" s="272"/>
      <c r="J24" s="26"/>
      <c r="K24" s="7"/>
    </row>
    <row r="25" spans="1:11" ht="15" customHeight="1" x14ac:dyDescent="0.2">
      <c r="A25" s="273"/>
      <c r="B25" s="279"/>
      <c r="C25" s="279"/>
      <c r="D25" s="279"/>
      <c r="E25" s="279"/>
      <c r="F25" s="288"/>
      <c r="G25" s="272"/>
      <c r="H25" s="272"/>
      <c r="I25" s="272"/>
      <c r="J25" s="26"/>
      <c r="K25" s="7"/>
    </row>
    <row r="26" spans="1:11" x14ac:dyDescent="0.2">
      <c r="A26" s="273"/>
      <c r="B26" s="279"/>
      <c r="C26" s="279"/>
      <c r="D26" s="279"/>
      <c r="E26" s="279"/>
      <c r="F26" s="273"/>
      <c r="G26" s="273"/>
      <c r="H26" s="273"/>
      <c r="I26" s="273"/>
      <c r="J26" s="89"/>
      <c r="K26" s="7"/>
    </row>
    <row r="27" spans="1:11" x14ac:dyDescent="0.2">
      <c r="A27" s="273"/>
      <c r="B27" s="279"/>
      <c r="C27" s="279"/>
      <c r="D27" s="279"/>
      <c r="E27" s="279"/>
      <c r="F27" s="288" t="s">
        <v>3894</v>
      </c>
      <c r="G27" s="354" t="s">
        <v>3866</v>
      </c>
      <c r="H27" s="272"/>
      <c r="I27" s="272"/>
      <c r="J27" s="26"/>
      <c r="K27" s="7"/>
    </row>
    <row r="28" spans="1:11" x14ac:dyDescent="0.2">
      <c r="A28" s="273"/>
      <c r="B28" s="279"/>
      <c r="C28" s="279"/>
      <c r="D28" s="279"/>
      <c r="E28" s="279"/>
      <c r="F28" s="288"/>
      <c r="G28" s="272"/>
      <c r="H28" s="272"/>
      <c r="I28" s="272"/>
      <c r="J28" s="26"/>
      <c r="K28" s="7"/>
    </row>
    <row r="29" spans="1:11" x14ac:dyDescent="0.2">
      <c r="A29" s="273"/>
      <c r="B29" s="279"/>
      <c r="C29" s="279"/>
      <c r="D29" s="279"/>
      <c r="E29" s="279"/>
      <c r="F29" s="273"/>
      <c r="G29" s="273"/>
      <c r="H29" s="273"/>
      <c r="I29" s="273"/>
      <c r="J29" s="89"/>
      <c r="K29" s="7"/>
    </row>
    <row r="30" spans="1:11" x14ac:dyDescent="0.2">
      <c r="A30" s="273"/>
      <c r="B30" s="279"/>
      <c r="C30" s="279"/>
      <c r="D30" s="279"/>
      <c r="E30" s="279"/>
      <c r="F30" s="288" t="s">
        <v>3895</v>
      </c>
      <c r="G30" s="354" t="s">
        <v>3867</v>
      </c>
      <c r="H30" s="272"/>
      <c r="I30" s="289"/>
      <c r="J30" s="39"/>
      <c r="K30" s="7"/>
    </row>
    <row r="31" spans="1:11" x14ac:dyDescent="0.2">
      <c r="A31" s="273"/>
      <c r="B31" s="279"/>
      <c r="C31" s="279"/>
      <c r="D31" s="279"/>
      <c r="E31" s="279"/>
      <c r="F31" s="288"/>
      <c r="G31" s="289"/>
      <c r="H31" s="272"/>
      <c r="I31" s="289"/>
      <c r="J31" s="39"/>
      <c r="K31" s="7"/>
    </row>
    <row r="32" spans="1:11" x14ac:dyDescent="0.2">
      <c r="A32" s="273"/>
      <c r="B32" s="279"/>
      <c r="C32" s="279"/>
      <c r="D32" s="279"/>
      <c r="E32" s="279"/>
      <c r="F32" s="273"/>
      <c r="G32" s="273"/>
      <c r="H32" s="273"/>
      <c r="I32" s="273"/>
      <c r="J32" s="89"/>
      <c r="K32" s="37"/>
    </row>
    <row r="33" spans="1:11" x14ac:dyDescent="0.2">
      <c r="A33" s="273"/>
      <c r="B33" s="279"/>
      <c r="C33" s="279"/>
      <c r="D33" s="279"/>
      <c r="E33" s="279"/>
      <c r="F33" s="288" t="s">
        <v>3896</v>
      </c>
      <c r="G33" s="569" t="s">
        <v>4487</v>
      </c>
      <c r="H33" s="272"/>
      <c r="I33" s="272"/>
      <c r="J33" s="26"/>
      <c r="K33" s="37"/>
    </row>
    <row r="34" spans="1:11" x14ac:dyDescent="0.2">
      <c r="A34" s="273"/>
      <c r="B34" s="279"/>
      <c r="C34" s="279"/>
      <c r="D34" s="279"/>
      <c r="E34" s="279"/>
      <c r="F34" s="288"/>
      <c r="G34" s="272"/>
      <c r="H34" s="272"/>
      <c r="I34" s="272"/>
      <c r="J34" s="26"/>
      <c r="K34" s="37"/>
    </row>
    <row r="35" spans="1:11" x14ac:dyDescent="0.2">
      <c r="A35" s="273"/>
      <c r="B35" s="279"/>
      <c r="C35" s="279"/>
      <c r="D35" s="279"/>
      <c r="E35" s="279"/>
      <c r="F35" s="273"/>
      <c r="G35" s="273"/>
      <c r="H35" s="273"/>
      <c r="I35" s="273"/>
      <c r="J35" s="89"/>
      <c r="K35" s="37"/>
    </row>
    <row r="36" spans="1:11" ht="15" customHeight="1" x14ac:dyDescent="0.25">
      <c r="A36" s="273"/>
      <c r="B36" s="279"/>
      <c r="C36" s="279"/>
      <c r="D36" s="279"/>
      <c r="E36" s="279"/>
      <c r="F36" s="288" t="s">
        <v>3897</v>
      </c>
      <c r="G36" s="569" t="s">
        <v>4383</v>
      </c>
      <c r="H36" s="272"/>
      <c r="I36" s="272"/>
      <c r="J36" s="26"/>
      <c r="K36" s="33"/>
    </row>
    <row r="37" spans="1:11" ht="15" customHeight="1" x14ac:dyDescent="0.25">
      <c r="A37" s="273"/>
      <c r="B37" s="279"/>
      <c r="C37" s="279"/>
      <c r="D37" s="279"/>
      <c r="E37" s="279"/>
      <c r="F37" s="288"/>
      <c r="G37" s="272"/>
      <c r="H37" s="272"/>
      <c r="I37" s="272"/>
      <c r="J37" s="26"/>
      <c r="K37" s="33"/>
    </row>
    <row r="38" spans="1:11" x14ac:dyDescent="0.25">
      <c r="A38" s="273"/>
      <c r="B38" s="279"/>
      <c r="C38" s="279"/>
      <c r="D38" s="279"/>
      <c r="E38" s="279"/>
      <c r="F38" s="273"/>
      <c r="G38" s="273"/>
      <c r="H38" s="273"/>
      <c r="I38" s="273"/>
      <c r="J38" s="89"/>
      <c r="K38" s="33"/>
    </row>
    <row r="39" spans="1:11" ht="15" customHeight="1" x14ac:dyDescent="0.25">
      <c r="A39" s="273"/>
      <c r="B39" s="279"/>
      <c r="C39" s="279"/>
      <c r="D39" s="279"/>
      <c r="E39" s="279"/>
      <c r="F39" s="288" t="s">
        <v>4375</v>
      </c>
      <c r="G39" s="569" t="s">
        <v>4384</v>
      </c>
      <c r="H39" s="272"/>
      <c r="I39" s="272"/>
      <c r="J39" s="26"/>
      <c r="K39" s="33"/>
    </row>
    <row r="40" spans="1:11" ht="15" customHeight="1" x14ac:dyDescent="0.25">
      <c r="A40" s="273"/>
      <c r="B40" s="279"/>
      <c r="C40" s="279"/>
      <c r="D40" s="279"/>
      <c r="E40" s="279"/>
      <c r="F40" s="288"/>
      <c r="G40" s="272"/>
      <c r="H40" s="272"/>
      <c r="I40" s="272"/>
      <c r="J40" s="26"/>
      <c r="K40" s="33"/>
    </row>
    <row r="41" spans="1:11" x14ac:dyDescent="0.25">
      <c r="A41" s="273"/>
      <c r="B41" s="279"/>
      <c r="C41" s="279"/>
      <c r="D41" s="279"/>
      <c r="E41" s="279"/>
      <c r="F41" s="273"/>
      <c r="G41" s="273"/>
      <c r="H41" s="273"/>
      <c r="I41" s="273"/>
      <c r="J41" s="89"/>
      <c r="K41" s="33"/>
    </row>
    <row r="42" spans="1:11" ht="15" customHeight="1" x14ac:dyDescent="0.25">
      <c r="A42" s="273"/>
      <c r="B42" s="279"/>
      <c r="C42" s="279"/>
      <c r="D42" s="279"/>
      <c r="E42" s="279"/>
      <c r="F42" s="288" t="s">
        <v>4376</v>
      </c>
      <c r="G42" s="569" t="s">
        <v>4385</v>
      </c>
      <c r="H42" s="272"/>
      <c r="I42" s="272"/>
      <c r="J42" s="26"/>
      <c r="K42" s="33"/>
    </row>
    <row r="43" spans="1:11" ht="15" customHeight="1" x14ac:dyDescent="0.25">
      <c r="A43" s="273"/>
      <c r="B43" s="279"/>
      <c r="C43" s="279"/>
      <c r="D43" s="279"/>
      <c r="E43" s="279"/>
      <c r="F43" s="288"/>
      <c r="G43" s="272"/>
      <c r="H43" s="272"/>
      <c r="I43" s="272"/>
      <c r="J43" s="26"/>
      <c r="K43" s="33"/>
    </row>
    <row r="44" spans="1:11" x14ac:dyDescent="0.25">
      <c r="A44" s="273"/>
      <c r="B44" s="279"/>
      <c r="C44" s="279"/>
      <c r="D44" s="279"/>
      <c r="E44" s="279"/>
      <c r="F44" s="273"/>
      <c r="G44" s="273"/>
      <c r="H44" s="273"/>
      <c r="I44" s="273"/>
      <c r="J44" s="89"/>
      <c r="K44" s="33"/>
    </row>
    <row r="45" spans="1:11" ht="15" customHeight="1" x14ac:dyDescent="0.25">
      <c r="A45" s="273"/>
      <c r="B45" s="279"/>
      <c r="C45" s="279"/>
      <c r="D45" s="279"/>
      <c r="E45" s="279"/>
      <c r="F45" s="288" t="s">
        <v>4377</v>
      </c>
      <c r="G45" s="272"/>
      <c r="H45" s="272"/>
      <c r="I45" s="272"/>
      <c r="J45" s="26"/>
      <c r="K45" s="33"/>
    </row>
    <row r="46" spans="1:11" ht="15" customHeight="1" x14ac:dyDescent="0.25">
      <c r="A46" s="273"/>
      <c r="B46" s="279"/>
      <c r="C46" s="279"/>
      <c r="D46" s="279"/>
      <c r="E46" s="279"/>
      <c r="F46" s="288"/>
      <c r="G46" s="272"/>
      <c r="H46" s="272"/>
      <c r="I46" s="272"/>
      <c r="J46" s="26"/>
      <c r="K46" s="33"/>
    </row>
    <row r="47" spans="1:11" x14ac:dyDescent="0.25">
      <c r="A47" s="273"/>
      <c r="B47" s="279"/>
      <c r="C47" s="279"/>
      <c r="D47" s="279"/>
      <c r="E47" s="279"/>
      <c r="F47" s="273"/>
      <c r="G47" s="273"/>
      <c r="H47" s="273"/>
      <c r="I47" s="273"/>
      <c r="J47" s="89"/>
      <c r="K47" s="33"/>
    </row>
    <row r="48" spans="1:11" ht="15" customHeight="1" x14ac:dyDescent="0.25">
      <c r="A48" s="273"/>
      <c r="B48" s="279"/>
      <c r="C48" s="279"/>
      <c r="D48" s="279"/>
      <c r="E48" s="279"/>
      <c r="F48" s="288" t="s">
        <v>4378</v>
      </c>
      <c r="G48" s="272"/>
      <c r="H48" s="272"/>
      <c r="I48" s="272"/>
      <c r="J48" s="26"/>
      <c r="K48" s="33"/>
    </row>
    <row r="49" spans="1:11" ht="15" customHeight="1" x14ac:dyDescent="0.25">
      <c r="A49" s="273"/>
      <c r="B49" s="279"/>
      <c r="C49" s="279"/>
      <c r="D49" s="279"/>
      <c r="E49" s="279"/>
      <c r="F49" s="288"/>
      <c r="G49" s="272"/>
      <c r="H49" s="272"/>
      <c r="I49" s="272"/>
      <c r="J49" s="26"/>
      <c r="K49" s="33"/>
    </row>
    <row r="50" spans="1:11" x14ac:dyDescent="0.25">
      <c r="A50" s="273"/>
      <c r="B50" s="279"/>
      <c r="C50" s="279"/>
      <c r="D50" s="279"/>
      <c r="E50" s="279"/>
      <c r="F50" s="273"/>
      <c r="G50" s="273"/>
      <c r="H50" s="273"/>
      <c r="I50" s="273"/>
      <c r="J50" s="89"/>
      <c r="K50" s="33"/>
    </row>
    <row r="51" spans="1:11" ht="15" customHeight="1" x14ac:dyDescent="0.25">
      <c r="A51" s="273"/>
      <c r="B51" s="279"/>
      <c r="C51" s="279"/>
      <c r="D51" s="279"/>
      <c r="E51" s="279"/>
      <c r="F51" s="288" t="s">
        <v>4379</v>
      </c>
      <c r="G51" s="272"/>
      <c r="H51" s="272"/>
      <c r="I51" s="272"/>
      <c r="J51" s="26"/>
      <c r="K51" s="33"/>
    </row>
    <row r="52" spans="1:11" ht="15" customHeight="1" x14ac:dyDescent="0.25">
      <c r="A52" s="273"/>
      <c r="B52" s="279"/>
      <c r="C52" s="279"/>
      <c r="D52" s="279"/>
      <c r="E52" s="279"/>
      <c r="F52" s="288"/>
      <c r="G52" s="272"/>
      <c r="H52" s="272"/>
      <c r="I52" s="272"/>
      <c r="J52" s="26"/>
      <c r="K52" s="33"/>
    </row>
    <row r="53" spans="1:11" x14ac:dyDescent="0.25">
      <c r="A53" s="273"/>
      <c r="B53" s="279"/>
      <c r="C53" s="279"/>
      <c r="D53" s="279"/>
      <c r="E53" s="279"/>
      <c r="F53" s="273"/>
      <c r="G53" s="273"/>
      <c r="H53" s="273"/>
      <c r="I53" s="273"/>
      <c r="J53" s="89"/>
      <c r="K53" s="33"/>
    </row>
    <row r="54" spans="1:11" ht="15" customHeight="1" x14ac:dyDescent="0.25">
      <c r="A54" s="273"/>
      <c r="B54" s="279"/>
      <c r="C54" s="279"/>
      <c r="D54" s="279"/>
      <c r="E54" s="279"/>
      <c r="F54" s="288" t="s">
        <v>4380</v>
      </c>
      <c r="G54" s="272"/>
      <c r="H54" s="272"/>
      <c r="I54" s="272"/>
      <c r="J54" s="26"/>
      <c r="K54" s="33"/>
    </row>
    <row r="55" spans="1:11" ht="15" customHeight="1" x14ac:dyDescent="0.25">
      <c r="A55" s="273"/>
      <c r="B55" s="279"/>
      <c r="C55" s="279"/>
      <c r="D55" s="279"/>
      <c r="E55" s="279"/>
      <c r="F55" s="288"/>
      <c r="G55" s="272"/>
      <c r="H55" s="272"/>
      <c r="I55" s="272"/>
      <c r="J55" s="26"/>
      <c r="K55" s="33"/>
    </row>
    <row r="56" spans="1:11" x14ac:dyDescent="0.25">
      <c r="A56" s="273"/>
      <c r="B56" s="279"/>
      <c r="C56" s="279"/>
      <c r="D56" s="279"/>
      <c r="E56" s="279"/>
      <c r="F56" s="273"/>
      <c r="G56" s="273"/>
      <c r="H56" s="273"/>
      <c r="I56" s="273"/>
      <c r="J56" s="89"/>
      <c r="K56" s="33"/>
    </row>
    <row r="57" spans="1:11" ht="15" customHeight="1" x14ac:dyDescent="0.25">
      <c r="A57" s="273"/>
      <c r="B57" s="279"/>
      <c r="C57" s="279"/>
      <c r="D57" s="279"/>
      <c r="E57" s="279"/>
      <c r="F57" s="288" t="s">
        <v>4381</v>
      </c>
      <c r="G57" s="272"/>
      <c r="H57" s="272"/>
      <c r="I57" s="272"/>
      <c r="J57" s="26"/>
      <c r="K57" s="33"/>
    </row>
    <row r="58" spans="1:11" ht="15" customHeight="1" x14ac:dyDescent="0.25">
      <c r="A58" s="273"/>
      <c r="B58" s="279"/>
      <c r="C58" s="279"/>
      <c r="D58" s="279"/>
      <c r="E58" s="279"/>
      <c r="F58" s="288"/>
      <c r="G58" s="272"/>
      <c r="H58" s="272"/>
      <c r="I58" s="272"/>
      <c r="J58" s="26"/>
      <c r="K58" s="33"/>
    </row>
    <row r="59" spans="1:11" x14ac:dyDescent="0.25">
      <c r="A59" s="273"/>
      <c r="B59" s="279"/>
      <c r="C59" s="279"/>
      <c r="D59" s="279"/>
      <c r="E59" s="279"/>
      <c r="F59" s="273"/>
      <c r="G59" s="273"/>
      <c r="H59" s="273"/>
      <c r="I59" s="273"/>
      <c r="J59" s="89"/>
      <c r="K59" s="33"/>
    </row>
    <row r="60" spans="1:11" ht="15" customHeight="1" x14ac:dyDescent="0.25">
      <c r="A60" s="273"/>
      <c r="B60" s="279"/>
      <c r="C60" s="279"/>
      <c r="D60" s="279"/>
      <c r="E60" s="279"/>
      <c r="F60" s="288" t="s">
        <v>4382</v>
      </c>
      <c r="G60" s="272"/>
      <c r="H60" s="272"/>
      <c r="I60" s="272"/>
      <c r="J60" s="26"/>
      <c r="K60" s="104"/>
    </row>
    <row r="61" spans="1:11" ht="15" customHeight="1" x14ac:dyDescent="0.25">
      <c r="A61" s="273"/>
      <c r="B61" s="279"/>
      <c r="C61" s="279"/>
      <c r="D61" s="279"/>
      <c r="E61" s="279"/>
      <c r="F61" s="288"/>
      <c r="G61" s="272"/>
      <c r="H61" s="272"/>
      <c r="I61" s="272"/>
      <c r="J61" s="26"/>
      <c r="K61" s="104"/>
    </row>
    <row r="62" spans="1:11" x14ac:dyDescent="0.25">
      <c r="A62" s="273"/>
      <c r="B62" s="279"/>
      <c r="C62" s="279"/>
      <c r="D62" s="279"/>
      <c r="E62" s="279"/>
      <c r="F62" s="273"/>
      <c r="G62" s="273"/>
      <c r="H62" s="273"/>
      <c r="I62" s="273"/>
      <c r="J62" s="89"/>
      <c r="K62" s="33"/>
    </row>
    <row r="63" spans="1:11" x14ac:dyDescent="0.25">
      <c r="A63" s="276"/>
      <c r="B63" s="280" t="s">
        <v>3898</v>
      </c>
      <c r="C63" s="571" t="s">
        <v>4366</v>
      </c>
      <c r="D63" s="280"/>
      <c r="E63" s="280"/>
      <c r="F63" s="288" t="s">
        <v>3899</v>
      </c>
      <c r="G63" s="569" t="s">
        <v>4398</v>
      </c>
      <c r="H63" s="272"/>
      <c r="I63" s="272"/>
      <c r="J63" s="26"/>
      <c r="K63" s="33"/>
    </row>
    <row r="64" spans="1:11" x14ac:dyDescent="0.25">
      <c r="A64" s="276"/>
      <c r="B64" s="280"/>
      <c r="C64" s="280"/>
      <c r="D64" s="280"/>
      <c r="E64" s="280"/>
      <c r="F64" s="288"/>
      <c r="G64" s="272"/>
      <c r="H64" s="272"/>
      <c r="I64" s="272"/>
      <c r="J64" s="26"/>
      <c r="K64" s="33"/>
    </row>
    <row r="65" spans="1:11" x14ac:dyDescent="0.25">
      <c r="A65" s="276"/>
      <c r="B65" s="281"/>
      <c r="C65" s="281"/>
      <c r="D65" s="281"/>
      <c r="E65" s="281"/>
      <c r="F65" s="273"/>
      <c r="G65" s="273"/>
      <c r="H65" s="273"/>
      <c r="I65" s="273"/>
      <c r="J65" s="89"/>
      <c r="K65" s="33"/>
    </row>
    <row r="66" spans="1:11" ht="15" customHeight="1" x14ac:dyDescent="0.25">
      <c r="A66" s="276"/>
      <c r="B66" s="281"/>
      <c r="C66" s="281"/>
      <c r="D66" s="281"/>
      <c r="E66" s="281"/>
      <c r="F66" s="288" t="s">
        <v>3900</v>
      </c>
      <c r="G66" s="569" t="s">
        <v>4367</v>
      </c>
      <c r="H66" s="272"/>
      <c r="I66" s="272"/>
      <c r="J66" s="26"/>
      <c r="K66" s="33"/>
    </row>
    <row r="67" spans="1:11" ht="15" customHeight="1" x14ac:dyDescent="0.25">
      <c r="A67" s="276"/>
      <c r="B67" s="281"/>
      <c r="C67" s="281"/>
      <c r="D67" s="281"/>
      <c r="E67" s="281"/>
      <c r="F67" s="288"/>
      <c r="G67" s="272"/>
      <c r="H67" s="272"/>
      <c r="I67" s="272"/>
      <c r="J67" s="26"/>
      <c r="K67" s="33"/>
    </row>
    <row r="68" spans="1:11" x14ac:dyDescent="0.25">
      <c r="A68" s="276"/>
      <c r="B68" s="281"/>
      <c r="C68" s="281"/>
      <c r="D68" s="281"/>
      <c r="E68" s="281"/>
      <c r="F68" s="273"/>
      <c r="G68" s="273"/>
      <c r="H68" s="273"/>
      <c r="I68" s="273"/>
      <c r="J68" s="89"/>
      <c r="K68" s="33"/>
    </row>
    <row r="69" spans="1:11" ht="15" customHeight="1" x14ac:dyDescent="0.25">
      <c r="A69" s="276"/>
      <c r="B69" s="281"/>
      <c r="C69" s="281"/>
      <c r="D69" s="281"/>
      <c r="E69" s="281"/>
      <c r="F69" s="288" t="s">
        <v>3901</v>
      </c>
      <c r="G69" s="572" t="s">
        <v>4373</v>
      </c>
      <c r="H69" s="272"/>
      <c r="I69" s="272"/>
      <c r="J69" s="26"/>
      <c r="K69" s="33"/>
    </row>
    <row r="70" spans="1:11" ht="15" customHeight="1" x14ac:dyDescent="0.25">
      <c r="A70" s="276"/>
      <c r="B70" s="281"/>
      <c r="C70" s="281"/>
      <c r="D70" s="281"/>
      <c r="E70" s="281"/>
      <c r="F70" s="288"/>
      <c r="G70" s="573"/>
      <c r="H70" s="272"/>
      <c r="I70" s="272"/>
      <c r="J70" s="26"/>
      <c r="K70" s="33"/>
    </row>
    <row r="71" spans="1:11" x14ac:dyDescent="0.25">
      <c r="A71" s="276"/>
      <c r="B71" s="281"/>
      <c r="C71" s="281"/>
      <c r="D71" s="281"/>
      <c r="E71" s="281"/>
      <c r="F71" s="273"/>
      <c r="G71" s="574"/>
      <c r="H71" s="273"/>
      <c r="I71" s="273"/>
      <c r="J71" s="89"/>
      <c r="K71" s="33"/>
    </row>
    <row r="72" spans="1:11" ht="15" customHeight="1" x14ac:dyDescent="0.25">
      <c r="A72" s="276"/>
      <c r="B72" s="281"/>
      <c r="C72" s="281"/>
      <c r="D72" s="281"/>
      <c r="E72" s="281"/>
      <c r="F72" s="288" t="s">
        <v>3902</v>
      </c>
      <c r="G72" s="569" t="s">
        <v>4399</v>
      </c>
      <c r="H72" s="272"/>
      <c r="I72" s="272"/>
      <c r="J72" s="26"/>
      <c r="K72" s="33"/>
    </row>
    <row r="73" spans="1:11" x14ac:dyDescent="0.25">
      <c r="A73" s="276"/>
      <c r="B73" s="281"/>
      <c r="C73" s="281"/>
      <c r="D73" s="281"/>
      <c r="E73" s="281"/>
      <c r="F73" s="288"/>
      <c r="G73" s="272"/>
      <c r="H73" s="272"/>
      <c r="I73" s="272"/>
      <c r="J73" s="26"/>
      <c r="K73" s="33"/>
    </row>
    <row r="74" spans="1:11" x14ac:dyDescent="0.25">
      <c r="A74" s="276"/>
      <c r="B74" s="281"/>
      <c r="C74" s="281"/>
      <c r="D74" s="281"/>
      <c r="E74" s="281"/>
      <c r="F74" s="273"/>
      <c r="G74" s="273"/>
      <c r="H74" s="273"/>
      <c r="I74" s="273"/>
      <c r="J74" s="89"/>
      <c r="K74" s="33"/>
    </row>
    <row r="75" spans="1:11" x14ac:dyDescent="0.25">
      <c r="A75" s="276"/>
      <c r="B75" s="281"/>
      <c r="C75" s="281"/>
      <c r="D75" s="281"/>
      <c r="E75" s="281"/>
      <c r="F75" s="288" t="s">
        <v>3903</v>
      </c>
      <c r="G75" s="569" t="s">
        <v>4400</v>
      </c>
      <c r="H75" s="272"/>
      <c r="I75" s="272"/>
      <c r="J75" s="26"/>
      <c r="K75" s="33"/>
    </row>
    <row r="76" spans="1:11" x14ac:dyDescent="0.25">
      <c r="A76" s="276"/>
      <c r="B76" s="281"/>
      <c r="C76" s="281"/>
      <c r="D76" s="281"/>
      <c r="E76" s="281"/>
      <c r="F76" s="288"/>
      <c r="G76" s="272"/>
      <c r="H76" s="272"/>
      <c r="I76" s="272"/>
      <c r="J76" s="26"/>
      <c r="K76" s="33"/>
    </row>
    <row r="77" spans="1:11" x14ac:dyDescent="0.25">
      <c r="A77" s="276"/>
      <c r="B77" s="281"/>
      <c r="C77" s="281"/>
      <c r="D77" s="281"/>
      <c r="E77" s="281"/>
      <c r="F77" s="273"/>
      <c r="G77" s="273"/>
      <c r="H77" s="273"/>
      <c r="I77" s="273"/>
      <c r="J77" s="89"/>
      <c r="K77" s="33"/>
    </row>
    <row r="78" spans="1:11" ht="15" customHeight="1" x14ac:dyDescent="0.25">
      <c r="A78" s="276"/>
      <c r="B78" s="281"/>
      <c r="C78" s="281"/>
      <c r="D78" s="281"/>
      <c r="E78" s="281"/>
      <c r="F78" s="288" t="s">
        <v>3904</v>
      </c>
      <c r="G78" s="569" t="s">
        <v>4401</v>
      </c>
      <c r="H78" s="272"/>
      <c r="I78" s="272"/>
      <c r="J78" s="26"/>
      <c r="K78" s="33"/>
    </row>
    <row r="79" spans="1:11" ht="15" customHeight="1" x14ac:dyDescent="0.25">
      <c r="A79" s="276"/>
      <c r="B79" s="281"/>
      <c r="C79" s="281"/>
      <c r="D79" s="281"/>
      <c r="E79" s="281"/>
      <c r="F79" s="288"/>
      <c r="G79" s="272"/>
      <c r="H79" s="272"/>
      <c r="I79" s="272"/>
      <c r="J79" s="26"/>
      <c r="K79" s="33"/>
    </row>
    <row r="80" spans="1:11" x14ac:dyDescent="0.25">
      <c r="A80" s="276"/>
      <c r="B80" s="281"/>
      <c r="C80" s="281"/>
      <c r="D80" s="281"/>
      <c r="E80" s="281"/>
      <c r="F80" s="273"/>
      <c r="G80" s="273"/>
      <c r="H80" s="273"/>
      <c r="I80" s="273"/>
      <c r="J80" s="89"/>
      <c r="K80" s="33"/>
    </row>
    <row r="81" spans="1:11" ht="15" customHeight="1" x14ac:dyDescent="0.25">
      <c r="A81" s="276"/>
      <c r="B81" s="281"/>
      <c r="C81" s="281"/>
      <c r="D81" s="281"/>
      <c r="E81" s="281"/>
      <c r="F81" s="288" t="s">
        <v>4368</v>
      </c>
      <c r="G81" s="569" t="s">
        <v>4374</v>
      </c>
      <c r="H81" s="272"/>
      <c r="I81" s="272"/>
      <c r="J81" s="26"/>
      <c r="K81" s="33"/>
    </row>
    <row r="82" spans="1:11" ht="15" customHeight="1" x14ac:dyDescent="0.25">
      <c r="A82" s="276"/>
      <c r="B82" s="281"/>
      <c r="C82" s="281"/>
      <c r="D82" s="281"/>
      <c r="E82" s="281"/>
      <c r="F82" s="288"/>
      <c r="G82" s="272"/>
      <c r="H82" s="272"/>
      <c r="I82" s="272"/>
      <c r="J82" s="26"/>
      <c r="K82" s="33"/>
    </row>
    <row r="83" spans="1:11" x14ac:dyDescent="0.25">
      <c r="A83" s="276"/>
      <c r="B83" s="281"/>
      <c r="C83" s="281"/>
      <c r="D83" s="281"/>
      <c r="E83" s="281"/>
      <c r="F83" s="273"/>
      <c r="G83" s="273"/>
      <c r="H83" s="273"/>
      <c r="I83" s="273"/>
      <c r="J83" s="89"/>
      <c r="K83" s="33"/>
    </row>
    <row r="84" spans="1:11" ht="15" customHeight="1" x14ac:dyDescent="0.25">
      <c r="A84" s="276"/>
      <c r="B84" s="281"/>
      <c r="C84" s="281"/>
      <c r="D84" s="281"/>
      <c r="E84" s="281"/>
      <c r="F84" s="288" t="s">
        <v>4369</v>
      </c>
      <c r="G84" s="340" t="s">
        <v>4397</v>
      </c>
      <c r="H84" s="272"/>
      <c r="I84" s="272"/>
      <c r="J84" s="26"/>
      <c r="K84" s="33"/>
    </row>
    <row r="85" spans="1:11" ht="15" customHeight="1" x14ac:dyDescent="0.25">
      <c r="A85" s="276"/>
      <c r="B85" s="281"/>
      <c r="C85" s="281"/>
      <c r="D85" s="281"/>
      <c r="E85" s="281"/>
      <c r="F85" s="288"/>
      <c r="G85" s="340"/>
      <c r="H85" s="272"/>
      <c r="I85" s="272"/>
      <c r="J85" s="26"/>
      <c r="K85" s="33"/>
    </row>
    <row r="86" spans="1:11" x14ac:dyDescent="0.25">
      <c r="A86" s="276"/>
      <c r="B86" s="281"/>
      <c r="C86" s="281"/>
      <c r="D86" s="281"/>
      <c r="E86" s="281"/>
      <c r="F86" s="273"/>
      <c r="G86" s="340"/>
      <c r="H86" s="273"/>
      <c r="I86" s="273"/>
      <c r="J86" s="89"/>
      <c r="K86" s="33"/>
    </row>
    <row r="87" spans="1:11" ht="15" customHeight="1" x14ac:dyDescent="0.25">
      <c r="A87" s="276"/>
      <c r="B87" s="281"/>
      <c r="C87" s="281"/>
      <c r="D87" s="281"/>
      <c r="E87" s="281"/>
      <c r="F87" s="418" t="s">
        <v>4370</v>
      </c>
      <c r="G87" s="569" t="s">
        <v>4440</v>
      </c>
      <c r="H87" s="272"/>
      <c r="I87" s="272"/>
      <c r="J87" s="26"/>
      <c r="K87" s="33"/>
    </row>
    <row r="88" spans="1:11" ht="15" customHeight="1" x14ac:dyDescent="0.25">
      <c r="A88" s="276"/>
      <c r="B88" s="281"/>
      <c r="C88" s="281"/>
      <c r="D88" s="281"/>
      <c r="E88" s="281"/>
      <c r="F88" s="419"/>
      <c r="G88" s="272"/>
      <c r="H88" s="272"/>
      <c r="I88" s="272"/>
      <c r="J88" s="26"/>
      <c r="K88" s="33"/>
    </row>
    <row r="89" spans="1:11" x14ac:dyDescent="0.25">
      <c r="A89" s="276"/>
      <c r="B89" s="281"/>
      <c r="C89" s="281"/>
      <c r="D89" s="281"/>
      <c r="E89" s="281"/>
      <c r="F89" s="420"/>
      <c r="G89" s="273"/>
      <c r="H89" s="273"/>
      <c r="I89" s="273"/>
      <c r="J89" s="89"/>
      <c r="K89" s="33"/>
    </row>
    <row r="90" spans="1:11" ht="15" customHeight="1" x14ac:dyDescent="0.25">
      <c r="A90" s="276"/>
      <c r="B90" s="281"/>
      <c r="C90" s="281"/>
      <c r="D90" s="281"/>
      <c r="E90" s="281"/>
      <c r="F90" s="418" t="s">
        <v>4371</v>
      </c>
      <c r="G90" s="569"/>
      <c r="H90" s="272"/>
      <c r="I90" s="272"/>
      <c r="J90" s="26"/>
      <c r="K90" s="33"/>
    </row>
    <row r="91" spans="1:11" ht="15" customHeight="1" x14ac:dyDescent="0.25">
      <c r="A91" s="276"/>
      <c r="B91" s="281"/>
      <c r="C91" s="281"/>
      <c r="D91" s="281"/>
      <c r="E91" s="281"/>
      <c r="F91" s="419"/>
      <c r="G91" s="272"/>
      <c r="H91" s="272"/>
      <c r="I91" s="272"/>
      <c r="J91" s="26"/>
      <c r="K91" s="33"/>
    </row>
    <row r="92" spans="1:11" x14ac:dyDescent="0.25">
      <c r="A92" s="276"/>
      <c r="B92" s="281"/>
      <c r="C92" s="281"/>
      <c r="D92" s="281"/>
      <c r="E92" s="281"/>
      <c r="F92" s="420"/>
      <c r="G92" s="273"/>
      <c r="H92" s="273"/>
      <c r="I92" s="273"/>
      <c r="J92" s="89"/>
      <c r="K92" s="33"/>
    </row>
    <row r="93" spans="1:11" ht="15" customHeight="1" x14ac:dyDescent="0.25">
      <c r="A93" s="276"/>
      <c r="B93" s="281"/>
      <c r="C93" s="281"/>
      <c r="D93" s="281"/>
      <c r="E93" s="281"/>
      <c r="F93" s="418" t="s">
        <v>4372</v>
      </c>
      <c r="G93" s="569"/>
      <c r="H93" s="272"/>
      <c r="I93" s="272"/>
      <c r="J93" s="26"/>
      <c r="K93" s="33"/>
    </row>
    <row r="94" spans="1:11" ht="15" customHeight="1" x14ac:dyDescent="0.25">
      <c r="A94" s="276"/>
      <c r="B94" s="281"/>
      <c r="C94" s="281"/>
      <c r="D94" s="281"/>
      <c r="E94" s="281"/>
      <c r="F94" s="419"/>
      <c r="G94" s="272"/>
      <c r="H94" s="272"/>
      <c r="I94" s="272"/>
      <c r="J94" s="26"/>
      <c r="K94" s="33"/>
    </row>
    <row r="95" spans="1:11" x14ac:dyDescent="0.25">
      <c r="A95" s="276"/>
      <c r="B95" s="281"/>
      <c r="C95" s="281"/>
      <c r="D95" s="281"/>
      <c r="E95" s="281"/>
      <c r="F95" s="420"/>
      <c r="G95" s="273"/>
      <c r="H95" s="273"/>
      <c r="I95" s="273"/>
      <c r="J95" s="89"/>
      <c r="K95" s="33"/>
    </row>
    <row r="96" spans="1:11" x14ac:dyDescent="0.25">
      <c r="A96" s="276"/>
      <c r="B96" s="282" t="s">
        <v>3905</v>
      </c>
      <c r="C96" s="575" t="s">
        <v>4357</v>
      </c>
      <c r="D96" s="282"/>
      <c r="E96" s="282"/>
      <c r="F96" s="288" t="s">
        <v>3906</v>
      </c>
      <c r="G96" s="569" t="s">
        <v>4405</v>
      </c>
      <c r="H96" s="272"/>
      <c r="I96" s="272"/>
      <c r="J96" s="26"/>
      <c r="K96" s="33"/>
    </row>
    <row r="97" spans="1:11" x14ac:dyDescent="0.25">
      <c r="A97" s="276"/>
      <c r="B97" s="283"/>
      <c r="C97" s="283"/>
      <c r="D97" s="283"/>
      <c r="E97" s="283"/>
      <c r="F97" s="288"/>
      <c r="G97" s="272"/>
      <c r="H97" s="272"/>
      <c r="I97" s="272"/>
      <c r="J97" s="26"/>
      <c r="K97" s="33"/>
    </row>
    <row r="98" spans="1:11" x14ac:dyDescent="0.2">
      <c r="A98" s="276"/>
      <c r="B98" s="284"/>
      <c r="C98" s="284"/>
      <c r="D98" s="284"/>
      <c r="E98" s="284"/>
      <c r="F98" s="273"/>
      <c r="G98" s="273"/>
      <c r="H98" s="273"/>
      <c r="I98" s="273"/>
      <c r="J98" s="89"/>
      <c r="K98" s="34"/>
    </row>
    <row r="99" spans="1:11" ht="15" customHeight="1" x14ac:dyDescent="0.2">
      <c r="A99" s="276"/>
      <c r="B99" s="285"/>
      <c r="C99" s="285"/>
      <c r="D99" s="285"/>
      <c r="E99" s="285"/>
      <c r="F99" s="288" t="s">
        <v>3907</v>
      </c>
      <c r="G99" s="569" t="s">
        <v>4406</v>
      </c>
      <c r="H99" s="272"/>
      <c r="I99" s="272"/>
      <c r="J99" s="26"/>
      <c r="K99" s="34"/>
    </row>
    <row r="100" spans="1:1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ht="16.350000000000001" customHeight="1" x14ac:dyDescent="0.2">
      <c r="A102" s="276"/>
      <c r="B102" s="285"/>
      <c r="C102" s="285"/>
      <c r="D102" s="285"/>
      <c r="E102" s="285"/>
      <c r="F102" s="288" t="s">
        <v>3908</v>
      </c>
      <c r="G102" s="569" t="s">
        <v>4407</v>
      </c>
      <c r="H102" s="272"/>
      <c r="I102" s="272"/>
      <c r="J102" s="26"/>
      <c r="K102" s="34"/>
    </row>
    <row r="103" spans="1:11" ht="16.350000000000001" customHeight="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34"/>
    </row>
    <row r="105" spans="1:11" ht="16.350000000000001" customHeight="1" x14ac:dyDescent="0.2">
      <c r="A105" s="276"/>
      <c r="B105" s="285"/>
      <c r="C105" s="285"/>
      <c r="D105" s="285"/>
      <c r="E105" s="285"/>
      <c r="F105" s="288" t="s">
        <v>3909</v>
      </c>
      <c r="G105" s="569" t="s">
        <v>4408</v>
      </c>
      <c r="H105" s="272"/>
      <c r="I105" s="272"/>
      <c r="J105" s="26"/>
      <c r="K105" s="34"/>
    </row>
    <row r="106" spans="1:11" ht="16.350000000000001" customHeight="1" x14ac:dyDescent="0.2">
      <c r="A106" s="276"/>
      <c r="B106" s="285"/>
      <c r="C106" s="285"/>
      <c r="D106" s="285"/>
      <c r="E106" s="285"/>
      <c r="F106" s="288"/>
      <c r="G106" s="272"/>
      <c r="H106" s="272"/>
      <c r="I106" s="272"/>
      <c r="J106" s="26"/>
      <c r="K106" s="34"/>
    </row>
    <row r="107" spans="1:11" x14ac:dyDescent="0.2">
      <c r="A107" s="276"/>
      <c r="B107" s="285"/>
      <c r="C107" s="285"/>
      <c r="D107" s="285"/>
      <c r="E107" s="285"/>
      <c r="F107" s="273"/>
      <c r="G107" s="273"/>
      <c r="H107" s="273"/>
      <c r="I107" s="273"/>
      <c r="J107" s="89"/>
      <c r="K107" s="100"/>
    </row>
    <row r="108" spans="1:11" ht="15" customHeight="1" x14ac:dyDescent="0.25">
      <c r="A108" s="276"/>
      <c r="B108" s="285"/>
      <c r="C108" s="285"/>
      <c r="D108" s="285"/>
      <c r="E108" s="285"/>
      <c r="F108" s="288" t="s">
        <v>3910</v>
      </c>
      <c r="G108" s="569" t="s">
        <v>4409</v>
      </c>
      <c r="H108" s="272"/>
      <c r="I108" s="272"/>
      <c r="J108" s="26"/>
      <c r="K108" s="33"/>
    </row>
    <row r="109" spans="1:11" ht="15" customHeight="1" x14ac:dyDescent="0.25">
      <c r="A109" s="276"/>
      <c r="B109" s="285"/>
      <c r="C109" s="285"/>
      <c r="D109" s="285"/>
      <c r="E109" s="285"/>
      <c r="F109" s="288"/>
      <c r="G109" s="272"/>
      <c r="H109" s="272"/>
      <c r="I109" s="272"/>
      <c r="J109" s="26"/>
      <c r="K109" s="33"/>
    </row>
    <row r="110" spans="1:11" x14ac:dyDescent="0.25">
      <c r="A110" s="276"/>
      <c r="B110" s="285"/>
      <c r="C110" s="285"/>
      <c r="D110" s="285"/>
      <c r="E110" s="285"/>
      <c r="F110" s="273"/>
      <c r="G110" s="273"/>
      <c r="H110" s="273"/>
      <c r="I110" s="273"/>
      <c r="J110" s="89"/>
      <c r="K110" s="33"/>
    </row>
    <row r="111" spans="1:11" ht="15" customHeight="1" x14ac:dyDescent="0.25">
      <c r="A111" s="276"/>
      <c r="B111" s="285"/>
      <c r="C111" s="285"/>
      <c r="D111" s="285"/>
      <c r="E111" s="285"/>
      <c r="F111" s="288" t="s">
        <v>3911</v>
      </c>
      <c r="G111" s="572" t="s">
        <v>4386</v>
      </c>
      <c r="H111" s="272"/>
      <c r="I111" s="272"/>
      <c r="J111" s="26"/>
      <c r="K111" s="33"/>
    </row>
    <row r="112" spans="1:11" ht="15" customHeight="1" x14ac:dyDescent="0.25">
      <c r="A112" s="276"/>
      <c r="B112" s="285"/>
      <c r="C112" s="285"/>
      <c r="D112" s="285"/>
      <c r="E112" s="285"/>
      <c r="F112" s="288"/>
      <c r="G112" s="573"/>
      <c r="H112" s="272"/>
      <c r="I112" s="272"/>
      <c r="J112" s="26"/>
      <c r="K112" s="33"/>
    </row>
    <row r="113" spans="1:11" x14ac:dyDescent="0.25">
      <c r="A113" s="276"/>
      <c r="B113" s="285"/>
      <c r="C113" s="285"/>
      <c r="D113" s="285"/>
      <c r="E113" s="285"/>
      <c r="F113" s="273"/>
      <c r="G113" s="574"/>
      <c r="H113" s="273"/>
      <c r="I113" s="273"/>
      <c r="J113" s="89"/>
      <c r="K113" s="33"/>
    </row>
    <row r="114" spans="1:11" ht="15" customHeight="1" x14ac:dyDescent="0.25">
      <c r="A114" s="276"/>
      <c r="B114" s="285"/>
      <c r="C114" s="285"/>
      <c r="D114" s="285"/>
      <c r="E114" s="285"/>
      <c r="F114" s="288" t="s">
        <v>4387</v>
      </c>
      <c r="G114" s="572" t="s">
        <v>4391</v>
      </c>
      <c r="H114" s="272"/>
      <c r="I114" s="272"/>
      <c r="J114" s="26"/>
      <c r="K114" s="33"/>
    </row>
    <row r="115" spans="1:11" ht="15" customHeight="1" x14ac:dyDescent="0.25">
      <c r="A115" s="276"/>
      <c r="B115" s="285"/>
      <c r="C115" s="285"/>
      <c r="D115" s="285"/>
      <c r="E115" s="285"/>
      <c r="F115" s="288"/>
      <c r="G115" s="573"/>
      <c r="H115" s="272"/>
      <c r="I115" s="272"/>
      <c r="J115" s="26"/>
      <c r="K115" s="33"/>
    </row>
    <row r="116" spans="1:11" x14ac:dyDescent="0.25">
      <c r="A116" s="276"/>
      <c r="B116" s="285"/>
      <c r="C116" s="285"/>
      <c r="D116" s="285"/>
      <c r="E116" s="285"/>
      <c r="F116" s="273"/>
      <c r="G116" s="574"/>
      <c r="H116" s="273"/>
      <c r="I116" s="273"/>
      <c r="J116" s="89"/>
      <c r="K116" s="33"/>
    </row>
    <row r="117" spans="1:11" ht="15" customHeight="1" x14ac:dyDescent="0.25">
      <c r="A117" s="276"/>
      <c r="B117" s="285"/>
      <c r="C117" s="285"/>
      <c r="D117" s="285"/>
      <c r="E117" s="285"/>
      <c r="F117" s="288" t="s">
        <v>4388</v>
      </c>
      <c r="G117" s="569" t="s">
        <v>4392</v>
      </c>
      <c r="H117" s="272"/>
      <c r="I117" s="272"/>
      <c r="J117" s="26"/>
      <c r="K117" s="33"/>
    </row>
    <row r="118" spans="1:11" ht="15" customHeight="1" x14ac:dyDescent="0.25">
      <c r="A118" s="276"/>
      <c r="B118" s="285"/>
      <c r="C118" s="285"/>
      <c r="D118" s="285"/>
      <c r="E118" s="285"/>
      <c r="F118" s="288"/>
      <c r="G118" s="272"/>
      <c r="H118" s="272"/>
      <c r="I118" s="272"/>
      <c r="J118" s="26"/>
      <c r="K118" s="33"/>
    </row>
    <row r="119" spans="1:11" x14ac:dyDescent="0.25">
      <c r="A119" s="276"/>
      <c r="B119" s="285"/>
      <c r="C119" s="285"/>
      <c r="D119" s="285"/>
      <c r="E119" s="285"/>
      <c r="F119" s="273"/>
      <c r="G119" s="273"/>
      <c r="H119" s="273"/>
      <c r="I119" s="273"/>
      <c r="J119" s="89"/>
      <c r="K119" s="33"/>
    </row>
    <row r="120" spans="1:11" ht="16.350000000000001" customHeight="1" x14ac:dyDescent="0.2">
      <c r="A120" s="276"/>
      <c r="B120" s="285"/>
      <c r="C120" s="285"/>
      <c r="D120" s="285"/>
      <c r="E120" s="285"/>
      <c r="F120" s="288" t="s">
        <v>4389</v>
      </c>
      <c r="G120" s="569" t="s">
        <v>4393</v>
      </c>
      <c r="H120" s="272"/>
      <c r="I120" s="272"/>
      <c r="J120" s="26"/>
      <c r="K120" s="100"/>
    </row>
    <row r="121" spans="1:11" ht="16.350000000000001" customHeight="1" x14ac:dyDescent="0.2">
      <c r="A121" s="276"/>
      <c r="B121" s="285"/>
      <c r="C121" s="285"/>
      <c r="D121" s="285"/>
      <c r="E121" s="285"/>
      <c r="F121" s="288"/>
      <c r="G121" s="272"/>
      <c r="H121" s="272"/>
      <c r="I121" s="272"/>
      <c r="J121" s="26"/>
      <c r="K121" s="100"/>
    </row>
    <row r="122" spans="1:11" x14ac:dyDescent="0.2">
      <c r="A122" s="276"/>
      <c r="B122" s="285"/>
      <c r="C122" s="285"/>
      <c r="D122" s="285"/>
      <c r="E122" s="285"/>
      <c r="F122" s="273"/>
      <c r="G122" s="273"/>
      <c r="H122" s="273"/>
      <c r="I122" s="273"/>
      <c r="J122" s="89"/>
      <c r="K122" s="37"/>
    </row>
    <row r="123" spans="1:11" ht="16.350000000000001" customHeight="1" x14ac:dyDescent="0.2">
      <c r="A123" s="276"/>
      <c r="B123" s="285"/>
      <c r="C123" s="285"/>
      <c r="D123" s="285"/>
      <c r="E123" s="285"/>
      <c r="F123" s="288" t="s">
        <v>4390</v>
      </c>
      <c r="G123" s="569" t="s">
        <v>4430</v>
      </c>
      <c r="H123" s="272"/>
      <c r="I123" s="272"/>
      <c r="J123" s="26"/>
      <c r="K123" s="34"/>
    </row>
    <row r="124" spans="1:11" ht="16.350000000000001" customHeight="1" x14ac:dyDescent="0.2">
      <c r="A124" s="276"/>
      <c r="B124" s="285"/>
      <c r="C124" s="285"/>
      <c r="D124" s="285"/>
      <c r="E124" s="285"/>
      <c r="F124" s="288"/>
      <c r="G124" s="272"/>
      <c r="H124" s="272"/>
      <c r="I124" s="272"/>
      <c r="J124" s="26"/>
      <c r="K124" s="34"/>
    </row>
    <row r="125" spans="1:11" x14ac:dyDescent="0.2">
      <c r="A125" s="276"/>
      <c r="B125" s="285"/>
      <c r="C125" s="285"/>
      <c r="D125" s="285"/>
      <c r="E125" s="285"/>
      <c r="F125" s="273"/>
      <c r="G125" s="273"/>
      <c r="H125" s="273"/>
      <c r="I125" s="273"/>
      <c r="J125" s="89"/>
      <c r="K125" s="100"/>
    </row>
    <row r="126" spans="1:11" ht="15" customHeight="1" x14ac:dyDescent="0.25">
      <c r="A126" s="276"/>
      <c r="B126" s="285"/>
      <c r="C126" s="285"/>
      <c r="D126" s="285"/>
      <c r="E126" s="285"/>
      <c r="F126" s="288" t="s">
        <v>4402</v>
      </c>
      <c r="G126" s="569" t="s">
        <v>4431</v>
      </c>
      <c r="H126" s="272"/>
      <c r="I126" s="272"/>
      <c r="J126" s="26"/>
      <c r="K126" s="33"/>
    </row>
    <row r="127" spans="1:11" ht="15" customHeight="1" x14ac:dyDescent="0.25">
      <c r="A127" s="276"/>
      <c r="B127" s="285"/>
      <c r="C127" s="285"/>
      <c r="D127" s="285"/>
      <c r="E127" s="285"/>
      <c r="F127" s="288"/>
      <c r="G127" s="272"/>
      <c r="H127" s="272"/>
      <c r="I127" s="272"/>
      <c r="J127" s="26"/>
      <c r="K127" s="33"/>
    </row>
    <row r="128" spans="1:11" x14ac:dyDescent="0.25">
      <c r="A128" s="276"/>
      <c r="B128" s="285"/>
      <c r="C128" s="285"/>
      <c r="D128" s="285"/>
      <c r="E128" s="285"/>
      <c r="F128" s="273"/>
      <c r="G128" s="273"/>
      <c r="H128" s="273"/>
      <c r="I128" s="273"/>
      <c r="J128" s="89"/>
      <c r="K128" s="33"/>
    </row>
    <row r="129" spans="1:11" ht="16.350000000000001" customHeight="1" x14ac:dyDescent="0.2">
      <c r="A129" s="276"/>
      <c r="B129" s="285"/>
      <c r="C129" s="285"/>
      <c r="D129" s="285"/>
      <c r="E129" s="285"/>
      <c r="F129" s="288" t="s">
        <v>4403</v>
      </c>
      <c r="G129" s="569" t="s">
        <v>4488</v>
      </c>
      <c r="H129" s="272"/>
      <c r="I129" s="272"/>
      <c r="J129" s="26"/>
      <c r="K129" s="100"/>
    </row>
    <row r="130" spans="1:11" ht="16.350000000000001" customHeight="1" x14ac:dyDescent="0.2">
      <c r="A130" s="276"/>
      <c r="B130" s="285"/>
      <c r="C130" s="285"/>
      <c r="D130" s="285"/>
      <c r="E130" s="285"/>
      <c r="F130" s="288"/>
      <c r="G130" s="272"/>
      <c r="H130" s="272"/>
      <c r="I130" s="272"/>
      <c r="J130" s="26"/>
      <c r="K130" s="100"/>
    </row>
    <row r="131" spans="1:11" x14ac:dyDescent="0.2">
      <c r="A131" s="276"/>
      <c r="B131" s="285"/>
      <c r="C131" s="285"/>
      <c r="D131" s="285"/>
      <c r="E131" s="285"/>
      <c r="F131" s="273"/>
      <c r="G131" s="273"/>
      <c r="H131" s="273"/>
      <c r="I131" s="273"/>
      <c r="J131" s="89"/>
      <c r="K131" s="37"/>
    </row>
    <row r="132" spans="1:11" ht="16.350000000000001" customHeight="1" x14ac:dyDescent="0.2">
      <c r="A132" s="276"/>
      <c r="B132" s="285"/>
      <c r="C132" s="285"/>
      <c r="D132" s="285"/>
      <c r="E132" s="285"/>
      <c r="F132" s="288" t="s">
        <v>4404</v>
      </c>
      <c r="G132" s="569" t="s">
        <v>4432</v>
      </c>
      <c r="H132" s="272"/>
      <c r="I132" s="272"/>
      <c r="J132" s="26"/>
      <c r="K132" s="34"/>
    </row>
    <row r="133" spans="1:11" ht="16.350000000000001" customHeight="1" x14ac:dyDescent="0.2">
      <c r="A133" s="276"/>
      <c r="B133" s="285"/>
      <c r="C133" s="285"/>
      <c r="D133" s="285"/>
      <c r="E133" s="285"/>
      <c r="F133" s="288"/>
      <c r="G133" s="272"/>
      <c r="H133" s="272"/>
      <c r="I133" s="272"/>
      <c r="J133" s="26"/>
      <c r="K133" s="34"/>
    </row>
    <row r="134" spans="1:11" x14ac:dyDescent="0.2">
      <c r="A134" s="276"/>
      <c r="B134" s="285"/>
      <c r="C134" s="285"/>
      <c r="D134" s="285"/>
      <c r="E134" s="285"/>
      <c r="F134" s="273"/>
      <c r="G134" s="273"/>
      <c r="H134" s="273"/>
      <c r="I134" s="273"/>
      <c r="J134" s="89"/>
      <c r="K134" s="100"/>
    </row>
    <row r="135" spans="1:11" ht="15" customHeight="1" x14ac:dyDescent="0.25">
      <c r="A135" s="276"/>
      <c r="B135" s="285"/>
      <c r="C135" s="285"/>
      <c r="D135" s="285"/>
      <c r="E135" s="285"/>
      <c r="F135" s="288" t="s">
        <v>4410</v>
      </c>
      <c r="G135" s="569"/>
      <c r="H135" s="272"/>
      <c r="I135" s="272"/>
      <c r="J135" s="26"/>
      <c r="K135" s="33"/>
    </row>
    <row r="136" spans="1:11" ht="15" customHeight="1" x14ac:dyDescent="0.25">
      <c r="A136" s="276"/>
      <c r="B136" s="285"/>
      <c r="C136" s="285"/>
      <c r="D136" s="285"/>
      <c r="E136" s="285"/>
      <c r="F136" s="288"/>
      <c r="G136" s="272"/>
      <c r="H136" s="272"/>
      <c r="I136" s="272"/>
      <c r="J136" s="26"/>
      <c r="K136" s="33"/>
    </row>
    <row r="137" spans="1:11" x14ac:dyDescent="0.25">
      <c r="A137" s="276"/>
      <c r="B137" s="285"/>
      <c r="C137" s="285"/>
      <c r="D137" s="285"/>
      <c r="E137" s="285"/>
      <c r="F137" s="273"/>
      <c r="G137" s="273"/>
      <c r="H137" s="273"/>
      <c r="I137" s="273"/>
      <c r="J137" s="89"/>
      <c r="K137" s="33"/>
    </row>
    <row r="138" spans="1:11" ht="16.350000000000001" customHeight="1" x14ac:dyDescent="0.2">
      <c r="A138" s="276"/>
      <c r="B138" s="285"/>
      <c r="C138" s="285"/>
      <c r="D138" s="285"/>
      <c r="E138" s="285"/>
      <c r="F138" s="288" t="s">
        <v>4411</v>
      </c>
      <c r="G138" s="569"/>
      <c r="H138" s="272"/>
      <c r="I138" s="272"/>
      <c r="J138" s="26"/>
      <c r="K138" s="100"/>
    </row>
    <row r="139" spans="1:11" ht="16.350000000000001" customHeight="1" x14ac:dyDescent="0.2">
      <c r="A139" s="276"/>
      <c r="B139" s="285"/>
      <c r="C139" s="285"/>
      <c r="D139" s="285"/>
      <c r="E139" s="285"/>
      <c r="F139" s="288"/>
      <c r="G139" s="272"/>
      <c r="H139" s="272"/>
      <c r="I139" s="272"/>
      <c r="J139" s="26"/>
      <c r="K139" s="100"/>
    </row>
    <row r="140" spans="1:11" x14ac:dyDescent="0.2">
      <c r="A140" s="276"/>
      <c r="B140" s="285"/>
      <c r="C140" s="285"/>
      <c r="D140" s="285"/>
      <c r="E140" s="285"/>
      <c r="F140" s="273"/>
      <c r="G140" s="273"/>
      <c r="H140" s="273"/>
      <c r="I140" s="273"/>
      <c r="J140" s="89"/>
      <c r="K140" s="37"/>
    </row>
    <row r="141" spans="1:11" ht="16.350000000000001" customHeight="1" x14ac:dyDescent="0.2">
      <c r="A141" s="276"/>
      <c r="B141" s="285"/>
      <c r="C141" s="285"/>
      <c r="D141" s="285"/>
      <c r="E141" s="285"/>
      <c r="F141" s="288" t="s">
        <v>4412</v>
      </c>
      <c r="G141" s="569"/>
      <c r="H141" s="272"/>
      <c r="I141" s="272"/>
      <c r="J141" s="26"/>
      <c r="K141" s="34"/>
    </row>
    <row r="142" spans="1:11" ht="16.350000000000001" customHeight="1" x14ac:dyDescent="0.2">
      <c r="A142" s="276"/>
      <c r="B142" s="285"/>
      <c r="C142" s="285"/>
      <c r="D142" s="285"/>
      <c r="E142" s="285"/>
      <c r="F142" s="288"/>
      <c r="G142" s="272"/>
      <c r="H142" s="272"/>
      <c r="I142" s="272"/>
      <c r="J142" s="26"/>
      <c r="K142" s="34"/>
    </row>
    <row r="143" spans="1:11" x14ac:dyDescent="0.2">
      <c r="A143" s="276"/>
      <c r="B143" s="285"/>
      <c r="C143" s="285"/>
      <c r="D143" s="285"/>
      <c r="E143" s="285"/>
      <c r="F143" s="273"/>
      <c r="G143" s="273"/>
      <c r="H143" s="273"/>
      <c r="I143" s="273"/>
      <c r="J143" s="89"/>
      <c r="K143" s="100"/>
    </row>
    <row r="144" spans="1:11" ht="15" customHeight="1" x14ac:dyDescent="0.25">
      <c r="A144" s="276"/>
      <c r="B144" s="285"/>
      <c r="C144" s="285"/>
      <c r="D144" s="285"/>
      <c r="E144" s="285"/>
      <c r="F144" s="288" t="s">
        <v>4433</v>
      </c>
      <c r="G144" s="569"/>
      <c r="H144" s="272"/>
      <c r="I144" s="272"/>
      <c r="J144" s="26"/>
      <c r="K144" s="33"/>
    </row>
    <row r="145" spans="1:11" ht="15" customHeight="1" x14ac:dyDescent="0.25">
      <c r="A145" s="276"/>
      <c r="B145" s="285"/>
      <c r="C145" s="285"/>
      <c r="D145" s="285"/>
      <c r="E145" s="285"/>
      <c r="F145" s="288"/>
      <c r="G145" s="272"/>
      <c r="H145" s="272"/>
      <c r="I145" s="272"/>
      <c r="J145" s="26"/>
      <c r="K145" s="33"/>
    </row>
    <row r="146" spans="1:11" x14ac:dyDescent="0.25">
      <c r="A146" s="276"/>
      <c r="B146" s="285"/>
      <c r="C146" s="285"/>
      <c r="D146" s="285"/>
      <c r="E146" s="285"/>
      <c r="F146" s="273"/>
      <c r="G146" s="273"/>
      <c r="H146" s="273"/>
      <c r="I146" s="273"/>
      <c r="J146" s="89"/>
      <c r="K146" s="33"/>
    </row>
    <row r="147" spans="1:11" ht="16.350000000000001" customHeight="1" x14ac:dyDescent="0.2">
      <c r="A147" s="276"/>
      <c r="B147" s="285"/>
      <c r="C147" s="285"/>
      <c r="D147" s="285"/>
      <c r="E147" s="285"/>
      <c r="F147" s="288" t="s">
        <v>4434</v>
      </c>
      <c r="G147" s="569"/>
      <c r="H147" s="272"/>
      <c r="I147" s="272"/>
      <c r="J147" s="26"/>
      <c r="K147" s="100"/>
    </row>
    <row r="148" spans="1:11" ht="16.350000000000001" customHeight="1" x14ac:dyDescent="0.2">
      <c r="A148" s="276"/>
      <c r="B148" s="285"/>
      <c r="C148" s="285"/>
      <c r="D148" s="285"/>
      <c r="E148" s="285"/>
      <c r="F148" s="288"/>
      <c r="G148" s="272"/>
      <c r="H148" s="272"/>
      <c r="I148" s="272"/>
      <c r="J148" s="26"/>
      <c r="K148" s="100"/>
    </row>
    <row r="149" spans="1:11" x14ac:dyDescent="0.2">
      <c r="A149" s="276"/>
      <c r="B149" s="285"/>
      <c r="C149" s="285"/>
      <c r="D149" s="285"/>
      <c r="E149" s="285"/>
      <c r="F149" s="273"/>
      <c r="G149" s="273"/>
      <c r="H149" s="273"/>
      <c r="I149" s="273"/>
      <c r="J149" s="89"/>
      <c r="K149" s="37"/>
    </row>
    <row r="150" spans="1:11" ht="16.350000000000001" customHeight="1" x14ac:dyDescent="0.2">
      <c r="A150" s="276"/>
      <c r="B150" s="285"/>
      <c r="C150" s="285"/>
      <c r="D150" s="285"/>
      <c r="E150" s="285"/>
      <c r="F150" s="288" t="s">
        <v>4435</v>
      </c>
      <c r="G150" s="569"/>
      <c r="H150" s="272"/>
      <c r="I150" s="272"/>
      <c r="J150" s="26"/>
      <c r="K150" s="34"/>
    </row>
    <row r="151" spans="1:11" ht="16.350000000000001" customHeight="1" x14ac:dyDescent="0.2">
      <c r="A151" s="276"/>
      <c r="B151" s="285"/>
      <c r="C151" s="285"/>
      <c r="D151" s="285"/>
      <c r="E151" s="285"/>
      <c r="F151" s="288"/>
      <c r="G151" s="272"/>
      <c r="H151" s="272"/>
      <c r="I151" s="272"/>
      <c r="J151" s="26"/>
      <c r="K151" s="34"/>
    </row>
    <row r="152" spans="1:11" x14ac:dyDescent="0.2">
      <c r="A152" s="276"/>
      <c r="B152" s="285"/>
      <c r="C152" s="285"/>
      <c r="D152" s="285"/>
      <c r="E152" s="285"/>
      <c r="F152" s="273"/>
      <c r="G152" s="273"/>
      <c r="H152" s="273"/>
      <c r="I152" s="273"/>
      <c r="J152" s="89"/>
      <c r="K152" s="100"/>
    </row>
    <row r="153" spans="1:11" x14ac:dyDescent="0.25">
      <c r="A153" s="276"/>
      <c r="B153" s="282" t="s">
        <v>3912</v>
      </c>
      <c r="C153" s="282" t="s">
        <v>843</v>
      </c>
      <c r="D153" s="282"/>
      <c r="E153" s="282"/>
      <c r="F153" s="288" t="s">
        <v>3913</v>
      </c>
      <c r="G153" s="354" t="s">
        <v>3868</v>
      </c>
      <c r="H153" s="272"/>
      <c r="I153" s="272"/>
      <c r="J153" s="26"/>
      <c r="K153" s="33"/>
    </row>
    <row r="154" spans="1:11" x14ac:dyDescent="0.25">
      <c r="A154" s="276"/>
      <c r="B154" s="283"/>
      <c r="C154" s="283"/>
      <c r="D154" s="283"/>
      <c r="E154" s="283"/>
      <c r="F154" s="288"/>
      <c r="G154" s="272"/>
      <c r="H154" s="272"/>
      <c r="I154" s="272"/>
      <c r="J154" s="26"/>
      <c r="K154" s="33"/>
    </row>
    <row r="155" spans="1:11" x14ac:dyDescent="0.2">
      <c r="A155" s="276"/>
      <c r="B155" s="284"/>
      <c r="C155" s="284"/>
      <c r="D155" s="284"/>
      <c r="E155" s="284"/>
      <c r="F155" s="273"/>
      <c r="G155" s="273"/>
      <c r="H155" s="273"/>
      <c r="I155" s="273"/>
      <c r="J155" s="89"/>
      <c r="K155" s="34"/>
    </row>
    <row r="156" spans="1:11" ht="15" customHeight="1" x14ac:dyDescent="0.2">
      <c r="A156" s="276"/>
      <c r="B156" s="285"/>
      <c r="C156" s="285"/>
      <c r="D156" s="285"/>
      <c r="E156" s="285"/>
      <c r="F156" s="288" t="s">
        <v>3914</v>
      </c>
      <c r="G156" s="354" t="s">
        <v>3869</v>
      </c>
      <c r="H156" s="272"/>
      <c r="I156" s="272"/>
      <c r="J156" s="26"/>
      <c r="K156" s="34"/>
    </row>
    <row r="157" spans="1:11" x14ac:dyDescent="0.2">
      <c r="A157" s="276"/>
      <c r="B157" s="285"/>
      <c r="C157" s="285"/>
      <c r="D157" s="285"/>
      <c r="E157" s="285"/>
      <c r="F157" s="288"/>
      <c r="G157" s="272"/>
      <c r="H157" s="272"/>
      <c r="I157" s="272"/>
      <c r="J157" s="26"/>
      <c r="K157" s="34"/>
    </row>
    <row r="158" spans="1:11" x14ac:dyDescent="0.2">
      <c r="A158" s="276"/>
      <c r="B158" s="285"/>
      <c r="C158" s="285"/>
      <c r="D158" s="285"/>
      <c r="E158" s="285"/>
      <c r="F158" s="273"/>
      <c r="G158" s="273"/>
      <c r="H158" s="273"/>
      <c r="I158" s="273"/>
      <c r="J158" s="89"/>
      <c r="K158" s="34"/>
    </row>
    <row r="159" spans="1:11" ht="16.350000000000001" customHeight="1" x14ac:dyDescent="0.2">
      <c r="A159" s="276"/>
      <c r="B159" s="285"/>
      <c r="C159" s="285"/>
      <c r="D159" s="285"/>
      <c r="E159" s="285"/>
      <c r="F159" s="288" t="s">
        <v>3915</v>
      </c>
      <c r="G159" s="354" t="s">
        <v>3870</v>
      </c>
      <c r="H159" s="272"/>
      <c r="I159" s="272"/>
      <c r="J159" s="26"/>
      <c r="K159" s="34"/>
    </row>
    <row r="160" spans="1:11" ht="16.350000000000001" customHeight="1" x14ac:dyDescent="0.2">
      <c r="A160" s="276"/>
      <c r="B160" s="285"/>
      <c r="C160" s="285"/>
      <c r="D160" s="285"/>
      <c r="E160" s="285"/>
      <c r="F160" s="288"/>
      <c r="G160" s="272"/>
      <c r="H160" s="272"/>
      <c r="I160" s="272"/>
      <c r="J160" s="26"/>
      <c r="K160" s="34"/>
    </row>
    <row r="161" spans="1:11" x14ac:dyDescent="0.2">
      <c r="A161" s="276"/>
      <c r="B161" s="285"/>
      <c r="C161" s="285"/>
      <c r="D161" s="285"/>
      <c r="E161" s="285"/>
      <c r="F161" s="273"/>
      <c r="G161" s="273"/>
      <c r="H161" s="273"/>
      <c r="I161" s="273"/>
      <c r="J161" s="89"/>
      <c r="K161" s="34"/>
    </row>
    <row r="162" spans="1:11" ht="16.350000000000001" customHeight="1" x14ac:dyDescent="0.2">
      <c r="A162" s="276"/>
      <c r="B162" s="285"/>
      <c r="C162" s="285"/>
      <c r="D162" s="285"/>
      <c r="E162" s="285"/>
      <c r="F162" s="288" t="s">
        <v>3916</v>
      </c>
      <c r="G162" s="272"/>
      <c r="H162" s="272"/>
      <c r="I162" s="272"/>
      <c r="J162" s="26"/>
      <c r="K162" s="34"/>
    </row>
    <row r="163" spans="1:11" ht="16.350000000000001" customHeight="1" x14ac:dyDescent="0.2">
      <c r="A163" s="276"/>
      <c r="B163" s="285"/>
      <c r="C163" s="285"/>
      <c r="D163" s="285"/>
      <c r="E163" s="285"/>
      <c r="F163" s="288"/>
      <c r="G163" s="272"/>
      <c r="H163" s="272"/>
      <c r="I163" s="272"/>
      <c r="J163" s="26"/>
      <c r="K163" s="34"/>
    </row>
    <row r="164" spans="1:11" x14ac:dyDescent="0.2">
      <c r="A164" s="276"/>
      <c r="B164" s="285"/>
      <c r="C164" s="285"/>
      <c r="D164" s="285"/>
      <c r="E164" s="285"/>
      <c r="F164" s="273"/>
      <c r="G164" s="273"/>
      <c r="H164" s="273"/>
      <c r="I164" s="273"/>
      <c r="J164" s="89"/>
      <c r="K164" s="100"/>
    </row>
    <row r="165" spans="1:11" ht="16.350000000000001" customHeight="1" x14ac:dyDescent="0.2">
      <c r="A165" s="276"/>
      <c r="B165" s="285"/>
      <c r="C165" s="285"/>
      <c r="D165" s="285"/>
      <c r="E165" s="285"/>
      <c r="F165" s="288" t="s">
        <v>3917</v>
      </c>
      <c r="G165" s="272"/>
      <c r="H165" s="272"/>
      <c r="I165" s="272"/>
      <c r="J165" s="26"/>
      <c r="K165" s="100"/>
    </row>
    <row r="166" spans="1:11" ht="16.350000000000001" customHeight="1" x14ac:dyDescent="0.2">
      <c r="A166" s="276"/>
      <c r="B166" s="285"/>
      <c r="C166" s="285"/>
      <c r="D166" s="285"/>
      <c r="E166" s="285"/>
      <c r="F166" s="288"/>
      <c r="G166" s="272"/>
      <c r="H166" s="272"/>
      <c r="I166" s="272"/>
      <c r="J166" s="26"/>
      <c r="K166" s="100"/>
    </row>
    <row r="167" spans="1:11" x14ac:dyDescent="0.2">
      <c r="A167" s="276"/>
      <c r="B167" s="285"/>
      <c r="C167" s="285"/>
      <c r="D167" s="285"/>
      <c r="E167" s="285"/>
      <c r="F167" s="273"/>
      <c r="G167" s="273"/>
      <c r="H167" s="273"/>
      <c r="I167" s="273"/>
      <c r="J167" s="89"/>
      <c r="K167" s="37"/>
    </row>
    <row r="168" spans="1:11" ht="16.350000000000001" customHeight="1" x14ac:dyDescent="0.2">
      <c r="A168" s="276"/>
      <c r="B168" s="285"/>
      <c r="C168" s="285"/>
      <c r="D168" s="285"/>
      <c r="E168" s="285"/>
      <c r="F168" s="288" t="s">
        <v>3918</v>
      </c>
      <c r="G168" s="272"/>
      <c r="H168" s="272"/>
      <c r="I168" s="272"/>
      <c r="J168" s="26"/>
      <c r="K168" s="34"/>
    </row>
    <row r="169" spans="1:11" ht="16.350000000000001" customHeight="1" x14ac:dyDescent="0.2">
      <c r="A169" s="276"/>
      <c r="B169" s="285"/>
      <c r="C169" s="285"/>
      <c r="D169" s="285"/>
      <c r="E169" s="285"/>
      <c r="F169" s="288"/>
      <c r="G169" s="272"/>
      <c r="H169" s="272"/>
      <c r="I169" s="272"/>
      <c r="J169" s="26"/>
      <c r="K169" s="34"/>
    </row>
    <row r="170" spans="1:11" x14ac:dyDescent="0.2">
      <c r="A170" s="276"/>
      <c r="B170" s="285"/>
      <c r="C170" s="285"/>
      <c r="D170" s="285"/>
      <c r="E170" s="285"/>
      <c r="F170" s="273"/>
      <c r="G170" s="273"/>
      <c r="H170" s="273"/>
      <c r="I170" s="273"/>
      <c r="J170" s="89"/>
      <c r="K170" s="100"/>
    </row>
    <row r="171" spans="1:11" ht="16.350000000000001" customHeight="1" x14ac:dyDescent="0.2">
      <c r="A171" s="276"/>
      <c r="B171" s="285"/>
      <c r="C171" s="285"/>
      <c r="D171" s="285"/>
      <c r="E171" s="285"/>
      <c r="F171" s="288" t="s">
        <v>4394</v>
      </c>
      <c r="G171" s="272"/>
      <c r="H171" s="272"/>
      <c r="I171" s="272"/>
      <c r="J171" s="26"/>
      <c r="K171" s="34"/>
    </row>
    <row r="172" spans="1:11" ht="16.350000000000001" customHeight="1" x14ac:dyDescent="0.2">
      <c r="A172" s="276"/>
      <c r="B172" s="285"/>
      <c r="C172" s="285"/>
      <c r="D172" s="285"/>
      <c r="E172" s="285"/>
      <c r="F172" s="288"/>
      <c r="G172" s="272"/>
      <c r="H172" s="272"/>
      <c r="I172" s="272"/>
      <c r="J172" s="26"/>
      <c r="K172" s="34"/>
    </row>
    <row r="173" spans="1:11" x14ac:dyDescent="0.2">
      <c r="A173" s="276"/>
      <c r="B173" s="285"/>
      <c r="C173" s="285"/>
      <c r="D173" s="285"/>
      <c r="E173" s="285"/>
      <c r="F173" s="273"/>
      <c r="G173" s="273"/>
      <c r="H173" s="273"/>
      <c r="I173" s="273"/>
      <c r="J173" s="89"/>
      <c r="K173" s="100"/>
    </row>
    <row r="174" spans="1:11" ht="16.350000000000001" customHeight="1" x14ac:dyDescent="0.2">
      <c r="A174" s="276"/>
      <c r="B174" s="285"/>
      <c r="C174" s="285"/>
      <c r="D174" s="285"/>
      <c r="E174" s="285"/>
      <c r="F174" s="288" t="s">
        <v>4395</v>
      </c>
      <c r="G174" s="272"/>
      <c r="H174" s="272"/>
      <c r="I174" s="272"/>
      <c r="J174" s="26"/>
      <c r="K174" s="100"/>
    </row>
    <row r="175" spans="1:11" ht="16.350000000000001" customHeight="1" x14ac:dyDescent="0.2">
      <c r="A175" s="276"/>
      <c r="B175" s="285"/>
      <c r="C175" s="285"/>
      <c r="D175" s="285"/>
      <c r="E175" s="285"/>
      <c r="F175" s="288"/>
      <c r="G175" s="272"/>
      <c r="H175" s="272"/>
      <c r="I175" s="272"/>
      <c r="J175" s="26"/>
      <c r="K175" s="100"/>
    </row>
    <row r="176" spans="1:11" x14ac:dyDescent="0.2">
      <c r="A176" s="276"/>
      <c r="B176" s="285"/>
      <c r="C176" s="285"/>
      <c r="D176" s="285"/>
      <c r="E176" s="285"/>
      <c r="F176" s="273"/>
      <c r="G176" s="273"/>
      <c r="H176" s="273"/>
      <c r="I176" s="273"/>
      <c r="J176" s="89"/>
      <c r="K176" s="37"/>
    </row>
    <row r="177" spans="1:13" ht="16.350000000000001" customHeight="1" x14ac:dyDescent="0.2">
      <c r="A177" s="276"/>
      <c r="B177" s="285"/>
      <c r="C177" s="285"/>
      <c r="D177" s="285"/>
      <c r="E177" s="285"/>
      <c r="F177" s="288" t="s">
        <v>4396</v>
      </c>
      <c r="G177" s="272"/>
      <c r="H177" s="272"/>
      <c r="I177" s="272"/>
      <c r="J177" s="26"/>
      <c r="K177" s="34"/>
    </row>
    <row r="178" spans="1:13" ht="16.350000000000001" customHeight="1" x14ac:dyDescent="0.2">
      <c r="A178" s="276"/>
      <c r="B178" s="285"/>
      <c r="C178" s="285"/>
      <c r="D178" s="285"/>
      <c r="E178" s="285"/>
      <c r="F178" s="288"/>
      <c r="G178" s="272"/>
      <c r="H178" s="272"/>
      <c r="I178" s="272"/>
      <c r="J178" s="26"/>
      <c r="K178" s="34"/>
    </row>
    <row r="179" spans="1:13" x14ac:dyDescent="0.2">
      <c r="A179" s="276"/>
      <c r="B179" s="285"/>
      <c r="C179" s="285"/>
      <c r="D179" s="285"/>
      <c r="E179" s="285"/>
      <c r="F179" s="273"/>
      <c r="G179" s="273"/>
      <c r="H179" s="273"/>
      <c r="I179" s="273"/>
      <c r="J179" s="89"/>
      <c r="K179" s="100"/>
    </row>
    <row r="180" spans="1:13" x14ac:dyDescent="0.25">
      <c r="A180" s="276"/>
      <c r="B180" s="282" t="s">
        <v>468</v>
      </c>
      <c r="C180" s="282" t="s">
        <v>844</v>
      </c>
      <c r="D180" s="282"/>
      <c r="E180" s="282"/>
      <c r="F180" s="288" t="s">
        <v>3919</v>
      </c>
      <c r="G180" s="354" t="s">
        <v>3871</v>
      </c>
      <c r="H180" s="272"/>
      <c r="I180" s="272"/>
      <c r="J180" s="26"/>
      <c r="K180" s="33"/>
    </row>
    <row r="181" spans="1:13" x14ac:dyDescent="0.25">
      <c r="A181" s="276"/>
      <c r="B181" s="283"/>
      <c r="C181" s="283"/>
      <c r="D181" s="283"/>
      <c r="E181" s="283"/>
      <c r="F181" s="288"/>
      <c r="G181" s="272"/>
      <c r="H181" s="272"/>
      <c r="I181" s="272"/>
      <c r="J181" s="26"/>
      <c r="K181" s="33"/>
    </row>
    <row r="182" spans="1:13" x14ac:dyDescent="0.2">
      <c r="A182" s="276"/>
      <c r="B182" s="284"/>
      <c r="C182" s="284"/>
      <c r="D182" s="284"/>
      <c r="E182" s="284"/>
      <c r="F182" s="273"/>
      <c r="G182" s="273"/>
      <c r="H182" s="273"/>
      <c r="I182" s="273"/>
      <c r="J182" s="89"/>
      <c r="K182" s="34"/>
    </row>
    <row r="183" spans="1:13" ht="15" customHeight="1" x14ac:dyDescent="0.2">
      <c r="A183" s="276"/>
      <c r="B183" s="285"/>
      <c r="C183" s="285"/>
      <c r="D183" s="285"/>
      <c r="E183" s="285"/>
      <c r="F183" s="288" t="s">
        <v>3920</v>
      </c>
      <c r="G183" s="569" t="s">
        <v>4489</v>
      </c>
      <c r="H183" s="272"/>
      <c r="I183" s="272"/>
      <c r="J183" s="26"/>
      <c r="K183" s="34"/>
    </row>
    <row r="184" spans="1:13" x14ac:dyDescent="0.2">
      <c r="A184" s="276"/>
      <c r="B184" s="285"/>
      <c r="C184" s="285"/>
      <c r="D184" s="285"/>
      <c r="E184" s="285"/>
      <c r="F184" s="288"/>
      <c r="G184" s="272"/>
      <c r="H184" s="272"/>
      <c r="I184" s="272"/>
      <c r="J184" s="26"/>
      <c r="K184" s="34"/>
    </row>
    <row r="185" spans="1:13" x14ac:dyDescent="0.2">
      <c r="A185" s="276"/>
      <c r="B185" s="285"/>
      <c r="C185" s="285"/>
      <c r="D185" s="285"/>
      <c r="E185" s="285"/>
      <c r="F185" s="273"/>
      <c r="G185" s="273"/>
      <c r="H185" s="273"/>
      <c r="I185" s="273"/>
      <c r="J185" s="89"/>
      <c r="K185" s="34"/>
    </row>
    <row r="186" spans="1:13" ht="16.350000000000001" customHeight="1" x14ac:dyDescent="0.2">
      <c r="A186" s="276"/>
      <c r="B186" s="285"/>
      <c r="C186" s="285"/>
      <c r="D186" s="285"/>
      <c r="E186" s="285"/>
      <c r="F186" s="288" t="s">
        <v>3921</v>
      </c>
      <c r="G186" s="354" t="s">
        <v>3872</v>
      </c>
      <c r="H186" s="272"/>
      <c r="I186" s="272"/>
      <c r="J186" s="26"/>
      <c r="K186" s="34"/>
    </row>
    <row r="187" spans="1:13" ht="16.350000000000001" customHeight="1" x14ac:dyDescent="0.2">
      <c r="A187" s="276"/>
      <c r="B187" s="285"/>
      <c r="C187" s="285"/>
      <c r="D187" s="285"/>
      <c r="E187" s="285"/>
      <c r="F187" s="288"/>
      <c r="G187" s="272"/>
      <c r="H187" s="272"/>
      <c r="I187" s="272"/>
      <c r="J187" s="26"/>
      <c r="K187" s="34"/>
    </row>
    <row r="188" spans="1:13" x14ac:dyDescent="0.2">
      <c r="A188" s="276"/>
      <c r="B188" s="285"/>
      <c r="C188" s="285"/>
      <c r="D188" s="285"/>
      <c r="E188" s="285"/>
      <c r="F188" s="273"/>
      <c r="G188" s="273"/>
      <c r="H188" s="273"/>
      <c r="I188" s="273"/>
      <c r="J188" s="89"/>
      <c r="K188" s="34"/>
    </row>
    <row r="189" spans="1:13" ht="16.350000000000001" customHeight="1" x14ac:dyDescent="0.2">
      <c r="A189" s="276"/>
      <c r="B189" s="285"/>
      <c r="C189" s="285"/>
      <c r="D189" s="285"/>
      <c r="E189" s="285"/>
      <c r="F189" s="288" t="s">
        <v>3922</v>
      </c>
      <c r="G189" s="354" t="s">
        <v>3873</v>
      </c>
      <c r="H189" s="272"/>
      <c r="I189" s="272"/>
      <c r="J189" s="26"/>
      <c r="K189" s="34"/>
      <c r="M189" s="127"/>
    </row>
    <row r="190" spans="1:13" ht="16.350000000000001" customHeight="1" x14ac:dyDescent="0.2">
      <c r="A190" s="276"/>
      <c r="B190" s="285"/>
      <c r="C190" s="285"/>
      <c r="D190" s="285"/>
      <c r="E190" s="285"/>
      <c r="F190" s="288"/>
      <c r="G190" s="272"/>
      <c r="H190" s="272"/>
      <c r="I190" s="272"/>
      <c r="J190" s="26"/>
      <c r="K190" s="34"/>
      <c r="M190" s="127"/>
    </row>
    <row r="191" spans="1:13" x14ac:dyDescent="0.2">
      <c r="A191" s="276"/>
      <c r="B191" s="285"/>
      <c r="C191" s="285"/>
      <c r="D191" s="285"/>
      <c r="E191" s="285"/>
      <c r="F191" s="273"/>
      <c r="G191" s="273"/>
      <c r="H191" s="273"/>
      <c r="I191" s="273"/>
      <c r="J191" s="89"/>
      <c r="K191" s="100"/>
      <c r="M191" s="127"/>
    </row>
    <row r="192" spans="1:13" ht="16.350000000000001" customHeight="1" x14ac:dyDescent="0.2">
      <c r="A192" s="276"/>
      <c r="B192" s="285"/>
      <c r="C192" s="285"/>
      <c r="D192" s="285"/>
      <c r="E192" s="285"/>
      <c r="F192" s="288" t="s">
        <v>3923</v>
      </c>
      <c r="G192" s="272"/>
      <c r="H192" s="272"/>
      <c r="I192" s="272"/>
      <c r="J192" s="26"/>
      <c r="K192" s="100"/>
      <c r="M192" s="127" t="s">
        <v>4485</v>
      </c>
    </row>
    <row r="193" spans="1:13" ht="16.350000000000001" customHeight="1" x14ac:dyDescent="0.2">
      <c r="A193" s="276"/>
      <c r="B193" s="285"/>
      <c r="C193" s="285"/>
      <c r="D193" s="285"/>
      <c r="E193" s="285"/>
      <c r="F193" s="288"/>
      <c r="G193" s="272"/>
      <c r="H193" s="272"/>
      <c r="I193" s="272"/>
      <c r="J193" s="26"/>
      <c r="K193" s="100"/>
      <c r="M193" s="127" t="s">
        <v>4331</v>
      </c>
    </row>
    <row r="194" spans="1:13" ht="38.25" x14ac:dyDescent="0.2">
      <c r="A194" s="276"/>
      <c r="B194" s="285"/>
      <c r="C194" s="285"/>
      <c r="D194" s="285"/>
      <c r="E194" s="285"/>
      <c r="F194" s="273"/>
      <c r="G194" s="273"/>
      <c r="H194" s="273"/>
      <c r="I194" s="273"/>
      <c r="J194" s="89"/>
      <c r="K194" s="37"/>
      <c r="M194" s="127" t="s">
        <v>4486</v>
      </c>
    </row>
    <row r="195" spans="1:13" ht="16.350000000000001" customHeight="1" x14ac:dyDescent="0.2">
      <c r="A195" s="276"/>
      <c r="B195" s="285"/>
      <c r="C195" s="285"/>
      <c r="D195" s="285"/>
      <c r="E195" s="285"/>
      <c r="F195" s="288" t="s">
        <v>3924</v>
      </c>
      <c r="G195" s="272"/>
      <c r="H195" s="272"/>
      <c r="I195" s="272"/>
      <c r="J195" s="26"/>
      <c r="K195" s="34"/>
      <c r="M195" s="127" t="s">
        <v>4341</v>
      </c>
    </row>
    <row r="196" spans="1:13" ht="16.350000000000001" customHeight="1" x14ac:dyDescent="0.2">
      <c r="A196" s="276"/>
      <c r="B196" s="285"/>
      <c r="C196" s="285"/>
      <c r="D196" s="285"/>
      <c r="E196" s="285"/>
      <c r="F196" s="288"/>
      <c r="G196" s="272"/>
      <c r="H196" s="272"/>
      <c r="I196" s="272"/>
      <c r="J196" s="26"/>
      <c r="K196" s="34"/>
    </row>
    <row r="197" spans="1:13" x14ac:dyDescent="0.2">
      <c r="A197" s="276"/>
      <c r="B197" s="285"/>
      <c r="C197" s="285"/>
      <c r="D197" s="285"/>
      <c r="E197" s="285"/>
      <c r="F197" s="273"/>
      <c r="G197" s="273"/>
      <c r="H197" s="273"/>
      <c r="I197" s="273"/>
      <c r="J197" s="89"/>
      <c r="K197" s="100"/>
    </row>
    <row r="198" spans="1:13" x14ac:dyDescent="0.25">
      <c r="A198" s="276"/>
      <c r="B198" s="282" t="s">
        <v>469</v>
      </c>
      <c r="C198" s="282" t="s">
        <v>4328</v>
      </c>
      <c r="D198" s="282"/>
      <c r="E198" s="282"/>
      <c r="F198" s="288" t="s">
        <v>3925</v>
      </c>
      <c r="G198" s="354"/>
      <c r="H198" s="272"/>
      <c r="I198" s="272"/>
      <c r="J198" s="26"/>
      <c r="K198" s="33"/>
    </row>
    <row r="199" spans="1:13" x14ac:dyDescent="0.25">
      <c r="A199" s="276"/>
      <c r="B199" s="283"/>
      <c r="C199" s="283"/>
      <c r="D199" s="283"/>
      <c r="E199" s="283"/>
      <c r="F199" s="288"/>
      <c r="G199" s="272"/>
      <c r="H199" s="272"/>
      <c r="I199" s="272"/>
      <c r="J199" s="26"/>
      <c r="K199" s="33"/>
    </row>
    <row r="200" spans="1:13" x14ac:dyDescent="0.2">
      <c r="A200" s="276"/>
      <c r="B200" s="284"/>
      <c r="C200" s="284"/>
      <c r="D200" s="284"/>
      <c r="E200" s="284"/>
      <c r="F200" s="273"/>
      <c r="G200" s="273"/>
      <c r="H200" s="273"/>
      <c r="I200" s="273"/>
      <c r="J200" s="89"/>
      <c r="K200" s="34"/>
    </row>
    <row r="201" spans="1:13" ht="15" customHeight="1" x14ac:dyDescent="0.2">
      <c r="A201" s="276"/>
      <c r="B201" s="285"/>
      <c r="C201" s="285"/>
      <c r="D201" s="285"/>
      <c r="E201" s="285"/>
      <c r="F201" s="288" t="s">
        <v>3926</v>
      </c>
      <c r="G201" s="354"/>
      <c r="H201" s="272"/>
      <c r="I201" s="272"/>
      <c r="J201" s="26"/>
      <c r="K201" s="34"/>
    </row>
    <row r="202" spans="1:13" x14ac:dyDescent="0.2">
      <c r="A202" s="276"/>
      <c r="B202" s="285"/>
      <c r="C202" s="285"/>
      <c r="D202" s="285"/>
      <c r="E202" s="285"/>
      <c r="F202" s="288"/>
      <c r="G202" s="272"/>
      <c r="H202" s="272"/>
      <c r="I202" s="272"/>
      <c r="J202" s="26"/>
      <c r="K202" s="34"/>
    </row>
    <row r="203" spans="1:13" x14ac:dyDescent="0.2">
      <c r="A203" s="276"/>
      <c r="B203" s="285"/>
      <c r="C203" s="285"/>
      <c r="D203" s="285"/>
      <c r="E203" s="285"/>
      <c r="F203" s="273"/>
      <c r="G203" s="273"/>
      <c r="H203" s="273"/>
      <c r="I203" s="273"/>
      <c r="J203" s="89"/>
      <c r="K203" s="34"/>
    </row>
    <row r="204" spans="1:13" ht="16.350000000000001" customHeight="1" x14ac:dyDescent="0.2">
      <c r="A204" s="276"/>
      <c r="B204" s="285"/>
      <c r="C204" s="285"/>
      <c r="D204" s="285"/>
      <c r="E204" s="285"/>
      <c r="F204" s="288" t="s">
        <v>3927</v>
      </c>
      <c r="G204" s="354"/>
      <c r="H204" s="272"/>
      <c r="I204" s="272"/>
      <c r="J204" s="26"/>
      <c r="K204" s="34"/>
    </row>
    <row r="205" spans="1:13" ht="16.350000000000001" customHeight="1" x14ac:dyDescent="0.2">
      <c r="A205" s="276"/>
      <c r="B205" s="285"/>
      <c r="C205" s="285"/>
      <c r="D205" s="285"/>
      <c r="E205" s="285"/>
      <c r="F205" s="288"/>
      <c r="G205" s="272"/>
      <c r="H205" s="272"/>
      <c r="I205" s="272"/>
      <c r="J205" s="26"/>
      <c r="K205" s="34"/>
    </row>
    <row r="206" spans="1:13" x14ac:dyDescent="0.2">
      <c r="A206" s="276"/>
      <c r="B206" s="285"/>
      <c r="C206" s="285"/>
      <c r="D206" s="285"/>
      <c r="E206" s="285"/>
      <c r="F206" s="273"/>
      <c r="G206" s="273"/>
      <c r="H206" s="273"/>
      <c r="I206" s="273"/>
      <c r="J206" s="89"/>
      <c r="K206" s="34"/>
    </row>
    <row r="207" spans="1:13" ht="16.350000000000001" customHeight="1" x14ac:dyDescent="0.2">
      <c r="A207" s="276"/>
      <c r="B207" s="285"/>
      <c r="C207" s="285"/>
      <c r="D207" s="285"/>
      <c r="E207" s="285"/>
      <c r="F207" s="288" t="s">
        <v>3928</v>
      </c>
      <c r="G207" s="354"/>
      <c r="H207" s="272"/>
      <c r="I207" s="272"/>
      <c r="J207" s="26"/>
      <c r="K207" s="34"/>
    </row>
    <row r="208" spans="1:13" ht="16.350000000000001" customHeight="1" x14ac:dyDescent="0.2">
      <c r="A208" s="276"/>
      <c r="B208" s="285"/>
      <c r="C208" s="285"/>
      <c r="D208" s="285"/>
      <c r="E208" s="285"/>
      <c r="F208" s="288"/>
      <c r="G208" s="272"/>
      <c r="H208" s="272"/>
      <c r="I208" s="272"/>
      <c r="J208" s="26"/>
      <c r="K208" s="34"/>
    </row>
    <row r="209" spans="1:11" x14ac:dyDescent="0.2">
      <c r="A209" s="276"/>
      <c r="B209" s="285"/>
      <c r="C209" s="285"/>
      <c r="D209" s="285"/>
      <c r="E209" s="285"/>
      <c r="F209" s="273"/>
      <c r="G209" s="273"/>
      <c r="H209" s="273"/>
      <c r="I209" s="273"/>
      <c r="J209" s="89"/>
      <c r="K209" s="100"/>
    </row>
    <row r="210" spans="1:11" ht="16.350000000000001" customHeight="1" x14ac:dyDescent="0.2">
      <c r="A210" s="276"/>
      <c r="B210" s="285"/>
      <c r="C210" s="285"/>
      <c r="D210" s="285"/>
      <c r="E210" s="285"/>
      <c r="F210" s="288" t="s">
        <v>3929</v>
      </c>
      <c r="G210" s="354"/>
      <c r="H210" s="272"/>
      <c r="I210" s="272"/>
      <c r="J210" s="26"/>
      <c r="K210" s="100"/>
    </row>
    <row r="211" spans="1:11" ht="16.350000000000001" customHeight="1" x14ac:dyDescent="0.2">
      <c r="A211" s="276"/>
      <c r="B211" s="285"/>
      <c r="C211" s="285"/>
      <c r="D211" s="285"/>
      <c r="E211" s="285"/>
      <c r="F211" s="288"/>
      <c r="G211" s="272"/>
      <c r="H211" s="272"/>
      <c r="I211" s="272"/>
      <c r="J211" s="26"/>
      <c r="K211" s="100"/>
    </row>
    <row r="212" spans="1:11" x14ac:dyDescent="0.2">
      <c r="A212" s="276"/>
      <c r="B212" s="285"/>
      <c r="C212" s="285"/>
      <c r="D212" s="285"/>
      <c r="E212" s="285"/>
      <c r="F212" s="273"/>
      <c r="G212" s="273"/>
      <c r="H212" s="273"/>
      <c r="I212" s="273"/>
      <c r="J212" s="89"/>
      <c r="K212" s="37"/>
    </row>
    <row r="213" spans="1:11" ht="16.350000000000001" customHeight="1" x14ac:dyDescent="0.2">
      <c r="A213" s="276"/>
      <c r="B213" s="285"/>
      <c r="C213" s="285"/>
      <c r="D213" s="285"/>
      <c r="E213" s="285"/>
      <c r="F213" s="288" t="s">
        <v>3930</v>
      </c>
      <c r="G213" s="272"/>
      <c r="H213" s="272"/>
      <c r="I213" s="272"/>
      <c r="J213" s="26"/>
      <c r="K213" s="34"/>
    </row>
    <row r="214" spans="1:11" ht="16.350000000000001" customHeight="1" x14ac:dyDescent="0.2">
      <c r="A214" s="276"/>
      <c r="B214" s="285"/>
      <c r="C214" s="285"/>
      <c r="D214" s="285"/>
      <c r="E214" s="285"/>
      <c r="F214" s="288"/>
      <c r="G214" s="272"/>
      <c r="H214" s="272"/>
      <c r="I214" s="272"/>
      <c r="J214" s="26"/>
      <c r="K214" s="34"/>
    </row>
    <row r="215" spans="1:11" x14ac:dyDescent="0.2">
      <c r="A215" s="276"/>
      <c r="B215" s="285"/>
      <c r="C215" s="285"/>
      <c r="D215" s="285"/>
      <c r="E215" s="285"/>
      <c r="F215" s="273"/>
      <c r="G215" s="273"/>
      <c r="H215" s="273"/>
      <c r="I215" s="273"/>
      <c r="J215" s="89"/>
      <c r="K215" s="100"/>
    </row>
    <row r="216" spans="1:11" ht="16.350000000000001" customHeight="1" x14ac:dyDescent="0.2">
      <c r="A216" s="276"/>
      <c r="B216" s="285"/>
      <c r="C216" s="285"/>
      <c r="D216" s="285"/>
      <c r="E216" s="285"/>
      <c r="F216" s="288" t="s">
        <v>4414</v>
      </c>
      <c r="G216" s="354"/>
      <c r="H216" s="272"/>
      <c r="I216" s="272"/>
      <c r="J216" s="26"/>
      <c r="K216" s="34"/>
    </row>
    <row r="217" spans="1:11" ht="16.350000000000001" customHeight="1" x14ac:dyDescent="0.2">
      <c r="A217" s="276"/>
      <c r="B217" s="285"/>
      <c r="C217" s="285"/>
      <c r="D217" s="285"/>
      <c r="E217" s="285"/>
      <c r="F217" s="288"/>
      <c r="G217" s="272"/>
      <c r="H217" s="272"/>
      <c r="I217" s="272"/>
      <c r="J217" s="26"/>
      <c r="K217" s="34"/>
    </row>
    <row r="218" spans="1:11" x14ac:dyDescent="0.2">
      <c r="A218" s="276"/>
      <c r="B218" s="285"/>
      <c r="C218" s="285"/>
      <c r="D218" s="285"/>
      <c r="E218" s="285"/>
      <c r="F218" s="273"/>
      <c r="G218" s="273"/>
      <c r="H218" s="273"/>
      <c r="I218" s="273"/>
      <c r="J218" s="89"/>
      <c r="K218" s="100"/>
    </row>
    <row r="219" spans="1:11" ht="16.350000000000001" customHeight="1" x14ac:dyDescent="0.2">
      <c r="A219" s="276"/>
      <c r="B219" s="285"/>
      <c r="C219" s="285"/>
      <c r="D219" s="285"/>
      <c r="E219" s="285"/>
      <c r="F219" s="288" t="s">
        <v>4415</v>
      </c>
      <c r="G219" s="354"/>
      <c r="H219" s="272"/>
      <c r="I219" s="272"/>
      <c r="J219" s="26"/>
      <c r="K219" s="100"/>
    </row>
    <row r="220" spans="1:11" ht="16.350000000000001" customHeight="1" x14ac:dyDescent="0.2">
      <c r="A220" s="276"/>
      <c r="B220" s="285"/>
      <c r="C220" s="285"/>
      <c r="D220" s="285"/>
      <c r="E220" s="285"/>
      <c r="F220" s="288"/>
      <c r="G220" s="272"/>
      <c r="H220" s="272"/>
      <c r="I220" s="272"/>
      <c r="J220" s="26"/>
      <c r="K220" s="100"/>
    </row>
    <row r="221" spans="1:11" x14ac:dyDescent="0.2">
      <c r="A221" s="276"/>
      <c r="B221" s="285"/>
      <c r="C221" s="285"/>
      <c r="D221" s="285"/>
      <c r="E221" s="285"/>
      <c r="F221" s="273"/>
      <c r="G221" s="273"/>
      <c r="H221" s="273"/>
      <c r="I221" s="273"/>
      <c r="J221" s="89"/>
      <c r="K221" s="37"/>
    </row>
    <row r="222" spans="1:11" ht="16.350000000000001" customHeight="1" x14ac:dyDescent="0.2">
      <c r="A222" s="276"/>
      <c r="B222" s="285"/>
      <c r="C222" s="285"/>
      <c r="D222" s="285"/>
      <c r="E222" s="285"/>
      <c r="F222" s="288" t="s">
        <v>4416</v>
      </c>
      <c r="G222" s="272"/>
      <c r="H222" s="272"/>
      <c r="I222" s="272"/>
      <c r="J222" s="26"/>
      <c r="K222" s="34"/>
    </row>
    <row r="223" spans="1:11" ht="16.350000000000001" customHeight="1" x14ac:dyDescent="0.2">
      <c r="A223" s="276"/>
      <c r="B223" s="285"/>
      <c r="C223" s="285"/>
      <c r="D223" s="285"/>
      <c r="E223" s="285"/>
      <c r="F223" s="288"/>
      <c r="G223" s="272"/>
      <c r="H223" s="272"/>
      <c r="I223" s="272"/>
      <c r="J223" s="26"/>
      <c r="K223" s="34"/>
    </row>
    <row r="224" spans="1:11" x14ac:dyDescent="0.2">
      <c r="A224" s="276"/>
      <c r="B224" s="285"/>
      <c r="C224" s="285"/>
      <c r="D224" s="285"/>
      <c r="E224" s="285"/>
      <c r="F224" s="273"/>
      <c r="G224" s="273"/>
      <c r="H224" s="273"/>
      <c r="I224" s="273"/>
      <c r="J224" s="89"/>
      <c r="K224" s="100"/>
    </row>
    <row r="225" spans="1:11" x14ac:dyDescent="0.2">
      <c r="A225" s="276"/>
      <c r="B225" s="275" t="s">
        <v>845</v>
      </c>
      <c r="C225" s="286" t="s">
        <v>4356</v>
      </c>
      <c r="D225" s="286"/>
      <c r="E225" s="286"/>
      <c r="F225" s="288" t="s">
        <v>3931</v>
      </c>
      <c r="G225" s="569" t="s">
        <v>4417</v>
      </c>
      <c r="H225" s="272"/>
      <c r="I225" s="272"/>
      <c r="J225" s="26"/>
      <c r="K225" s="37"/>
    </row>
    <row r="226" spans="1:11" x14ac:dyDescent="0.2">
      <c r="A226" s="276"/>
      <c r="B226" s="287"/>
      <c r="C226" s="287"/>
      <c r="D226" s="287"/>
      <c r="E226" s="287"/>
      <c r="F226" s="274"/>
      <c r="G226" s="274"/>
      <c r="H226" s="272"/>
      <c r="I226" s="274"/>
      <c r="J226" s="91"/>
      <c r="K226" s="37"/>
    </row>
    <row r="227" spans="1:11" x14ac:dyDescent="0.2">
      <c r="A227" s="276"/>
      <c r="B227" s="276"/>
      <c r="C227" s="276"/>
      <c r="D227" s="276"/>
      <c r="E227" s="276"/>
      <c r="F227" s="273"/>
      <c r="G227" s="273"/>
      <c r="H227" s="273"/>
      <c r="I227" s="273"/>
      <c r="J227" s="89"/>
      <c r="K227" s="37"/>
    </row>
    <row r="228" spans="1:11" ht="15" customHeight="1" x14ac:dyDescent="0.2">
      <c r="A228" s="276"/>
      <c r="B228" s="276"/>
      <c r="C228" s="276"/>
      <c r="D228" s="276"/>
      <c r="E228" s="276"/>
      <c r="F228" s="288" t="s">
        <v>3932</v>
      </c>
      <c r="G228" s="569" t="s">
        <v>4418</v>
      </c>
      <c r="H228" s="272"/>
      <c r="I228" s="272"/>
      <c r="J228" s="26"/>
      <c r="K228" s="7"/>
    </row>
    <row r="229" spans="1:11" x14ac:dyDescent="0.2">
      <c r="A229" s="276"/>
      <c r="B229" s="276"/>
      <c r="C229" s="276"/>
      <c r="D229" s="276"/>
      <c r="E229" s="276"/>
      <c r="F229" s="274"/>
      <c r="G229" s="274"/>
      <c r="H229" s="272"/>
      <c r="I229" s="274"/>
      <c r="J229" s="91"/>
      <c r="K229" s="7"/>
    </row>
    <row r="230" spans="1:11" x14ac:dyDescent="0.2">
      <c r="A230" s="276"/>
      <c r="B230" s="276"/>
      <c r="C230" s="276"/>
      <c r="D230" s="276"/>
      <c r="E230" s="276"/>
      <c r="F230" s="273"/>
      <c r="G230" s="273"/>
      <c r="H230" s="273"/>
      <c r="I230" s="273"/>
      <c r="J230" s="89"/>
      <c r="K230" s="7"/>
    </row>
    <row r="231" spans="1:11" ht="16.350000000000001" customHeight="1" x14ac:dyDescent="0.2">
      <c r="A231" s="276"/>
      <c r="B231" s="276"/>
      <c r="C231" s="276"/>
      <c r="D231" s="276"/>
      <c r="E231" s="276"/>
      <c r="F231" s="288" t="s">
        <v>3933</v>
      </c>
      <c r="G231" s="272"/>
      <c r="H231" s="272"/>
      <c r="I231" s="272"/>
      <c r="J231" s="26"/>
      <c r="K231" s="7"/>
    </row>
    <row r="232" spans="1:11" x14ac:dyDescent="0.2">
      <c r="A232" s="276"/>
      <c r="B232" s="276"/>
      <c r="C232" s="276"/>
      <c r="D232" s="276"/>
      <c r="E232" s="276"/>
      <c r="F232" s="274"/>
      <c r="G232" s="274"/>
      <c r="H232" s="272"/>
      <c r="I232" s="274"/>
      <c r="J232" s="91"/>
      <c r="K232" s="7"/>
    </row>
    <row r="233" spans="1:11" x14ac:dyDescent="0.2">
      <c r="A233" s="276"/>
      <c r="B233" s="276"/>
      <c r="C233" s="276"/>
      <c r="D233" s="276"/>
      <c r="E233" s="276"/>
      <c r="F233" s="273"/>
      <c r="G233" s="273"/>
      <c r="H233" s="273"/>
      <c r="I233" s="273"/>
      <c r="J233" s="89"/>
      <c r="K233" s="7"/>
    </row>
    <row r="234" spans="1:11" ht="16.350000000000001" customHeight="1" x14ac:dyDescent="0.2">
      <c r="A234" s="276"/>
      <c r="B234" s="276"/>
      <c r="C234" s="276"/>
      <c r="D234" s="276"/>
      <c r="E234" s="276"/>
      <c r="F234" s="288" t="s">
        <v>3934</v>
      </c>
      <c r="G234" s="272"/>
      <c r="H234" s="272"/>
      <c r="I234" s="272"/>
      <c r="J234" s="26"/>
      <c r="K234" s="6"/>
    </row>
    <row r="235" spans="1:11" x14ac:dyDescent="0.2">
      <c r="A235" s="276"/>
      <c r="B235" s="276"/>
      <c r="C235" s="276"/>
      <c r="D235" s="276"/>
      <c r="E235" s="276"/>
      <c r="F235" s="274"/>
      <c r="G235" s="274"/>
      <c r="H235" s="272"/>
      <c r="I235" s="274"/>
      <c r="J235" s="91"/>
      <c r="K235" s="7"/>
    </row>
    <row r="236" spans="1:11" x14ac:dyDescent="0.2">
      <c r="A236" s="276"/>
      <c r="B236" s="276"/>
      <c r="C236" s="276"/>
      <c r="D236" s="276"/>
      <c r="E236" s="276"/>
      <c r="F236" s="273"/>
      <c r="G236" s="273"/>
      <c r="H236" s="273"/>
      <c r="I236" s="273"/>
      <c r="J236" s="89"/>
      <c r="K236" s="7"/>
    </row>
    <row r="237" spans="1:11" ht="16.350000000000001" customHeight="1" x14ac:dyDescent="0.2">
      <c r="A237" s="276"/>
      <c r="B237" s="276"/>
      <c r="C237" s="276"/>
      <c r="D237" s="276"/>
      <c r="E237" s="276"/>
      <c r="F237" s="288" t="s">
        <v>3935</v>
      </c>
      <c r="G237" s="272"/>
      <c r="H237" s="272"/>
      <c r="I237" s="272"/>
      <c r="J237" s="26"/>
      <c r="K237" s="6"/>
    </row>
    <row r="238" spans="1:11" x14ac:dyDescent="0.2">
      <c r="A238" s="276"/>
      <c r="B238" s="276"/>
      <c r="C238" s="276"/>
      <c r="D238" s="276"/>
      <c r="E238" s="276"/>
      <c r="F238" s="274"/>
      <c r="G238" s="274"/>
      <c r="H238" s="272"/>
      <c r="I238" s="274"/>
      <c r="J238" s="91"/>
      <c r="K238" s="7"/>
    </row>
    <row r="239" spans="1:11" x14ac:dyDescent="0.2">
      <c r="A239" s="276"/>
      <c r="B239" s="276"/>
      <c r="C239" s="276"/>
      <c r="D239" s="276"/>
      <c r="E239" s="276"/>
      <c r="F239" s="273"/>
      <c r="G239" s="273"/>
      <c r="H239" s="273"/>
      <c r="I239" s="273"/>
      <c r="J239" s="89"/>
      <c r="K239" s="7"/>
    </row>
    <row r="240" spans="1:11" ht="16.350000000000001" customHeight="1" x14ac:dyDescent="0.2">
      <c r="A240" s="276"/>
      <c r="B240" s="276"/>
      <c r="C240" s="276"/>
      <c r="D240" s="276"/>
      <c r="E240" s="276"/>
      <c r="F240" s="288" t="s">
        <v>3936</v>
      </c>
      <c r="G240" s="272"/>
      <c r="H240" s="272"/>
      <c r="I240" s="272"/>
      <c r="J240" s="26"/>
      <c r="K240" s="6"/>
    </row>
    <row r="241" spans="1:11" x14ac:dyDescent="0.2">
      <c r="A241" s="276"/>
      <c r="B241" s="276"/>
      <c r="C241" s="276"/>
      <c r="D241" s="276"/>
      <c r="E241" s="276"/>
      <c r="F241" s="274"/>
      <c r="G241" s="274"/>
      <c r="H241" s="272"/>
      <c r="I241" s="274"/>
      <c r="J241" s="91"/>
      <c r="K241" s="7"/>
    </row>
    <row r="242" spans="1:11" x14ac:dyDescent="0.2">
      <c r="A242" s="276"/>
      <c r="B242" s="276"/>
      <c r="C242" s="276"/>
      <c r="D242" s="276"/>
      <c r="E242" s="276"/>
      <c r="F242" s="273"/>
      <c r="G242" s="273"/>
      <c r="H242" s="273"/>
      <c r="I242" s="273"/>
      <c r="J242" s="89"/>
      <c r="K242" s="7"/>
    </row>
    <row r="243" spans="1:11" ht="15" customHeight="1" x14ac:dyDescent="0.2">
      <c r="A243" s="276"/>
      <c r="B243" s="275" t="s">
        <v>4332</v>
      </c>
      <c r="C243" s="570" t="s">
        <v>4330</v>
      </c>
      <c r="D243" s="286"/>
      <c r="E243" s="286"/>
      <c r="F243" s="569" t="s">
        <v>4441</v>
      </c>
      <c r="G243" s="569" t="s">
        <v>4429</v>
      </c>
      <c r="H243" s="272"/>
      <c r="I243" s="272"/>
      <c r="J243" s="26"/>
      <c r="K243" s="37"/>
    </row>
    <row r="244" spans="1:11" x14ac:dyDescent="0.2">
      <c r="A244" s="276"/>
      <c r="B244" s="287"/>
      <c r="C244" s="287"/>
      <c r="D244" s="287"/>
      <c r="E244" s="287"/>
      <c r="F244" s="274"/>
      <c r="G244" s="274"/>
      <c r="H244" s="272"/>
      <c r="I244" s="274"/>
      <c r="J244" s="91"/>
      <c r="K244" s="37"/>
    </row>
    <row r="245" spans="1:11" x14ac:dyDescent="0.2">
      <c r="A245" s="276"/>
      <c r="B245" s="276"/>
      <c r="C245" s="276"/>
      <c r="D245" s="276"/>
      <c r="E245" s="276"/>
      <c r="F245" s="273"/>
      <c r="G245" s="273"/>
      <c r="H245" s="273"/>
      <c r="I245" s="273"/>
      <c r="J245" s="89"/>
      <c r="K245" s="37"/>
    </row>
    <row r="246" spans="1:11" ht="15" customHeight="1" x14ac:dyDescent="0.2">
      <c r="A246" s="276"/>
      <c r="B246" s="276"/>
      <c r="C246" s="276"/>
      <c r="D246" s="276"/>
      <c r="E246" s="276"/>
      <c r="F246" s="569" t="s">
        <v>4442</v>
      </c>
      <c r="G246" s="569" t="s">
        <v>4428</v>
      </c>
      <c r="H246" s="272"/>
      <c r="I246" s="272"/>
      <c r="J246" s="26"/>
      <c r="K246" s="7"/>
    </row>
    <row r="247" spans="1:11" x14ac:dyDescent="0.2">
      <c r="A247" s="276"/>
      <c r="B247" s="276"/>
      <c r="C247" s="276"/>
      <c r="D247" s="276"/>
      <c r="E247" s="276"/>
      <c r="F247" s="274"/>
      <c r="G247" s="274"/>
      <c r="H247" s="272"/>
      <c r="I247" s="274"/>
      <c r="J247" s="91"/>
      <c r="K247" s="7"/>
    </row>
    <row r="248" spans="1:11" x14ac:dyDescent="0.2">
      <c r="A248" s="276"/>
      <c r="B248" s="276"/>
      <c r="C248" s="276"/>
      <c r="D248" s="276"/>
      <c r="E248" s="276"/>
      <c r="F248" s="273"/>
      <c r="G248" s="273"/>
      <c r="H248" s="273"/>
      <c r="I248" s="273"/>
      <c r="J248" s="89"/>
      <c r="K248" s="7"/>
    </row>
    <row r="249" spans="1:11" ht="16.350000000000001" customHeight="1" x14ac:dyDescent="0.2">
      <c r="A249" s="276"/>
      <c r="B249" s="276"/>
      <c r="C249" s="276"/>
      <c r="D249" s="276"/>
      <c r="E249" s="276"/>
      <c r="F249" s="569" t="s">
        <v>4443</v>
      </c>
      <c r="G249" s="569" t="s">
        <v>4490</v>
      </c>
      <c r="H249" s="272"/>
      <c r="I249" s="272"/>
      <c r="J249" s="26"/>
      <c r="K249" s="7"/>
    </row>
    <row r="250" spans="1:11" x14ac:dyDescent="0.2">
      <c r="A250" s="276"/>
      <c r="B250" s="276"/>
      <c r="C250" s="276"/>
      <c r="D250" s="276"/>
      <c r="E250" s="276"/>
      <c r="F250" s="274"/>
      <c r="G250" s="274"/>
      <c r="H250" s="272"/>
      <c r="I250" s="274"/>
      <c r="J250" s="91"/>
      <c r="K250" s="7"/>
    </row>
    <row r="251" spans="1:11" x14ac:dyDescent="0.2">
      <c r="A251" s="276"/>
      <c r="B251" s="276"/>
      <c r="C251" s="276"/>
      <c r="D251" s="276"/>
      <c r="E251" s="276"/>
      <c r="F251" s="273"/>
      <c r="G251" s="273"/>
      <c r="H251" s="273"/>
      <c r="I251" s="273"/>
      <c r="J251" s="89"/>
      <c r="K251" s="7"/>
    </row>
    <row r="252" spans="1:11" ht="16.350000000000001" customHeight="1" x14ac:dyDescent="0.2">
      <c r="A252" s="276"/>
      <c r="B252" s="276"/>
      <c r="C252" s="276"/>
      <c r="D252" s="276"/>
      <c r="E252" s="276"/>
      <c r="F252" s="569" t="s">
        <v>4444</v>
      </c>
      <c r="G252" s="272"/>
      <c r="H252" s="272"/>
      <c r="I252" s="272"/>
      <c r="J252" s="26"/>
      <c r="K252" s="6"/>
    </row>
    <row r="253" spans="1:11" x14ac:dyDescent="0.2">
      <c r="A253" s="276"/>
      <c r="B253" s="276"/>
      <c r="C253" s="276"/>
      <c r="D253" s="276"/>
      <c r="E253" s="276"/>
      <c r="F253" s="274"/>
      <c r="G253" s="274"/>
      <c r="H253" s="272"/>
      <c r="I253" s="274"/>
      <c r="J253" s="91"/>
      <c r="K253" s="7"/>
    </row>
    <row r="254" spans="1:11" x14ac:dyDescent="0.2">
      <c r="A254" s="276"/>
      <c r="B254" s="276"/>
      <c r="C254" s="276"/>
      <c r="D254" s="276"/>
      <c r="E254" s="276"/>
      <c r="F254" s="273"/>
      <c r="G254" s="273"/>
      <c r="H254" s="273"/>
      <c r="I254" s="273"/>
      <c r="J254" s="89"/>
      <c r="K254" s="7"/>
    </row>
    <row r="255" spans="1:11" ht="16.350000000000001" customHeight="1" x14ac:dyDescent="0.2">
      <c r="A255" s="276"/>
      <c r="B255" s="276"/>
      <c r="C255" s="276"/>
      <c r="D255" s="276"/>
      <c r="E255" s="276"/>
      <c r="F255" s="569" t="s">
        <v>4445</v>
      </c>
      <c r="G255" s="272"/>
      <c r="H255" s="272"/>
      <c r="I255" s="272"/>
      <c r="J255" s="26"/>
      <c r="K255" s="6"/>
    </row>
    <row r="256" spans="1:11" x14ac:dyDescent="0.2">
      <c r="A256" s="276"/>
      <c r="B256" s="276"/>
      <c r="C256" s="276"/>
      <c r="D256" s="276"/>
      <c r="E256" s="276"/>
      <c r="F256" s="274"/>
      <c r="G256" s="274"/>
      <c r="H256" s="272"/>
      <c r="I256" s="274"/>
      <c r="J256" s="91"/>
      <c r="K256" s="7"/>
    </row>
    <row r="257" spans="1:11" x14ac:dyDescent="0.2">
      <c r="A257" s="276"/>
      <c r="B257" s="276"/>
      <c r="C257" s="276"/>
      <c r="D257" s="276"/>
      <c r="E257" s="276"/>
      <c r="F257" s="273"/>
      <c r="G257" s="273"/>
      <c r="H257" s="273"/>
      <c r="I257" s="273"/>
      <c r="J257" s="89"/>
      <c r="K257" s="7"/>
    </row>
    <row r="258" spans="1:11" ht="16.350000000000001" customHeight="1" x14ac:dyDescent="0.2">
      <c r="A258" s="276"/>
      <c r="B258" s="276"/>
      <c r="C258" s="276"/>
      <c r="D258" s="276"/>
      <c r="E258" s="276"/>
      <c r="F258" s="569" t="s">
        <v>4446</v>
      </c>
      <c r="G258" s="272"/>
      <c r="H258" s="272"/>
      <c r="I258" s="272"/>
      <c r="J258" s="26"/>
      <c r="K258" s="6"/>
    </row>
    <row r="259" spans="1:11" x14ac:dyDescent="0.2">
      <c r="A259" s="276"/>
      <c r="B259" s="276"/>
      <c r="C259" s="276"/>
      <c r="D259" s="276"/>
      <c r="E259" s="276"/>
      <c r="F259" s="274"/>
      <c r="G259" s="274"/>
      <c r="H259" s="272"/>
      <c r="I259" s="274"/>
      <c r="J259" s="91"/>
      <c r="K259" s="7"/>
    </row>
    <row r="260" spans="1:11" x14ac:dyDescent="0.2">
      <c r="A260" s="276"/>
      <c r="B260" s="276"/>
      <c r="C260" s="276"/>
      <c r="D260" s="276"/>
      <c r="E260" s="276"/>
      <c r="F260" s="273"/>
      <c r="G260" s="273"/>
      <c r="H260" s="273"/>
      <c r="I260" s="273"/>
      <c r="J260" s="89"/>
      <c r="K260" s="7"/>
    </row>
    <row r="261" spans="1:11" ht="15" customHeight="1" x14ac:dyDescent="0.2">
      <c r="A261" s="276"/>
      <c r="B261" s="275" t="s">
        <v>4333</v>
      </c>
      <c r="C261" s="570" t="s">
        <v>4485</v>
      </c>
      <c r="D261" s="286"/>
      <c r="E261" s="286"/>
      <c r="F261" s="569" t="s">
        <v>4447</v>
      </c>
      <c r="G261" s="569" t="s">
        <v>4491</v>
      </c>
      <c r="H261" s="272"/>
      <c r="I261" s="272"/>
      <c r="J261" s="26"/>
      <c r="K261" s="37"/>
    </row>
    <row r="262" spans="1:11" x14ac:dyDescent="0.2">
      <c r="A262" s="276"/>
      <c r="B262" s="287"/>
      <c r="C262" s="287"/>
      <c r="D262" s="287"/>
      <c r="E262" s="287"/>
      <c r="F262" s="274"/>
      <c r="G262" s="274"/>
      <c r="H262" s="272"/>
      <c r="I262" s="274"/>
      <c r="J262" s="91"/>
      <c r="K262" s="37"/>
    </row>
    <row r="263" spans="1:11" x14ac:dyDescent="0.2">
      <c r="A263" s="276"/>
      <c r="B263" s="276"/>
      <c r="C263" s="276"/>
      <c r="D263" s="276"/>
      <c r="E263" s="276"/>
      <c r="F263" s="273"/>
      <c r="G263" s="273"/>
      <c r="H263" s="273"/>
      <c r="I263" s="273"/>
      <c r="J263" s="89"/>
      <c r="K263" s="37"/>
    </row>
    <row r="264" spans="1:11" ht="15" customHeight="1" x14ac:dyDescent="0.2">
      <c r="A264" s="276"/>
      <c r="B264" s="276"/>
      <c r="C264" s="276"/>
      <c r="D264" s="276"/>
      <c r="E264" s="276"/>
      <c r="F264" s="569" t="s">
        <v>4448</v>
      </c>
      <c r="G264" s="569" t="s">
        <v>4436</v>
      </c>
      <c r="H264" s="272"/>
      <c r="I264" s="272"/>
      <c r="J264" s="26"/>
      <c r="K264" s="7"/>
    </row>
    <row r="265" spans="1:11" x14ac:dyDescent="0.2">
      <c r="A265" s="276"/>
      <c r="B265" s="276"/>
      <c r="C265" s="276"/>
      <c r="D265" s="276"/>
      <c r="E265" s="276"/>
      <c r="F265" s="274"/>
      <c r="G265" s="274"/>
      <c r="H265" s="272"/>
      <c r="I265" s="274"/>
      <c r="J265" s="91"/>
      <c r="K265" s="7"/>
    </row>
    <row r="266" spans="1:11" x14ac:dyDescent="0.2">
      <c r="A266" s="276"/>
      <c r="B266" s="276"/>
      <c r="C266" s="276"/>
      <c r="D266" s="276"/>
      <c r="E266" s="276"/>
      <c r="F266" s="273"/>
      <c r="G266" s="273"/>
      <c r="H266" s="273"/>
      <c r="I266" s="273"/>
      <c r="J266" s="89"/>
      <c r="K266" s="7"/>
    </row>
    <row r="267" spans="1:11" ht="16.350000000000001" customHeight="1" x14ac:dyDescent="0.2">
      <c r="A267" s="276"/>
      <c r="B267" s="276"/>
      <c r="C267" s="276"/>
      <c r="D267" s="276"/>
      <c r="E267" s="276"/>
      <c r="F267" s="569" t="s">
        <v>4449</v>
      </c>
      <c r="G267" s="569" t="s">
        <v>4419</v>
      </c>
      <c r="H267" s="272"/>
      <c r="I267" s="272"/>
      <c r="J267" s="26"/>
      <c r="K267" s="7"/>
    </row>
    <row r="268" spans="1:11" x14ac:dyDescent="0.2">
      <c r="A268" s="276"/>
      <c r="B268" s="276"/>
      <c r="C268" s="276"/>
      <c r="D268" s="276"/>
      <c r="E268" s="276"/>
      <c r="F268" s="274"/>
      <c r="G268" s="274"/>
      <c r="H268" s="272"/>
      <c r="I268" s="274"/>
      <c r="J268" s="91"/>
      <c r="K268" s="7"/>
    </row>
    <row r="269" spans="1:11" x14ac:dyDescent="0.2">
      <c r="A269" s="276"/>
      <c r="B269" s="276"/>
      <c r="C269" s="276"/>
      <c r="D269" s="276"/>
      <c r="E269" s="276"/>
      <c r="F269" s="273"/>
      <c r="G269" s="273"/>
      <c r="H269" s="273"/>
      <c r="I269" s="273"/>
      <c r="J269" s="89"/>
      <c r="K269" s="7"/>
    </row>
    <row r="270" spans="1:11" ht="16.350000000000001" customHeight="1" x14ac:dyDescent="0.2">
      <c r="A270" s="276"/>
      <c r="B270" s="276"/>
      <c r="C270" s="276"/>
      <c r="D270" s="276"/>
      <c r="E270" s="276"/>
      <c r="F270" s="569" t="s">
        <v>4450</v>
      </c>
      <c r="G270" s="569" t="s">
        <v>4420</v>
      </c>
      <c r="H270" s="272"/>
      <c r="I270" s="272"/>
      <c r="J270" s="26"/>
      <c r="K270" s="6"/>
    </row>
    <row r="271" spans="1:11" x14ac:dyDescent="0.2">
      <c r="A271" s="276"/>
      <c r="B271" s="276"/>
      <c r="C271" s="276"/>
      <c r="D271" s="276"/>
      <c r="E271" s="276"/>
      <c r="F271" s="274"/>
      <c r="G271" s="274"/>
      <c r="H271" s="272"/>
      <c r="I271" s="274"/>
      <c r="J271" s="91"/>
      <c r="K271" s="7"/>
    </row>
    <row r="272" spans="1:11" x14ac:dyDescent="0.2">
      <c r="A272" s="276"/>
      <c r="B272" s="276"/>
      <c r="C272" s="276"/>
      <c r="D272" s="276"/>
      <c r="E272" s="276"/>
      <c r="F272" s="273"/>
      <c r="G272" s="273"/>
      <c r="H272" s="273"/>
      <c r="I272" s="273"/>
      <c r="J272" s="89"/>
      <c r="K272" s="7"/>
    </row>
    <row r="273" spans="1:11" ht="16.350000000000001" customHeight="1" x14ac:dyDescent="0.2">
      <c r="A273" s="276"/>
      <c r="B273" s="276"/>
      <c r="C273" s="276"/>
      <c r="D273" s="276"/>
      <c r="E273" s="276"/>
      <c r="F273" s="569" t="s">
        <v>4451</v>
      </c>
      <c r="G273" s="569" t="s">
        <v>4492</v>
      </c>
      <c r="H273" s="272"/>
      <c r="I273" s="272"/>
      <c r="J273" s="26"/>
      <c r="K273" s="6"/>
    </row>
    <row r="274" spans="1:11" x14ac:dyDescent="0.2">
      <c r="A274" s="276"/>
      <c r="B274" s="276"/>
      <c r="C274" s="276"/>
      <c r="D274" s="276"/>
      <c r="E274" s="276"/>
      <c r="F274" s="274"/>
      <c r="G274" s="274"/>
      <c r="H274" s="272"/>
      <c r="I274" s="274"/>
      <c r="J274" s="91"/>
      <c r="K274" s="7"/>
    </row>
    <row r="275" spans="1:11" x14ac:dyDescent="0.2">
      <c r="A275" s="276"/>
      <c r="B275" s="276"/>
      <c r="C275" s="276"/>
      <c r="D275" s="276"/>
      <c r="E275" s="276"/>
      <c r="F275" s="273"/>
      <c r="G275" s="273"/>
      <c r="H275" s="273"/>
      <c r="I275" s="273"/>
      <c r="J275" s="89"/>
      <c r="K275" s="7"/>
    </row>
    <row r="276" spans="1:11" ht="16.350000000000001" customHeight="1" x14ac:dyDescent="0.2">
      <c r="A276" s="276"/>
      <c r="B276" s="276"/>
      <c r="C276" s="276"/>
      <c r="D276" s="276"/>
      <c r="E276" s="276"/>
      <c r="F276" s="569" t="s">
        <v>4452</v>
      </c>
      <c r="G276" s="272"/>
      <c r="H276" s="272"/>
      <c r="I276" s="272"/>
      <c r="J276" s="26"/>
      <c r="K276" s="6"/>
    </row>
    <row r="277" spans="1:11" x14ac:dyDescent="0.2">
      <c r="A277" s="276"/>
      <c r="B277" s="276"/>
      <c r="C277" s="276"/>
      <c r="D277" s="276"/>
      <c r="E277" s="276"/>
      <c r="F277" s="274"/>
      <c r="G277" s="274"/>
      <c r="H277" s="272"/>
      <c r="I277" s="274"/>
      <c r="J277" s="91"/>
      <c r="K277" s="7"/>
    </row>
    <row r="278" spans="1:11" x14ac:dyDescent="0.2">
      <c r="A278" s="276"/>
      <c r="B278" s="276"/>
      <c r="C278" s="276"/>
      <c r="D278" s="276"/>
      <c r="E278" s="276"/>
      <c r="F278" s="273"/>
      <c r="G278" s="273"/>
      <c r="H278" s="273"/>
      <c r="I278" s="273"/>
      <c r="J278" s="89"/>
      <c r="K278" s="7"/>
    </row>
    <row r="279" spans="1:11" ht="16.350000000000001" customHeight="1" x14ac:dyDescent="0.2">
      <c r="A279" s="276"/>
      <c r="B279" s="276"/>
      <c r="C279" s="276"/>
      <c r="D279" s="276"/>
      <c r="E279" s="276"/>
      <c r="F279" s="569" t="s">
        <v>4453</v>
      </c>
      <c r="G279" s="272"/>
      <c r="H279" s="272"/>
      <c r="I279" s="272"/>
      <c r="J279" s="26"/>
      <c r="K279" s="6"/>
    </row>
    <row r="280" spans="1:11" x14ac:dyDescent="0.2">
      <c r="A280" s="276"/>
      <c r="B280" s="276"/>
      <c r="C280" s="276"/>
      <c r="D280" s="276"/>
      <c r="E280" s="276"/>
      <c r="F280" s="274"/>
      <c r="G280" s="274"/>
      <c r="H280" s="272"/>
      <c r="I280" s="274"/>
      <c r="J280" s="91"/>
      <c r="K280" s="7"/>
    </row>
    <row r="281" spans="1:11" x14ac:dyDescent="0.2">
      <c r="A281" s="276"/>
      <c r="B281" s="276"/>
      <c r="C281" s="276"/>
      <c r="D281" s="276"/>
      <c r="E281" s="276"/>
      <c r="F281" s="273"/>
      <c r="G281" s="273"/>
      <c r="H281" s="273"/>
      <c r="I281" s="273"/>
      <c r="J281" s="89"/>
      <c r="K281" s="7"/>
    </row>
    <row r="282" spans="1:11" ht="16.350000000000001" customHeight="1" x14ac:dyDescent="0.2">
      <c r="A282" s="276"/>
      <c r="B282" s="276"/>
      <c r="C282" s="276"/>
      <c r="D282" s="276"/>
      <c r="E282" s="276"/>
      <c r="F282" s="569" t="s">
        <v>4454</v>
      </c>
      <c r="G282" s="272"/>
      <c r="H282" s="272"/>
      <c r="I282" s="272"/>
      <c r="J282" s="26"/>
      <c r="K282" s="6"/>
    </row>
    <row r="283" spans="1:11" x14ac:dyDescent="0.2">
      <c r="A283" s="276"/>
      <c r="B283" s="276"/>
      <c r="C283" s="276"/>
      <c r="D283" s="276"/>
      <c r="E283" s="276"/>
      <c r="F283" s="274"/>
      <c r="G283" s="274"/>
      <c r="H283" s="272"/>
      <c r="I283" s="274"/>
      <c r="J283" s="91"/>
      <c r="K283" s="7"/>
    </row>
    <row r="284" spans="1:11" x14ac:dyDescent="0.2">
      <c r="A284" s="276"/>
      <c r="B284" s="276"/>
      <c r="C284" s="276"/>
      <c r="D284" s="276"/>
      <c r="E284" s="276"/>
      <c r="F284" s="273"/>
      <c r="G284" s="273"/>
      <c r="H284" s="273"/>
      <c r="I284" s="273"/>
      <c r="J284" s="89"/>
      <c r="K284" s="7"/>
    </row>
    <row r="285" spans="1:11" ht="16.350000000000001" customHeight="1" x14ac:dyDescent="0.2">
      <c r="A285" s="276"/>
      <c r="B285" s="276"/>
      <c r="C285" s="276"/>
      <c r="D285" s="276"/>
      <c r="E285" s="276"/>
      <c r="F285" s="569" t="s">
        <v>4455</v>
      </c>
      <c r="G285" s="272"/>
      <c r="H285" s="272"/>
      <c r="I285" s="272"/>
      <c r="J285" s="26"/>
      <c r="K285" s="6"/>
    </row>
    <row r="286" spans="1:11" x14ac:dyDescent="0.2">
      <c r="A286" s="276"/>
      <c r="B286" s="276"/>
      <c r="C286" s="276"/>
      <c r="D286" s="276"/>
      <c r="E286" s="276"/>
      <c r="F286" s="274"/>
      <c r="G286" s="274"/>
      <c r="H286" s="272"/>
      <c r="I286" s="274"/>
      <c r="J286" s="91"/>
      <c r="K286" s="7"/>
    </row>
    <row r="287" spans="1:11" x14ac:dyDescent="0.2">
      <c r="A287" s="276"/>
      <c r="B287" s="276"/>
      <c r="C287" s="276"/>
      <c r="D287" s="276"/>
      <c r="E287" s="276"/>
      <c r="F287" s="273"/>
      <c r="G287" s="273"/>
      <c r="H287" s="273"/>
      <c r="I287" s="273"/>
      <c r="J287" s="89"/>
      <c r="K287" s="7"/>
    </row>
    <row r="288" spans="1:11" ht="15" customHeight="1" x14ac:dyDescent="0.2">
      <c r="A288" s="276"/>
      <c r="B288" s="275" t="s">
        <v>4334</v>
      </c>
      <c r="C288" s="570" t="s">
        <v>4331</v>
      </c>
      <c r="D288" s="286"/>
      <c r="E288" s="286"/>
      <c r="F288" s="569" t="s">
        <v>4456</v>
      </c>
      <c r="G288" s="569" t="s">
        <v>4437</v>
      </c>
      <c r="H288" s="272"/>
      <c r="I288" s="272"/>
      <c r="J288" s="26"/>
      <c r="K288" s="37"/>
    </row>
    <row r="289" spans="1:11" x14ac:dyDescent="0.2">
      <c r="A289" s="276"/>
      <c r="B289" s="287"/>
      <c r="C289" s="287"/>
      <c r="D289" s="287"/>
      <c r="E289" s="287"/>
      <c r="F289" s="274"/>
      <c r="G289" s="274"/>
      <c r="H289" s="272"/>
      <c r="I289" s="274"/>
      <c r="J289" s="91"/>
      <c r="K289" s="37"/>
    </row>
    <row r="290" spans="1:11" x14ac:dyDescent="0.2">
      <c r="A290" s="276"/>
      <c r="B290" s="276"/>
      <c r="C290" s="276"/>
      <c r="D290" s="276"/>
      <c r="E290" s="276"/>
      <c r="F290" s="273"/>
      <c r="G290" s="273"/>
      <c r="H290" s="273"/>
      <c r="I290" s="273"/>
      <c r="J290" s="89"/>
      <c r="K290" s="37"/>
    </row>
    <row r="291" spans="1:11" ht="15" customHeight="1" x14ac:dyDescent="0.2">
      <c r="A291" s="276"/>
      <c r="B291" s="276"/>
      <c r="C291" s="276"/>
      <c r="D291" s="276"/>
      <c r="E291" s="276"/>
      <c r="F291" s="569" t="s">
        <v>4457</v>
      </c>
      <c r="G291" s="569" t="s">
        <v>4493</v>
      </c>
      <c r="H291" s="272"/>
      <c r="I291" s="272"/>
      <c r="J291" s="26"/>
      <c r="K291" s="7"/>
    </row>
    <row r="292" spans="1:11" x14ac:dyDescent="0.2">
      <c r="A292" s="276"/>
      <c r="B292" s="276"/>
      <c r="C292" s="276"/>
      <c r="D292" s="276"/>
      <c r="E292" s="276"/>
      <c r="F292" s="274"/>
      <c r="G292" s="274"/>
      <c r="H292" s="272"/>
      <c r="I292" s="274"/>
      <c r="J292" s="91"/>
      <c r="K292" s="7"/>
    </row>
    <row r="293" spans="1:11" x14ac:dyDescent="0.2">
      <c r="A293" s="276"/>
      <c r="B293" s="276"/>
      <c r="C293" s="276"/>
      <c r="D293" s="276"/>
      <c r="E293" s="276"/>
      <c r="F293" s="273"/>
      <c r="G293" s="273"/>
      <c r="H293" s="273"/>
      <c r="I293" s="273"/>
      <c r="J293" s="89"/>
      <c r="K293" s="7"/>
    </row>
    <row r="294" spans="1:11" ht="16.350000000000001" customHeight="1" x14ac:dyDescent="0.2">
      <c r="A294" s="276"/>
      <c r="B294" s="276"/>
      <c r="C294" s="276"/>
      <c r="D294" s="276"/>
      <c r="E294" s="276"/>
      <c r="F294" s="569" t="s">
        <v>4458</v>
      </c>
      <c r="G294" s="569" t="s">
        <v>4494</v>
      </c>
      <c r="H294" s="272"/>
      <c r="I294" s="272"/>
      <c r="J294" s="26"/>
      <c r="K294" s="7"/>
    </row>
    <row r="295" spans="1:11" x14ac:dyDescent="0.2">
      <c r="A295" s="276"/>
      <c r="B295" s="276"/>
      <c r="C295" s="276"/>
      <c r="D295" s="276"/>
      <c r="E295" s="276"/>
      <c r="F295" s="274"/>
      <c r="G295" s="274"/>
      <c r="H295" s="272"/>
      <c r="I295" s="274"/>
      <c r="J295" s="91"/>
      <c r="K295" s="7"/>
    </row>
    <row r="296" spans="1:11" x14ac:dyDescent="0.2">
      <c r="A296" s="276"/>
      <c r="B296" s="276"/>
      <c r="C296" s="276"/>
      <c r="D296" s="276"/>
      <c r="E296" s="276"/>
      <c r="F296" s="273"/>
      <c r="G296" s="273"/>
      <c r="H296" s="273"/>
      <c r="I296" s="273"/>
      <c r="J296" s="89"/>
      <c r="K296" s="7"/>
    </row>
    <row r="297" spans="1:11" ht="16.350000000000001" customHeight="1" x14ac:dyDescent="0.2">
      <c r="A297" s="276"/>
      <c r="B297" s="276"/>
      <c r="C297" s="276"/>
      <c r="D297" s="276"/>
      <c r="E297" s="276"/>
      <c r="F297" s="569" t="s">
        <v>4459</v>
      </c>
      <c r="G297" s="569" t="s">
        <v>4438</v>
      </c>
      <c r="H297" s="272"/>
      <c r="I297" s="272"/>
      <c r="J297" s="26"/>
      <c r="K297" s="6"/>
    </row>
    <row r="298" spans="1:11" x14ac:dyDescent="0.2">
      <c r="A298" s="276"/>
      <c r="B298" s="276"/>
      <c r="C298" s="276"/>
      <c r="D298" s="276"/>
      <c r="E298" s="276"/>
      <c r="F298" s="274"/>
      <c r="G298" s="274"/>
      <c r="H298" s="272"/>
      <c r="I298" s="274"/>
      <c r="J298" s="91"/>
      <c r="K298" s="7"/>
    </row>
    <row r="299" spans="1:11" x14ac:dyDescent="0.2">
      <c r="A299" s="276"/>
      <c r="B299" s="276"/>
      <c r="C299" s="276"/>
      <c r="D299" s="276"/>
      <c r="E299" s="276"/>
      <c r="F299" s="273"/>
      <c r="G299" s="273"/>
      <c r="H299" s="273"/>
      <c r="I299" s="273"/>
      <c r="J299" s="89"/>
      <c r="K299" s="7"/>
    </row>
    <row r="300" spans="1:11" ht="16.350000000000001" customHeight="1" x14ac:dyDescent="0.2">
      <c r="A300" s="276"/>
      <c r="B300" s="276"/>
      <c r="C300" s="276"/>
      <c r="D300" s="276"/>
      <c r="E300" s="276"/>
      <c r="F300" s="569" t="s">
        <v>4460</v>
      </c>
      <c r="G300" s="569" t="s">
        <v>4439</v>
      </c>
      <c r="H300" s="272"/>
      <c r="I300" s="272"/>
      <c r="J300" s="26"/>
      <c r="K300" s="6"/>
    </row>
    <row r="301" spans="1:11" x14ac:dyDescent="0.2">
      <c r="A301" s="276"/>
      <c r="B301" s="276"/>
      <c r="C301" s="276"/>
      <c r="D301" s="276"/>
      <c r="E301" s="276"/>
      <c r="F301" s="274"/>
      <c r="G301" s="274"/>
      <c r="H301" s="272"/>
      <c r="I301" s="274"/>
      <c r="J301" s="91"/>
      <c r="K301" s="7"/>
    </row>
    <row r="302" spans="1:11" x14ac:dyDescent="0.2">
      <c r="A302" s="276"/>
      <c r="B302" s="276"/>
      <c r="C302" s="276"/>
      <c r="D302" s="276"/>
      <c r="E302" s="276"/>
      <c r="F302" s="273"/>
      <c r="G302" s="273"/>
      <c r="H302" s="273"/>
      <c r="I302" s="273"/>
      <c r="J302" s="89"/>
      <c r="K302" s="7"/>
    </row>
    <row r="303" spans="1:11" ht="15" customHeight="1" x14ac:dyDescent="0.2">
      <c r="A303" s="276"/>
      <c r="B303" s="276"/>
      <c r="C303" s="276"/>
      <c r="D303" s="276"/>
      <c r="E303" s="276"/>
      <c r="F303" s="569" t="s">
        <v>4461</v>
      </c>
      <c r="G303" s="272"/>
      <c r="H303" s="272"/>
      <c r="I303" s="272"/>
      <c r="J303" s="26"/>
      <c r="K303" s="7"/>
    </row>
    <row r="304" spans="1:11" x14ac:dyDescent="0.2">
      <c r="A304" s="276"/>
      <c r="B304" s="276"/>
      <c r="C304" s="276"/>
      <c r="D304" s="276"/>
      <c r="E304" s="276"/>
      <c r="F304" s="274"/>
      <c r="G304" s="274"/>
      <c r="H304" s="272"/>
      <c r="I304" s="274"/>
      <c r="J304" s="91"/>
      <c r="K304" s="7"/>
    </row>
    <row r="305" spans="1:11" x14ac:dyDescent="0.2">
      <c r="A305" s="276"/>
      <c r="B305" s="276"/>
      <c r="C305" s="276"/>
      <c r="D305" s="276"/>
      <c r="E305" s="276"/>
      <c r="F305" s="273"/>
      <c r="G305" s="273"/>
      <c r="H305" s="273"/>
      <c r="I305" s="273"/>
      <c r="J305" s="89"/>
      <c r="K305" s="7"/>
    </row>
    <row r="306" spans="1:11" ht="16.350000000000001" customHeight="1" x14ac:dyDescent="0.2">
      <c r="A306" s="276"/>
      <c r="B306" s="276"/>
      <c r="C306" s="276"/>
      <c r="D306" s="276"/>
      <c r="E306" s="276"/>
      <c r="F306" s="569" t="s">
        <v>4462</v>
      </c>
      <c r="G306" s="272"/>
      <c r="H306" s="272"/>
      <c r="I306" s="272"/>
      <c r="J306" s="26"/>
      <c r="K306" s="7"/>
    </row>
    <row r="307" spans="1:11" x14ac:dyDescent="0.2">
      <c r="A307" s="276"/>
      <c r="B307" s="276"/>
      <c r="C307" s="276"/>
      <c r="D307" s="276"/>
      <c r="E307" s="276"/>
      <c r="F307" s="274"/>
      <c r="G307" s="274"/>
      <c r="H307" s="272"/>
      <c r="I307" s="274"/>
      <c r="J307" s="91"/>
      <c r="K307" s="7"/>
    </row>
    <row r="308" spans="1:11" x14ac:dyDescent="0.2">
      <c r="A308" s="276"/>
      <c r="B308" s="276"/>
      <c r="C308" s="276"/>
      <c r="D308" s="276"/>
      <c r="E308" s="276"/>
      <c r="F308" s="273"/>
      <c r="G308" s="273"/>
      <c r="H308" s="273"/>
      <c r="I308" s="273"/>
      <c r="J308" s="89"/>
      <c r="K308" s="7"/>
    </row>
    <row r="309" spans="1:11" ht="16.350000000000001" customHeight="1" x14ac:dyDescent="0.2">
      <c r="A309" s="276"/>
      <c r="B309" s="276"/>
      <c r="C309" s="276"/>
      <c r="D309" s="276"/>
      <c r="E309" s="276"/>
      <c r="F309" s="569" t="s">
        <v>4463</v>
      </c>
      <c r="G309" s="272"/>
      <c r="H309" s="272"/>
      <c r="I309" s="272"/>
      <c r="J309" s="26"/>
      <c r="K309" s="6"/>
    </row>
    <row r="310" spans="1:11" x14ac:dyDescent="0.2">
      <c r="A310" s="276"/>
      <c r="B310" s="276"/>
      <c r="C310" s="276"/>
      <c r="D310" s="276"/>
      <c r="E310" s="276"/>
      <c r="F310" s="274"/>
      <c r="G310" s="274"/>
      <c r="H310" s="272"/>
      <c r="I310" s="274"/>
      <c r="J310" s="91"/>
      <c r="K310" s="7"/>
    </row>
    <row r="311" spans="1:11" x14ac:dyDescent="0.2">
      <c r="A311" s="276"/>
      <c r="B311" s="276"/>
      <c r="C311" s="276"/>
      <c r="D311" s="276"/>
      <c r="E311" s="276"/>
      <c r="F311" s="273"/>
      <c r="G311" s="273"/>
      <c r="H311" s="273"/>
      <c r="I311" s="273"/>
      <c r="J311" s="89"/>
      <c r="K311" s="7"/>
    </row>
    <row r="312" spans="1:11" ht="16.350000000000001" customHeight="1" x14ac:dyDescent="0.2">
      <c r="A312" s="276"/>
      <c r="B312" s="276"/>
      <c r="C312" s="276"/>
      <c r="D312" s="276"/>
      <c r="E312" s="276"/>
      <c r="F312" s="569" t="s">
        <v>4464</v>
      </c>
      <c r="G312" s="272"/>
      <c r="H312" s="272"/>
      <c r="I312" s="272"/>
      <c r="J312" s="26"/>
      <c r="K312" s="6"/>
    </row>
    <row r="313" spans="1:11" x14ac:dyDescent="0.2">
      <c r="A313" s="276"/>
      <c r="B313" s="276"/>
      <c r="C313" s="276"/>
      <c r="D313" s="276"/>
      <c r="E313" s="276"/>
      <c r="F313" s="274"/>
      <c r="G313" s="274"/>
      <c r="H313" s="272"/>
      <c r="I313" s="274"/>
      <c r="J313" s="91"/>
      <c r="K313" s="7"/>
    </row>
    <row r="314" spans="1:11" x14ac:dyDescent="0.2">
      <c r="A314" s="276"/>
      <c r="B314" s="276"/>
      <c r="C314" s="276"/>
      <c r="D314" s="276"/>
      <c r="E314" s="276"/>
      <c r="F314" s="273"/>
      <c r="G314" s="273"/>
      <c r="H314" s="273"/>
      <c r="I314" s="273"/>
      <c r="J314" s="89"/>
      <c r="K314" s="7"/>
    </row>
    <row r="315" spans="1:11" ht="15" customHeight="1" x14ac:dyDescent="0.2">
      <c r="A315" s="276"/>
      <c r="B315" s="275" t="s">
        <v>4335</v>
      </c>
      <c r="C315" s="570" t="s">
        <v>4413</v>
      </c>
      <c r="D315" s="286"/>
      <c r="E315" s="286"/>
      <c r="F315" s="569" t="s">
        <v>4465</v>
      </c>
      <c r="G315" s="569" t="s">
        <v>4495</v>
      </c>
      <c r="H315" s="272"/>
      <c r="I315" s="272"/>
      <c r="J315" s="26"/>
      <c r="K315" s="37"/>
    </row>
    <row r="316" spans="1:11" x14ac:dyDescent="0.2">
      <c r="A316" s="276"/>
      <c r="B316" s="287"/>
      <c r="C316" s="287"/>
      <c r="D316" s="287"/>
      <c r="E316" s="287"/>
      <c r="F316" s="274"/>
      <c r="G316" s="274"/>
      <c r="H316" s="272"/>
      <c r="I316" s="274"/>
      <c r="J316" s="91"/>
      <c r="K316" s="37"/>
    </row>
    <row r="317" spans="1:11" x14ac:dyDescent="0.2">
      <c r="A317" s="276"/>
      <c r="B317" s="276"/>
      <c r="C317" s="276"/>
      <c r="D317" s="276"/>
      <c r="E317" s="276"/>
      <c r="F317" s="273"/>
      <c r="G317" s="273"/>
      <c r="H317" s="273"/>
      <c r="I317" s="273"/>
      <c r="J317" s="89"/>
      <c r="K317" s="37"/>
    </row>
    <row r="318" spans="1:11" ht="15" customHeight="1" x14ac:dyDescent="0.2">
      <c r="A318" s="276"/>
      <c r="B318" s="276"/>
      <c r="C318" s="276"/>
      <c r="D318" s="276"/>
      <c r="E318" s="276"/>
      <c r="F318" s="569" t="s">
        <v>4466</v>
      </c>
      <c r="G318" s="569" t="s">
        <v>4496</v>
      </c>
      <c r="H318" s="272"/>
      <c r="I318" s="272"/>
      <c r="J318" s="26"/>
      <c r="K318" s="7"/>
    </row>
    <row r="319" spans="1:11" x14ac:dyDescent="0.2">
      <c r="A319" s="276"/>
      <c r="B319" s="276"/>
      <c r="C319" s="276"/>
      <c r="D319" s="276"/>
      <c r="E319" s="276"/>
      <c r="F319" s="274"/>
      <c r="G319" s="274"/>
      <c r="H319" s="272"/>
      <c r="I319" s="274"/>
      <c r="J319" s="91"/>
      <c r="K319" s="7"/>
    </row>
    <row r="320" spans="1:11" x14ac:dyDescent="0.2">
      <c r="A320" s="276"/>
      <c r="B320" s="276"/>
      <c r="C320" s="276"/>
      <c r="D320" s="276"/>
      <c r="E320" s="276"/>
      <c r="F320" s="273"/>
      <c r="G320" s="273"/>
      <c r="H320" s="273"/>
      <c r="I320" s="273"/>
      <c r="J320" s="89"/>
      <c r="K320" s="7"/>
    </row>
    <row r="321" spans="1:11" ht="16.350000000000001" customHeight="1" x14ac:dyDescent="0.2">
      <c r="A321" s="276"/>
      <c r="B321" s="276"/>
      <c r="C321" s="276"/>
      <c r="D321" s="276"/>
      <c r="E321" s="276"/>
      <c r="F321" s="569" t="s">
        <v>4467</v>
      </c>
      <c r="G321" s="569" t="s">
        <v>4497</v>
      </c>
      <c r="H321" s="272"/>
      <c r="I321" s="272"/>
      <c r="J321" s="26"/>
      <c r="K321" s="7"/>
    </row>
    <row r="322" spans="1:11" x14ac:dyDescent="0.2">
      <c r="A322" s="276"/>
      <c r="B322" s="276"/>
      <c r="C322" s="276"/>
      <c r="D322" s="276"/>
      <c r="E322" s="276"/>
      <c r="F322" s="274"/>
      <c r="G322" s="274"/>
      <c r="H322" s="272"/>
      <c r="I322" s="274"/>
      <c r="J322" s="91"/>
      <c r="K322" s="7"/>
    </row>
    <row r="323" spans="1:11" x14ac:dyDescent="0.2">
      <c r="A323" s="276"/>
      <c r="B323" s="276"/>
      <c r="C323" s="276"/>
      <c r="D323" s="276"/>
      <c r="E323" s="276"/>
      <c r="F323" s="273"/>
      <c r="G323" s="273"/>
      <c r="H323" s="273"/>
      <c r="I323" s="273"/>
      <c r="J323" s="89"/>
      <c r="K323" s="7"/>
    </row>
    <row r="324" spans="1:11" ht="16.350000000000001" customHeight="1" x14ac:dyDescent="0.2">
      <c r="A324" s="276"/>
      <c r="B324" s="276"/>
      <c r="C324" s="276"/>
      <c r="D324" s="276"/>
      <c r="E324" s="276"/>
      <c r="F324" s="569" t="s">
        <v>4468</v>
      </c>
      <c r="G324" s="569" t="s">
        <v>4498</v>
      </c>
      <c r="H324" s="272"/>
      <c r="I324" s="272"/>
      <c r="J324" s="26"/>
      <c r="K324" s="6"/>
    </row>
    <row r="325" spans="1:11" x14ac:dyDescent="0.2">
      <c r="A325" s="276"/>
      <c r="B325" s="276"/>
      <c r="C325" s="276"/>
      <c r="D325" s="276"/>
      <c r="E325" s="276"/>
      <c r="F325" s="274"/>
      <c r="G325" s="274"/>
      <c r="H325" s="272"/>
      <c r="I325" s="274"/>
      <c r="J325" s="91"/>
      <c r="K325" s="7"/>
    </row>
    <row r="326" spans="1:11" x14ac:dyDescent="0.2">
      <c r="A326" s="276"/>
      <c r="B326" s="276"/>
      <c r="C326" s="276"/>
      <c r="D326" s="276"/>
      <c r="E326" s="276"/>
      <c r="F326" s="273"/>
      <c r="G326" s="273"/>
      <c r="H326" s="273"/>
      <c r="I326" s="273"/>
      <c r="J326" s="89"/>
      <c r="K326" s="7"/>
    </row>
    <row r="327" spans="1:11" ht="16.350000000000001" customHeight="1" x14ac:dyDescent="0.2">
      <c r="A327" s="276"/>
      <c r="B327" s="276"/>
      <c r="C327" s="276"/>
      <c r="D327" s="276"/>
      <c r="E327" s="276"/>
      <c r="F327" s="569" t="s">
        <v>4469</v>
      </c>
      <c r="G327" s="569" t="s">
        <v>4499</v>
      </c>
      <c r="H327" s="272"/>
      <c r="I327" s="272"/>
      <c r="J327" s="26"/>
      <c r="K327" s="6"/>
    </row>
    <row r="328" spans="1:11" x14ac:dyDescent="0.2">
      <c r="A328" s="276"/>
      <c r="B328" s="276"/>
      <c r="C328" s="276"/>
      <c r="D328" s="276"/>
      <c r="E328" s="276"/>
      <c r="F328" s="274"/>
      <c r="G328" s="274"/>
      <c r="H328" s="272"/>
      <c r="I328" s="274"/>
      <c r="J328" s="91"/>
      <c r="K328" s="7"/>
    </row>
    <row r="329" spans="1:11" x14ac:dyDescent="0.2">
      <c r="A329" s="276"/>
      <c r="B329" s="276"/>
      <c r="C329" s="276"/>
      <c r="D329" s="276"/>
      <c r="E329" s="276"/>
      <c r="F329" s="273"/>
      <c r="G329" s="273"/>
      <c r="H329" s="273"/>
      <c r="I329" s="273"/>
      <c r="J329" s="89"/>
      <c r="K329" s="7"/>
    </row>
    <row r="330" spans="1:11" ht="16.350000000000001" customHeight="1" x14ac:dyDescent="0.2">
      <c r="A330" s="276"/>
      <c r="B330" s="276"/>
      <c r="C330" s="276"/>
      <c r="D330" s="276"/>
      <c r="E330" s="276"/>
      <c r="F330" s="569" t="s">
        <v>4470</v>
      </c>
      <c r="G330" s="272"/>
      <c r="H330" s="272"/>
      <c r="I330" s="272"/>
      <c r="J330" s="26"/>
      <c r="K330" s="6"/>
    </row>
    <row r="331" spans="1:11" x14ac:dyDescent="0.2">
      <c r="A331" s="276"/>
      <c r="B331" s="276"/>
      <c r="C331" s="276"/>
      <c r="D331" s="276"/>
      <c r="E331" s="276"/>
      <c r="F331" s="274"/>
      <c r="G331" s="274"/>
      <c r="H331" s="272"/>
      <c r="I331" s="274"/>
      <c r="J331" s="91"/>
      <c r="K331" s="7"/>
    </row>
    <row r="332" spans="1:11" x14ac:dyDescent="0.2">
      <c r="A332" s="276"/>
      <c r="B332" s="276"/>
      <c r="C332" s="276"/>
      <c r="D332" s="276"/>
      <c r="E332" s="276"/>
      <c r="F332" s="273"/>
      <c r="G332" s="273"/>
      <c r="H332" s="273"/>
      <c r="I332" s="273"/>
      <c r="J332" s="89"/>
      <c r="K332" s="7"/>
    </row>
    <row r="333" spans="1:11" ht="15" customHeight="1" x14ac:dyDescent="0.2">
      <c r="A333" s="276"/>
      <c r="B333" s="275" t="s">
        <v>4336</v>
      </c>
      <c r="C333" s="570" t="s">
        <v>1493</v>
      </c>
      <c r="D333" s="286"/>
      <c r="E333" s="286"/>
      <c r="F333" s="569" t="s">
        <v>4471</v>
      </c>
      <c r="G333" s="569" t="s">
        <v>4480</v>
      </c>
      <c r="H333" s="272"/>
      <c r="I333" s="272"/>
      <c r="J333" s="26"/>
      <c r="K333" s="37"/>
    </row>
    <row r="334" spans="1:11" x14ac:dyDescent="0.2">
      <c r="A334" s="276"/>
      <c r="B334" s="287"/>
      <c r="C334" s="287"/>
      <c r="D334" s="287"/>
      <c r="E334" s="287"/>
      <c r="F334" s="274"/>
      <c r="G334" s="272"/>
      <c r="H334" s="272"/>
      <c r="I334" s="274"/>
      <c r="J334" s="91"/>
      <c r="K334" s="37"/>
    </row>
    <row r="335" spans="1:11" x14ac:dyDescent="0.2">
      <c r="A335" s="276"/>
      <c r="B335" s="276"/>
      <c r="C335" s="276"/>
      <c r="D335" s="276"/>
      <c r="E335" s="276"/>
      <c r="F335" s="273"/>
      <c r="G335" s="273"/>
      <c r="H335" s="273"/>
      <c r="I335" s="273"/>
      <c r="J335" s="89"/>
      <c r="K335" s="37"/>
    </row>
    <row r="336" spans="1:11" ht="15" customHeight="1" x14ac:dyDescent="0.2">
      <c r="A336" s="276"/>
      <c r="B336" s="276"/>
      <c r="C336" s="276"/>
      <c r="D336" s="276"/>
      <c r="E336" s="276"/>
      <c r="F336" s="569" t="s">
        <v>4472</v>
      </c>
      <c r="G336" s="354" t="s">
        <v>3874</v>
      </c>
      <c r="H336" s="272"/>
      <c r="I336" s="272"/>
      <c r="J336" s="26"/>
      <c r="K336" s="7"/>
    </row>
    <row r="337" spans="1:11" x14ac:dyDescent="0.2">
      <c r="A337" s="276"/>
      <c r="B337" s="276"/>
      <c r="C337" s="276"/>
      <c r="D337" s="276"/>
      <c r="E337" s="276"/>
      <c r="F337" s="274"/>
      <c r="G337" s="272"/>
      <c r="H337" s="272"/>
      <c r="I337" s="274"/>
      <c r="J337" s="91"/>
      <c r="K337" s="7"/>
    </row>
    <row r="338" spans="1:11" x14ac:dyDescent="0.2">
      <c r="A338" s="276"/>
      <c r="B338" s="276"/>
      <c r="C338" s="276"/>
      <c r="D338" s="276"/>
      <c r="E338" s="276"/>
      <c r="F338" s="273"/>
      <c r="G338" s="273"/>
      <c r="H338" s="273"/>
      <c r="I338" s="273"/>
      <c r="J338" s="89"/>
      <c r="K338" s="7"/>
    </row>
    <row r="339" spans="1:11" ht="16.350000000000001" customHeight="1" x14ac:dyDescent="0.2">
      <c r="A339" s="276"/>
      <c r="B339" s="276"/>
      <c r="C339" s="276"/>
      <c r="D339" s="276"/>
      <c r="E339" s="276"/>
      <c r="F339" s="569" t="s">
        <v>4473</v>
      </c>
      <c r="G339" s="569" t="s">
        <v>4483</v>
      </c>
      <c r="H339" s="272"/>
      <c r="I339" s="272"/>
      <c r="J339" s="26"/>
      <c r="K339" s="7"/>
    </row>
    <row r="340" spans="1:11" x14ac:dyDescent="0.2">
      <c r="A340" s="276"/>
      <c r="B340" s="276"/>
      <c r="C340" s="276"/>
      <c r="D340" s="276"/>
      <c r="E340" s="276"/>
      <c r="F340" s="274"/>
      <c r="G340" s="272"/>
      <c r="H340" s="272"/>
      <c r="I340" s="274"/>
      <c r="J340" s="91"/>
      <c r="K340" s="7"/>
    </row>
    <row r="341" spans="1:11" x14ac:dyDescent="0.2">
      <c r="A341" s="276"/>
      <c r="B341" s="276"/>
      <c r="C341" s="276"/>
      <c r="D341" s="276"/>
      <c r="E341" s="276"/>
      <c r="F341" s="273"/>
      <c r="G341" s="273"/>
      <c r="H341" s="273"/>
      <c r="I341" s="273"/>
      <c r="J341" s="89"/>
      <c r="K341" s="7"/>
    </row>
    <row r="342" spans="1:11" ht="16.350000000000001" customHeight="1" x14ac:dyDescent="0.2">
      <c r="A342" s="276"/>
      <c r="B342" s="276"/>
      <c r="C342" s="276"/>
      <c r="D342" s="276"/>
      <c r="E342" s="276"/>
      <c r="F342" s="569" t="s">
        <v>4474</v>
      </c>
      <c r="G342" s="354" t="s">
        <v>3875</v>
      </c>
      <c r="H342" s="272"/>
      <c r="I342" s="272"/>
      <c r="J342" s="26"/>
      <c r="K342" s="6"/>
    </row>
    <row r="343" spans="1:11" x14ac:dyDescent="0.2">
      <c r="A343" s="276"/>
      <c r="B343" s="276"/>
      <c r="C343" s="276"/>
      <c r="D343" s="276"/>
      <c r="E343" s="276"/>
      <c r="F343" s="274"/>
      <c r="G343" s="272"/>
      <c r="H343" s="272"/>
      <c r="I343" s="274"/>
      <c r="J343" s="91"/>
      <c r="K343" s="7"/>
    </row>
    <row r="344" spans="1:11" x14ac:dyDescent="0.2">
      <c r="A344" s="276"/>
      <c r="B344" s="276"/>
      <c r="C344" s="276"/>
      <c r="D344" s="276"/>
      <c r="E344" s="276"/>
      <c r="F344" s="273"/>
      <c r="G344" s="273"/>
      <c r="H344" s="273"/>
      <c r="I344" s="273"/>
      <c r="J344" s="89"/>
      <c r="K344" s="7"/>
    </row>
    <row r="345" spans="1:11" ht="16.350000000000001" customHeight="1" x14ac:dyDescent="0.2">
      <c r="A345" s="276"/>
      <c r="B345" s="276"/>
      <c r="C345" s="276"/>
      <c r="D345" s="276"/>
      <c r="E345" s="276"/>
      <c r="F345" s="569" t="s">
        <v>4475</v>
      </c>
      <c r="G345" s="569" t="s">
        <v>4481</v>
      </c>
      <c r="H345" s="272"/>
      <c r="I345" s="272"/>
      <c r="J345" s="26"/>
      <c r="K345" s="6"/>
    </row>
    <row r="346" spans="1:11" x14ac:dyDescent="0.2">
      <c r="A346" s="276"/>
      <c r="B346" s="276"/>
      <c r="C346" s="276"/>
      <c r="D346" s="276"/>
      <c r="E346" s="276"/>
      <c r="F346" s="274"/>
      <c r="G346" s="272"/>
      <c r="H346" s="272"/>
      <c r="I346" s="274"/>
      <c r="J346" s="91"/>
      <c r="K346" s="7"/>
    </row>
    <row r="347" spans="1:11" x14ac:dyDescent="0.2">
      <c r="A347" s="276"/>
      <c r="B347" s="276"/>
      <c r="C347" s="276"/>
      <c r="D347" s="276"/>
      <c r="E347" s="276"/>
      <c r="F347" s="273"/>
      <c r="G347" s="273"/>
      <c r="H347" s="273"/>
      <c r="I347" s="273"/>
      <c r="J347" s="89"/>
      <c r="K347" s="7"/>
    </row>
    <row r="348" spans="1:11" ht="16.350000000000001" customHeight="1" x14ac:dyDescent="0.2">
      <c r="A348" s="276"/>
      <c r="B348" s="276"/>
      <c r="C348" s="276"/>
      <c r="D348" s="276"/>
      <c r="E348" s="276"/>
      <c r="F348" s="569" t="s">
        <v>4476</v>
      </c>
      <c r="G348" s="569" t="s">
        <v>4482</v>
      </c>
      <c r="H348" s="272"/>
      <c r="I348" s="272"/>
      <c r="J348" s="26"/>
      <c r="K348" s="6"/>
    </row>
    <row r="349" spans="1:11" x14ac:dyDescent="0.2">
      <c r="A349" s="276"/>
      <c r="B349" s="276"/>
      <c r="C349" s="276"/>
      <c r="D349" s="276"/>
      <c r="E349" s="276"/>
      <c r="F349" s="274"/>
      <c r="G349" s="272"/>
      <c r="H349" s="272"/>
      <c r="I349" s="274"/>
      <c r="J349" s="91"/>
      <c r="K349" s="7"/>
    </row>
    <row r="350" spans="1:11" x14ac:dyDescent="0.2">
      <c r="A350" s="276"/>
      <c r="B350" s="276"/>
      <c r="C350" s="276"/>
      <c r="D350" s="276"/>
      <c r="E350" s="276"/>
      <c r="F350" s="273"/>
      <c r="G350" s="273"/>
      <c r="H350" s="273"/>
      <c r="I350" s="273"/>
      <c r="J350" s="89"/>
      <c r="K350" s="7"/>
    </row>
    <row r="351" spans="1:11" ht="16.350000000000001" customHeight="1" x14ac:dyDescent="0.2">
      <c r="A351" s="276"/>
      <c r="B351" s="276"/>
      <c r="C351" s="276"/>
      <c r="D351" s="276"/>
      <c r="E351" s="276"/>
      <c r="F351" s="569" t="s">
        <v>4477</v>
      </c>
      <c r="G351" s="569" t="s">
        <v>4500</v>
      </c>
      <c r="H351" s="272"/>
      <c r="I351" s="272"/>
      <c r="J351" s="26"/>
      <c r="K351" s="6"/>
    </row>
    <row r="352" spans="1:11" x14ac:dyDescent="0.2">
      <c r="A352" s="276"/>
      <c r="B352" s="276"/>
      <c r="C352" s="276"/>
      <c r="D352" s="276"/>
      <c r="E352" s="276"/>
      <c r="F352" s="274"/>
      <c r="G352" s="272"/>
      <c r="H352" s="272"/>
      <c r="I352" s="274"/>
      <c r="J352" s="91"/>
      <c r="K352" s="7"/>
    </row>
    <row r="353" spans="1:11" x14ac:dyDescent="0.2">
      <c r="A353" s="276"/>
      <c r="B353" s="276"/>
      <c r="C353" s="276"/>
      <c r="D353" s="276"/>
      <c r="E353" s="276"/>
      <c r="F353" s="273"/>
      <c r="G353" s="273"/>
      <c r="H353" s="273"/>
      <c r="I353" s="273"/>
      <c r="J353" s="89"/>
      <c r="K353" s="7"/>
    </row>
    <row r="354" spans="1:11" ht="16.350000000000001" customHeight="1" x14ac:dyDescent="0.2">
      <c r="A354" s="276"/>
      <c r="B354" s="276"/>
      <c r="C354" s="276"/>
      <c r="D354" s="276"/>
      <c r="E354" s="276"/>
      <c r="F354" s="569" t="s">
        <v>4478</v>
      </c>
      <c r="G354" s="272"/>
      <c r="H354" s="272"/>
      <c r="I354" s="272"/>
      <c r="J354" s="26"/>
      <c r="K354" s="6"/>
    </row>
    <row r="355" spans="1:11" x14ac:dyDescent="0.2">
      <c r="A355" s="276"/>
      <c r="B355" s="276"/>
      <c r="C355" s="276"/>
      <c r="D355" s="276"/>
      <c r="E355" s="276"/>
      <c r="F355" s="274"/>
      <c r="G355" s="274"/>
      <c r="H355" s="272"/>
      <c r="I355" s="274"/>
      <c r="J355" s="91"/>
      <c r="K355" s="7"/>
    </row>
    <row r="356" spans="1:11" x14ac:dyDescent="0.2">
      <c r="A356" s="276"/>
      <c r="B356" s="276"/>
      <c r="C356" s="276"/>
      <c r="D356" s="276"/>
      <c r="E356" s="276"/>
      <c r="F356" s="273"/>
      <c r="G356" s="273"/>
      <c r="H356" s="273"/>
      <c r="I356" s="273"/>
      <c r="J356" s="89"/>
      <c r="K356" s="7"/>
    </row>
    <row r="357" spans="1:11" ht="16.350000000000001" customHeight="1" x14ac:dyDescent="0.2">
      <c r="A357" s="276"/>
      <c r="B357" s="276"/>
      <c r="C357" s="276"/>
      <c r="D357" s="276"/>
      <c r="E357" s="276"/>
      <c r="F357" s="569" t="s">
        <v>4479</v>
      </c>
      <c r="G357" s="412"/>
      <c r="H357" s="412"/>
      <c r="I357" s="412"/>
      <c r="J357" s="26"/>
      <c r="K357" s="6"/>
    </row>
    <row r="358" spans="1:11" x14ac:dyDescent="0.2">
      <c r="A358" s="276"/>
      <c r="B358" s="276"/>
      <c r="C358" s="276"/>
      <c r="D358" s="276"/>
      <c r="E358" s="276"/>
      <c r="F358" s="274"/>
      <c r="G358" s="413"/>
      <c r="H358" s="413"/>
      <c r="I358" s="413"/>
      <c r="J358" s="91"/>
      <c r="K358" s="7"/>
    </row>
    <row r="359" spans="1:11" x14ac:dyDescent="0.2">
      <c r="A359" s="276"/>
      <c r="B359" s="276"/>
      <c r="C359" s="276"/>
      <c r="D359" s="276"/>
      <c r="E359" s="276"/>
      <c r="F359" s="273"/>
      <c r="G359" s="414"/>
      <c r="H359" s="414"/>
      <c r="I359" s="414"/>
      <c r="J359" s="89"/>
      <c r="K359" s="7"/>
    </row>
    <row r="367" spans="1:11" x14ac:dyDescent="0.2">
      <c r="E367" s="92" t="s">
        <v>528</v>
      </c>
    </row>
    <row r="368" spans="1:11" x14ac:dyDescent="0.2">
      <c r="E368" s="92" t="s">
        <v>511</v>
      </c>
    </row>
    <row r="369" spans="5:5" x14ac:dyDescent="0.2">
      <c r="E369" s="92" t="s">
        <v>515</v>
      </c>
    </row>
    <row r="370" spans="5:5" x14ac:dyDescent="0.2">
      <c r="E370" s="92" t="s">
        <v>505</v>
      </c>
    </row>
    <row r="371" spans="5:5" x14ac:dyDescent="0.2">
      <c r="E371" s="92" t="s">
        <v>507</v>
      </c>
    </row>
  </sheetData>
  <mergeCells count="529">
    <mergeCell ref="H351:H353"/>
    <mergeCell ref="I351:I353"/>
    <mergeCell ref="F354:F356"/>
    <mergeCell ref="G354:G356"/>
    <mergeCell ref="H354:H356"/>
    <mergeCell ref="I354:I356"/>
    <mergeCell ref="F348:F350"/>
    <mergeCell ref="G348:G350"/>
    <mergeCell ref="H348:H350"/>
    <mergeCell ref="I348:I350"/>
    <mergeCell ref="F303:F305"/>
    <mergeCell ref="G303:G305"/>
    <mergeCell ref="H303:H305"/>
    <mergeCell ref="I303:I305"/>
    <mergeCell ref="F306:F308"/>
    <mergeCell ref="G306:G308"/>
    <mergeCell ref="H306:H308"/>
    <mergeCell ref="I306:I308"/>
    <mergeCell ref="F309:F311"/>
    <mergeCell ref="G309:G311"/>
    <mergeCell ref="H309:H311"/>
    <mergeCell ref="I309:I311"/>
    <mergeCell ref="F273:F275"/>
    <mergeCell ref="G273:G275"/>
    <mergeCell ref="H273:H275"/>
    <mergeCell ref="I273:I275"/>
    <mergeCell ref="F285:F287"/>
    <mergeCell ref="G285:G287"/>
    <mergeCell ref="H285:H287"/>
    <mergeCell ref="I285:I287"/>
    <mergeCell ref="F282:F284"/>
    <mergeCell ref="G282:G284"/>
    <mergeCell ref="H282:H284"/>
    <mergeCell ref="I282:I284"/>
    <mergeCell ref="F279:F281"/>
    <mergeCell ref="G279:G281"/>
    <mergeCell ref="H279:H281"/>
    <mergeCell ref="I279:I281"/>
    <mergeCell ref="F276:F278"/>
    <mergeCell ref="G276:G278"/>
    <mergeCell ref="H276:H278"/>
    <mergeCell ref="I276:I278"/>
    <mergeCell ref="F312:F314"/>
    <mergeCell ref="G312:G314"/>
    <mergeCell ref="H312:H314"/>
    <mergeCell ref="I312:I314"/>
    <mergeCell ref="B261:B287"/>
    <mergeCell ref="C261:C287"/>
    <mergeCell ref="D261:D287"/>
    <mergeCell ref="E261:E287"/>
    <mergeCell ref="F261:F263"/>
    <mergeCell ref="G261:G263"/>
    <mergeCell ref="H261:H263"/>
    <mergeCell ref="I261:I263"/>
    <mergeCell ref="F264:F266"/>
    <mergeCell ref="G264:G266"/>
    <mergeCell ref="H264:H266"/>
    <mergeCell ref="I264:I266"/>
    <mergeCell ref="F267:F269"/>
    <mergeCell ref="G267:G269"/>
    <mergeCell ref="H267:H269"/>
    <mergeCell ref="I267:I269"/>
    <mergeCell ref="F270:F272"/>
    <mergeCell ref="G270:G272"/>
    <mergeCell ref="H270:H272"/>
    <mergeCell ref="I270:I272"/>
    <mergeCell ref="B288:B314"/>
    <mergeCell ref="C288:C314"/>
    <mergeCell ref="D288:D314"/>
    <mergeCell ref="E288:E314"/>
    <mergeCell ref="F288:F290"/>
    <mergeCell ref="G288:G290"/>
    <mergeCell ref="H288:H290"/>
    <mergeCell ref="I288:I290"/>
    <mergeCell ref="F291:F293"/>
    <mergeCell ref="G291:G293"/>
    <mergeCell ref="H291:H293"/>
    <mergeCell ref="I291:I293"/>
    <mergeCell ref="F294:F296"/>
    <mergeCell ref="G294:G296"/>
    <mergeCell ref="H294:H296"/>
    <mergeCell ref="I294:I296"/>
    <mergeCell ref="F297:F299"/>
    <mergeCell ref="G297:G299"/>
    <mergeCell ref="H297:H299"/>
    <mergeCell ref="I297:I299"/>
    <mergeCell ref="F300:F302"/>
    <mergeCell ref="G300:G302"/>
    <mergeCell ref="H300:H302"/>
    <mergeCell ref="I300:I302"/>
    <mergeCell ref="I207:I209"/>
    <mergeCell ref="F210:F212"/>
    <mergeCell ref="G210:G212"/>
    <mergeCell ref="H210:H212"/>
    <mergeCell ref="I210:I212"/>
    <mergeCell ref="F213:F215"/>
    <mergeCell ref="G213:G215"/>
    <mergeCell ref="H213:H215"/>
    <mergeCell ref="I213:I215"/>
    <mergeCell ref="B243:B260"/>
    <mergeCell ref="C243:C260"/>
    <mergeCell ref="D243:D260"/>
    <mergeCell ref="E243:E260"/>
    <mergeCell ref="F243:F245"/>
    <mergeCell ref="G243:G245"/>
    <mergeCell ref="H243:H245"/>
    <mergeCell ref="I243:I245"/>
    <mergeCell ref="F246:F248"/>
    <mergeCell ref="G246:G248"/>
    <mergeCell ref="H246:H248"/>
    <mergeCell ref="I246:I248"/>
    <mergeCell ref="F249:F251"/>
    <mergeCell ref="G249:G251"/>
    <mergeCell ref="H249:H251"/>
    <mergeCell ref="I249:I251"/>
    <mergeCell ref="F252:F254"/>
    <mergeCell ref="G252:G254"/>
    <mergeCell ref="H252:H254"/>
    <mergeCell ref="I252:I254"/>
    <mergeCell ref="F255:F257"/>
    <mergeCell ref="G255:G257"/>
    <mergeCell ref="H255:H257"/>
    <mergeCell ref="I255:I257"/>
    <mergeCell ref="B225:B242"/>
    <mergeCell ref="C225:C242"/>
    <mergeCell ref="D225:D242"/>
    <mergeCell ref="E225:E242"/>
    <mergeCell ref="F225:F227"/>
    <mergeCell ref="G225:G227"/>
    <mergeCell ref="H225:H227"/>
    <mergeCell ref="I225:I227"/>
    <mergeCell ref="F228:F230"/>
    <mergeCell ref="G228:G230"/>
    <mergeCell ref="H228:H230"/>
    <mergeCell ref="I228:I230"/>
    <mergeCell ref="F231:F233"/>
    <mergeCell ref="G231:G233"/>
    <mergeCell ref="H231:H233"/>
    <mergeCell ref="I231:I233"/>
    <mergeCell ref="F234:F236"/>
    <mergeCell ref="G234:G236"/>
    <mergeCell ref="H234:H236"/>
    <mergeCell ref="I234:I236"/>
    <mergeCell ref="F237:F239"/>
    <mergeCell ref="G237:G239"/>
    <mergeCell ref="H237:H239"/>
    <mergeCell ref="I237:I239"/>
    <mergeCell ref="B315:B332"/>
    <mergeCell ref="C315:C332"/>
    <mergeCell ref="D315:D332"/>
    <mergeCell ref="E315:E332"/>
    <mergeCell ref="F315:F317"/>
    <mergeCell ref="G315:G317"/>
    <mergeCell ref="H315:H317"/>
    <mergeCell ref="I315:I317"/>
    <mergeCell ref="F318:F320"/>
    <mergeCell ref="G318:G320"/>
    <mergeCell ref="H318:H320"/>
    <mergeCell ref="I318:I320"/>
    <mergeCell ref="F321:F323"/>
    <mergeCell ref="G321:G323"/>
    <mergeCell ref="H321:H323"/>
    <mergeCell ref="I321:I323"/>
    <mergeCell ref="F324:F326"/>
    <mergeCell ref="G324:G326"/>
    <mergeCell ref="G330:G332"/>
    <mergeCell ref="H330:H332"/>
    <mergeCell ref="I330:I332"/>
    <mergeCell ref="F330:F332"/>
    <mergeCell ref="H156:H158"/>
    <mergeCell ref="I156:I158"/>
    <mergeCell ref="H147:H149"/>
    <mergeCell ref="I147:I149"/>
    <mergeCell ref="F150:F152"/>
    <mergeCell ref="F165:F167"/>
    <mergeCell ref="G165:G167"/>
    <mergeCell ref="H165:H167"/>
    <mergeCell ref="I165:I167"/>
    <mergeCell ref="H150:H152"/>
    <mergeCell ref="I150:I152"/>
    <mergeCell ref="H48:H50"/>
    <mergeCell ref="I48:I50"/>
    <mergeCell ref="F51:F53"/>
    <mergeCell ref="G51:G53"/>
    <mergeCell ref="H51:H53"/>
    <mergeCell ref="I51:I53"/>
    <mergeCell ref="F72:F74"/>
    <mergeCell ref="F54:F56"/>
    <mergeCell ref="F162:F164"/>
    <mergeCell ref="G162:G164"/>
    <mergeCell ref="H162:H164"/>
    <mergeCell ref="I162:I164"/>
    <mergeCell ref="H135:H137"/>
    <mergeCell ref="I135:I137"/>
    <mergeCell ref="F138:F140"/>
    <mergeCell ref="G138:G140"/>
    <mergeCell ref="H138:H140"/>
    <mergeCell ref="I138:I140"/>
    <mergeCell ref="F141:F143"/>
    <mergeCell ref="G141:G143"/>
    <mergeCell ref="H141:H143"/>
    <mergeCell ref="I141:I143"/>
    <mergeCell ref="H153:H155"/>
    <mergeCell ref="I153:I155"/>
    <mergeCell ref="I336:I338"/>
    <mergeCell ref="H324:H326"/>
    <mergeCell ref="I324:I326"/>
    <mergeCell ref="F327:F329"/>
    <mergeCell ref="G327:G329"/>
    <mergeCell ref="H327:H329"/>
    <mergeCell ref="I327:I329"/>
    <mergeCell ref="I45:I47"/>
    <mergeCell ref="F108:F110"/>
    <mergeCell ref="G108:G110"/>
    <mergeCell ref="H108:H110"/>
    <mergeCell ref="I108:I110"/>
    <mergeCell ref="F111:F113"/>
    <mergeCell ref="G111:G113"/>
    <mergeCell ref="H111:H113"/>
    <mergeCell ref="I111:I113"/>
    <mergeCell ref="H81:H83"/>
    <mergeCell ref="I81:I83"/>
    <mergeCell ref="F78:F80"/>
    <mergeCell ref="G78:G80"/>
    <mergeCell ref="H78:H80"/>
    <mergeCell ref="I78:I80"/>
    <mergeCell ref="F48:F50"/>
    <mergeCell ref="G48:G50"/>
    <mergeCell ref="H357:H359"/>
    <mergeCell ref="I357:I359"/>
    <mergeCell ref="H339:H341"/>
    <mergeCell ref="I339:I341"/>
    <mergeCell ref="F342:F344"/>
    <mergeCell ref="G342:G344"/>
    <mergeCell ref="H342:H344"/>
    <mergeCell ref="I342:I344"/>
    <mergeCell ref="G54:G56"/>
    <mergeCell ref="H54:H56"/>
    <mergeCell ref="I54:I56"/>
    <mergeCell ref="F57:F59"/>
    <mergeCell ref="G57:G59"/>
    <mergeCell ref="H57:H59"/>
    <mergeCell ref="I57:I59"/>
    <mergeCell ref="H345:H347"/>
    <mergeCell ref="I345:I347"/>
    <mergeCell ref="F216:F218"/>
    <mergeCell ref="G216:G218"/>
    <mergeCell ref="H216:H218"/>
    <mergeCell ref="I216:I218"/>
    <mergeCell ref="H333:H335"/>
    <mergeCell ref="I333:I335"/>
    <mergeCell ref="H336:H338"/>
    <mergeCell ref="B333:B359"/>
    <mergeCell ref="C333:C359"/>
    <mergeCell ref="D333:D359"/>
    <mergeCell ref="E333:E359"/>
    <mergeCell ref="F333:F335"/>
    <mergeCell ref="G333:G335"/>
    <mergeCell ref="F339:F341"/>
    <mergeCell ref="G339:G341"/>
    <mergeCell ref="F345:F347"/>
    <mergeCell ref="G345:G347"/>
    <mergeCell ref="F336:F338"/>
    <mergeCell ref="G336:G338"/>
    <mergeCell ref="F357:F359"/>
    <mergeCell ref="G357:G359"/>
    <mergeCell ref="F351:F353"/>
    <mergeCell ref="G351:G353"/>
    <mergeCell ref="B198:B224"/>
    <mergeCell ref="C198:C224"/>
    <mergeCell ref="D198:D224"/>
    <mergeCell ref="E198:E224"/>
    <mergeCell ref="F198:F200"/>
    <mergeCell ref="G198:G200"/>
    <mergeCell ref="F204:F206"/>
    <mergeCell ref="G204:G206"/>
    <mergeCell ref="F219:F221"/>
    <mergeCell ref="G219:G221"/>
    <mergeCell ref="F222:F224"/>
    <mergeCell ref="G222:G224"/>
    <mergeCell ref="G207:G209"/>
    <mergeCell ref="F201:F203"/>
    <mergeCell ref="G201:G203"/>
    <mergeCell ref="F189:F191"/>
    <mergeCell ref="G189:G191"/>
    <mergeCell ref="H189:H191"/>
    <mergeCell ref="I189:I191"/>
    <mergeCell ref="F258:F260"/>
    <mergeCell ref="G258:G260"/>
    <mergeCell ref="H258:H260"/>
    <mergeCell ref="I258:I260"/>
    <mergeCell ref="F207:F209"/>
    <mergeCell ref="F240:F242"/>
    <mergeCell ref="G240:G242"/>
    <mergeCell ref="H240:H242"/>
    <mergeCell ref="I240:I242"/>
    <mergeCell ref="H198:H200"/>
    <mergeCell ref="I198:I200"/>
    <mergeCell ref="H201:H203"/>
    <mergeCell ref="I201:I203"/>
    <mergeCell ref="H219:H221"/>
    <mergeCell ref="I219:I221"/>
    <mergeCell ref="H222:H224"/>
    <mergeCell ref="I222:I224"/>
    <mergeCell ref="H204:H206"/>
    <mergeCell ref="I204:I206"/>
    <mergeCell ref="H207:H209"/>
    <mergeCell ref="H180:H182"/>
    <mergeCell ref="I180:I182"/>
    <mergeCell ref="F183:F185"/>
    <mergeCell ref="G183:G185"/>
    <mergeCell ref="H183:H185"/>
    <mergeCell ref="I183:I185"/>
    <mergeCell ref="B180:B197"/>
    <mergeCell ref="C180:C197"/>
    <mergeCell ref="D180:D197"/>
    <mergeCell ref="E180:E197"/>
    <mergeCell ref="F180:F182"/>
    <mergeCell ref="G180:G182"/>
    <mergeCell ref="F186:F188"/>
    <mergeCell ref="G186:G188"/>
    <mergeCell ref="F192:F194"/>
    <mergeCell ref="G192:G194"/>
    <mergeCell ref="H192:H194"/>
    <mergeCell ref="I192:I194"/>
    <mergeCell ref="F195:F197"/>
    <mergeCell ref="G195:G197"/>
    <mergeCell ref="H195:H197"/>
    <mergeCell ref="I195:I197"/>
    <mergeCell ref="H186:H188"/>
    <mergeCell ref="I186:I188"/>
    <mergeCell ref="B153:B179"/>
    <mergeCell ref="C153:C179"/>
    <mergeCell ref="D153:D179"/>
    <mergeCell ref="E153:E179"/>
    <mergeCell ref="F153:F155"/>
    <mergeCell ref="G153:G155"/>
    <mergeCell ref="F159:F161"/>
    <mergeCell ref="G159:G161"/>
    <mergeCell ref="F174:F176"/>
    <mergeCell ref="G174:G176"/>
    <mergeCell ref="F156:F158"/>
    <mergeCell ref="G156:G158"/>
    <mergeCell ref="F168:F170"/>
    <mergeCell ref="G168:G170"/>
    <mergeCell ref="H174:H176"/>
    <mergeCell ref="I174:I176"/>
    <mergeCell ref="F177:F179"/>
    <mergeCell ref="G177:G179"/>
    <mergeCell ref="H177:H179"/>
    <mergeCell ref="I177:I179"/>
    <mergeCell ref="H159:H161"/>
    <mergeCell ref="I159:I161"/>
    <mergeCell ref="F171:F173"/>
    <mergeCell ref="G171:G173"/>
    <mergeCell ref="H171:H173"/>
    <mergeCell ref="I171:I173"/>
    <mergeCell ref="H168:H170"/>
    <mergeCell ref="I168:I170"/>
    <mergeCell ref="H102:H104"/>
    <mergeCell ref="I102:I104"/>
    <mergeCell ref="F105:F107"/>
    <mergeCell ref="G105:G107"/>
    <mergeCell ref="H105:H107"/>
    <mergeCell ref="I105:I107"/>
    <mergeCell ref="F114:F116"/>
    <mergeCell ref="G114:G116"/>
    <mergeCell ref="H114:H116"/>
    <mergeCell ref="I114:I116"/>
    <mergeCell ref="H144:H146"/>
    <mergeCell ref="I144:I146"/>
    <mergeCell ref="F117:F119"/>
    <mergeCell ref="G117:G119"/>
    <mergeCell ref="H117:H119"/>
    <mergeCell ref="I117:I119"/>
    <mergeCell ref="H120:H122"/>
    <mergeCell ref="I120:I122"/>
    <mergeCell ref="F123:F125"/>
    <mergeCell ref="G123:G125"/>
    <mergeCell ref="H123:H125"/>
    <mergeCell ref="I123:I125"/>
    <mergeCell ref="F126:F128"/>
    <mergeCell ref="G126:G128"/>
    <mergeCell ref="H126:H128"/>
    <mergeCell ref="I126:I128"/>
    <mergeCell ref="H129:H131"/>
    <mergeCell ref="I129:I131"/>
    <mergeCell ref="F132:F134"/>
    <mergeCell ref="G132:G134"/>
    <mergeCell ref="H132:H134"/>
    <mergeCell ref="I132:I134"/>
    <mergeCell ref="B96:B152"/>
    <mergeCell ref="C96:C152"/>
    <mergeCell ref="D96:D152"/>
    <mergeCell ref="E96:E152"/>
    <mergeCell ref="F96:F98"/>
    <mergeCell ref="G96:G98"/>
    <mergeCell ref="F102:F104"/>
    <mergeCell ref="G102:G104"/>
    <mergeCell ref="F147:F149"/>
    <mergeCell ref="G147:G149"/>
    <mergeCell ref="F120:F122"/>
    <mergeCell ref="G120:G122"/>
    <mergeCell ref="F129:F131"/>
    <mergeCell ref="G129:G131"/>
    <mergeCell ref="F135:F137"/>
    <mergeCell ref="G135:G137"/>
    <mergeCell ref="G150:G152"/>
    <mergeCell ref="F144:F146"/>
    <mergeCell ref="G144:G146"/>
    <mergeCell ref="G72:G74"/>
    <mergeCell ref="H72:H74"/>
    <mergeCell ref="I72:I74"/>
    <mergeCell ref="H96:H98"/>
    <mergeCell ref="I96:I98"/>
    <mergeCell ref="F99:F101"/>
    <mergeCell ref="G99:G101"/>
    <mergeCell ref="H99:H101"/>
    <mergeCell ref="I99:I101"/>
    <mergeCell ref="F90:F92"/>
    <mergeCell ref="G90:G92"/>
    <mergeCell ref="H90:H92"/>
    <mergeCell ref="I90:I92"/>
    <mergeCell ref="F87:F89"/>
    <mergeCell ref="G87:G89"/>
    <mergeCell ref="H87:H89"/>
    <mergeCell ref="I87:I89"/>
    <mergeCell ref="F84:F86"/>
    <mergeCell ref="G84:G86"/>
    <mergeCell ref="H84:H86"/>
    <mergeCell ref="I84:I86"/>
    <mergeCell ref="F81:F83"/>
    <mergeCell ref="G81:G83"/>
    <mergeCell ref="H63:H65"/>
    <mergeCell ref="I63:I65"/>
    <mergeCell ref="F66:F68"/>
    <mergeCell ref="G66:G68"/>
    <mergeCell ref="H66:H68"/>
    <mergeCell ref="I66:I68"/>
    <mergeCell ref="B63:B95"/>
    <mergeCell ref="C63:C95"/>
    <mergeCell ref="D63:D95"/>
    <mergeCell ref="E63:E95"/>
    <mergeCell ref="F63:F65"/>
    <mergeCell ref="G63:G65"/>
    <mergeCell ref="F69:F71"/>
    <mergeCell ref="G69:G71"/>
    <mergeCell ref="F75:F77"/>
    <mergeCell ref="G75:G77"/>
    <mergeCell ref="H75:H77"/>
    <mergeCell ref="I75:I77"/>
    <mergeCell ref="F93:F95"/>
    <mergeCell ref="G93:G95"/>
    <mergeCell ref="H93:H95"/>
    <mergeCell ref="I93:I95"/>
    <mergeCell ref="H69:H71"/>
    <mergeCell ref="I69:I71"/>
    <mergeCell ref="I60:I62"/>
    <mergeCell ref="F27:F29"/>
    <mergeCell ref="G27:G29"/>
    <mergeCell ref="H27:H29"/>
    <mergeCell ref="I27:I29"/>
    <mergeCell ref="F30:F32"/>
    <mergeCell ref="G30:G32"/>
    <mergeCell ref="H30:H32"/>
    <mergeCell ref="I30:I32"/>
    <mergeCell ref="F36:F38"/>
    <mergeCell ref="G36:G38"/>
    <mergeCell ref="H36:H38"/>
    <mergeCell ref="I36:I38"/>
    <mergeCell ref="F39:F41"/>
    <mergeCell ref="G39:G41"/>
    <mergeCell ref="H39:H41"/>
    <mergeCell ref="I39:I41"/>
    <mergeCell ref="F42:F44"/>
    <mergeCell ref="G42:G44"/>
    <mergeCell ref="H42:H44"/>
    <mergeCell ref="I42:I44"/>
    <mergeCell ref="F45:F47"/>
    <mergeCell ref="G45:G47"/>
    <mergeCell ref="H45:H47"/>
    <mergeCell ref="G9:G11"/>
    <mergeCell ref="H9:H11"/>
    <mergeCell ref="I9:I11"/>
    <mergeCell ref="F12:F14"/>
    <mergeCell ref="G12:G14"/>
    <mergeCell ref="H12:H14"/>
    <mergeCell ref="I12:I14"/>
    <mergeCell ref="D21:D62"/>
    <mergeCell ref="E21:E62"/>
    <mergeCell ref="F21:F23"/>
    <mergeCell ref="G21:G23"/>
    <mergeCell ref="H21:H23"/>
    <mergeCell ref="I21:I23"/>
    <mergeCell ref="F24:F26"/>
    <mergeCell ref="G24:G26"/>
    <mergeCell ref="H24:H26"/>
    <mergeCell ref="I24:I26"/>
    <mergeCell ref="F33:F35"/>
    <mergeCell ref="G33:G35"/>
    <mergeCell ref="H33:H35"/>
    <mergeCell ref="I33:I35"/>
    <mergeCell ref="F60:F62"/>
    <mergeCell ref="G60:G62"/>
    <mergeCell ref="H60:H62"/>
    <mergeCell ref="G3:G5"/>
    <mergeCell ref="H3:H5"/>
    <mergeCell ref="I3:I5"/>
    <mergeCell ref="F6:F8"/>
    <mergeCell ref="G6:G8"/>
    <mergeCell ref="H6:H8"/>
    <mergeCell ref="I6:I8"/>
    <mergeCell ref="A3:A359"/>
    <mergeCell ref="B3:B20"/>
    <mergeCell ref="C3:C20"/>
    <mergeCell ref="D3:D20"/>
    <mergeCell ref="E3:E20"/>
    <mergeCell ref="F3:F5"/>
    <mergeCell ref="F9:F11"/>
    <mergeCell ref="F15:F17"/>
    <mergeCell ref="B21:B62"/>
    <mergeCell ref="C21:C62"/>
    <mergeCell ref="G15:G17"/>
    <mergeCell ref="H15:H17"/>
    <mergeCell ref="I15:I17"/>
    <mergeCell ref="F18:F20"/>
    <mergeCell ref="G18:G20"/>
    <mergeCell ref="H18:H20"/>
    <mergeCell ref="I18:I20"/>
  </mergeCells>
  <phoneticPr fontId="14" type="noConversion"/>
  <dataValidations count="1">
    <dataValidation type="list" allowBlank="1" showInputMessage="1" showErrorMessage="1" sqref="H3:H359 E3:E359" xr:uid="{6097D7A0-5E76-D44D-8B45-1A3D24E0829F}">
      <formula1>$E$367:$E$371</formula1>
    </dataValidation>
  </dataValidation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2D72-0F9C-684D-95C0-2332142EC3F6}">
  <sheetPr>
    <tabColor theme="4"/>
  </sheetPr>
  <dimension ref="A1:K158"/>
  <sheetViews>
    <sheetView showGridLines="0" topLeftCell="A89" workbookViewId="0">
      <selection activeCell="D3" sqref="D3:D20"/>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32.28515625" style="15" customWidth="1"/>
    <col min="10" max="10" width="9.7109375" style="15" hidden="1" customWidth="1"/>
    <col min="11" max="11" width="45.140625" style="3" hidden="1" customWidth="1"/>
    <col min="12" max="47" width="12" style="14" customWidth="1"/>
    <col min="48" max="255" width="13.28515625" style="14"/>
    <col min="256" max="256" width="40.28515625" style="14" customWidth="1"/>
    <col min="257" max="257" width="48.85546875" style="14" customWidth="1"/>
    <col min="258" max="258" width="53.28515625" style="14" customWidth="1"/>
    <col min="259" max="259" width="56.28515625" style="14" customWidth="1"/>
    <col min="260" max="303" width="12" style="14" customWidth="1"/>
    <col min="304" max="511" width="13.28515625" style="14"/>
    <col min="512" max="512" width="40.28515625" style="14" customWidth="1"/>
    <col min="513" max="513" width="48.85546875" style="14" customWidth="1"/>
    <col min="514" max="514" width="53.28515625" style="14" customWidth="1"/>
    <col min="515" max="515" width="56.28515625" style="14" customWidth="1"/>
    <col min="516" max="559" width="12" style="14" customWidth="1"/>
    <col min="560" max="767" width="13.28515625" style="14"/>
    <col min="768" max="768" width="40.28515625" style="14" customWidth="1"/>
    <col min="769" max="769" width="48.85546875" style="14" customWidth="1"/>
    <col min="770" max="770" width="53.28515625" style="14" customWidth="1"/>
    <col min="771" max="771" width="56.28515625" style="14" customWidth="1"/>
    <col min="772" max="815" width="12" style="14" customWidth="1"/>
    <col min="816" max="1023" width="13.28515625" style="14"/>
    <col min="1024" max="1024" width="40.28515625" style="14" customWidth="1"/>
    <col min="1025" max="1025" width="48.85546875" style="14" customWidth="1"/>
    <col min="1026" max="1026" width="53.28515625" style="14" customWidth="1"/>
    <col min="1027" max="1027" width="56.28515625" style="14" customWidth="1"/>
    <col min="1028" max="1071" width="12" style="14" customWidth="1"/>
    <col min="1072" max="1279" width="13.28515625" style="14"/>
    <col min="1280" max="1280" width="40.28515625" style="14" customWidth="1"/>
    <col min="1281" max="1281" width="48.85546875" style="14" customWidth="1"/>
    <col min="1282" max="1282" width="53.28515625" style="14" customWidth="1"/>
    <col min="1283" max="1283" width="56.28515625" style="14" customWidth="1"/>
    <col min="1284" max="1327" width="12" style="14" customWidth="1"/>
    <col min="1328" max="1535" width="13.28515625" style="14"/>
    <col min="1536" max="1536" width="40.28515625" style="14" customWidth="1"/>
    <col min="1537" max="1537" width="48.85546875" style="14" customWidth="1"/>
    <col min="1538" max="1538" width="53.28515625" style="14" customWidth="1"/>
    <col min="1539" max="1539" width="56.28515625" style="14" customWidth="1"/>
    <col min="1540" max="1583" width="12" style="14" customWidth="1"/>
    <col min="1584" max="1791" width="13.28515625" style="14"/>
    <col min="1792" max="1792" width="40.28515625" style="14" customWidth="1"/>
    <col min="1793" max="1793" width="48.85546875" style="14" customWidth="1"/>
    <col min="1794" max="1794" width="53.28515625" style="14" customWidth="1"/>
    <col min="1795" max="1795" width="56.28515625" style="14" customWidth="1"/>
    <col min="1796" max="1839" width="12" style="14" customWidth="1"/>
    <col min="1840" max="2047" width="13.28515625" style="14"/>
    <col min="2048" max="2048" width="40.28515625" style="14" customWidth="1"/>
    <col min="2049" max="2049" width="48.85546875" style="14" customWidth="1"/>
    <col min="2050" max="2050" width="53.28515625" style="14" customWidth="1"/>
    <col min="2051" max="2051" width="56.28515625" style="14" customWidth="1"/>
    <col min="2052" max="2095" width="12" style="14" customWidth="1"/>
    <col min="2096" max="2303" width="13.28515625" style="14"/>
    <col min="2304" max="2304" width="40.28515625" style="14" customWidth="1"/>
    <col min="2305" max="2305" width="48.85546875" style="14" customWidth="1"/>
    <col min="2306" max="2306" width="53.28515625" style="14" customWidth="1"/>
    <col min="2307" max="2307" width="56.28515625" style="14" customWidth="1"/>
    <col min="2308" max="2351" width="12" style="14" customWidth="1"/>
    <col min="2352" max="2559" width="13.28515625" style="14"/>
    <col min="2560" max="2560" width="40.28515625" style="14" customWidth="1"/>
    <col min="2561" max="2561" width="48.85546875" style="14" customWidth="1"/>
    <col min="2562" max="2562" width="53.28515625" style="14" customWidth="1"/>
    <col min="2563" max="2563" width="56.28515625" style="14" customWidth="1"/>
    <col min="2564" max="2607" width="12" style="14" customWidth="1"/>
    <col min="2608" max="2815" width="13.28515625" style="14"/>
    <col min="2816" max="2816" width="40.28515625" style="14" customWidth="1"/>
    <col min="2817" max="2817" width="48.85546875" style="14" customWidth="1"/>
    <col min="2818" max="2818" width="53.28515625" style="14" customWidth="1"/>
    <col min="2819" max="2819" width="56.28515625" style="14" customWidth="1"/>
    <col min="2820" max="2863" width="12" style="14" customWidth="1"/>
    <col min="2864" max="3071" width="13.28515625" style="14"/>
    <col min="3072" max="3072" width="40.28515625" style="14" customWidth="1"/>
    <col min="3073" max="3073" width="48.85546875" style="14" customWidth="1"/>
    <col min="3074" max="3074" width="53.28515625" style="14" customWidth="1"/>
    <col min="3075" max="3075" width="56.28515625" style="14" customWidth="1"/>
    <col min="3076" max="3119" width="12" style="14" customWidth="1"/>
    <col min="3120" max="3327" width="13.28515625" style="14"/>
    <col min="3328" max="3328" width="40.28515625" style="14" customWidth="1"/>
    <col min="3329" max="3329" width="48.85546875" style="14" customWidth="1"/>
    <col min="3330" max="3330" width="53.28515625" style="14" customWidth="1"/>
    <col min="3331" max="3331" width="56.28515625" style="14" customWidth="1"/>
    <col min="3332" max="3375" width="12" style="14" customWidth="1"/>
    <col min="3376" max="3583" width="13.28515625" style="14"/>
    <col min="3584" max="3584" width="40.28515625" style="14" customWidth="1"/>
    <col min="3585" max="3585" width="48.85546875" style="14" customWidth="1"/>
    <col min="3586" max="3586" width="53.28515625" style="14" customWidth="1"/>
    <col min="3587" max="3587" width="56.28515625" style="14" customWidth="1"/>
    <col min="3588" max="3631" width="12" style="14" customWidth="1"/>
    <col min="3632" max="3839" width="13.28515625" style="14"/>
    <col min="3840" max="3840" width="40.28515625" style="14" customWidth="1"/>
    <col min="3841" max="3841" width="48.85546875" style="14" customWidth="1"/>
    <col min="3842" max="3842" width="53.28515625" style="14" customWidth="1"/>
    <col min="3843" max="3843" width="56.28515625" style="14" customWidth="1"/>
    <col min="3844" max="3887" width="12" style="14" customWidth="1"/>
    <col min="3888" max="4095" width="13.28515625" style="14"/>
    <col min="4096" max="4096" width="40.28515625" style="14" customWidth="1"/>
    <col min="4097" max="4097" width="48.85546875" style="14" customWidth="1"/>
    <col min="4098" max="4098" width="53.28515625" style="14" customWidth="1"/>
    <col min="4099" max="4099" width="56.28515625" style="14" customWidth="1"/>
    <col min="4100" max="4143" width="12" style="14" customWidth="1"/>
    <col min="4144" max="4351" width="13.28515625" style="14"/>
    <col min="4352" max="4352" width="40.28515625" style="14" customWidth="1"/>
    <col min="4353" max="4353" width="48.85546875" style="14" customWidth="1"/>
    <col min="4354" max="4354" width="53.28515625" style="14" customWidth="1"/>
    <col min="4355" max="4355" width="56.28515625" style="14" customWidth="1"/>
    <col min="4356" max="4399" width="12" style="14" customWidth="1"/>
    <col min="4400" max="4607" width="13.28515625" style="14"/>
    <col min="4608" max="4608" width="40.28515625" style="14" customWidth="1"/>
    <col min="4609" max="4609" width="48.85546875" style="14" customWidth="1"/>
    <col min="4610" max="4610" width="53.28515625" style="14" customWidth="1"/>
    <col min="4611" max="4611" width="56.28515625" style="14" customWidth="1"/>
    <col min="4612" max="4655" width="12" style="14" customWidth="1"/>
    <col min="4656" max="4863" width="13.28515625" style="14"/>
    <col min="4864" max="4864" width="40.28515625" style="14" customWidth="1"/>
    <col min="4865" max="4865" width="48.85546875" style="14" customWidth="1"/>
    <col min="4866" max="4866" width="53.28515625" style="14" customWidth="1"/>
    <col min="4867" max="4867" width="56.28515625" style="14" customWidth="1"/>
    <col min="4868" max="4911" width="12" style="14" customWidth="1"/>
    <col min="4912" max="5119" width="13.28515625" style="14"/>
    <col min="5120" max="5120" width="40.28515625" style="14" customWidth="1"/>
    <col min="5121" max="5121" width="48.85546875" style="14" customWidth="1"/>
    <col min="5122" max="5122" width="53.28515625" style="14" customWidth="1"/>
    <col min="5123" max="5123" width="56.28515625" style="14" customWidth="1"/>
    <col min="5124" max="5167" width="12" style="14" customWidth="1"/>
    <col min="5168" max="5375" width="13.28515625" style="14"/>
    <col min="5376" max="5376" width="40.28515625" style="14" customWidth="1"/>
    <col min="5377" max="5377" width="48.85546875" style="14" customWidth="1"/>
    <col min="5378" max="5378" width="53.28515625" style="14" customWidth="1"/>
    <col min="5379" max="5379" width="56.28515625" style="14" customWidth="1"/>
    <col min="5380" max="5423" width="12" style="14" customWidth="1"/>
    <col min="5424" max="5631" width="13.28515625" style="14"/>
    <col min="5632" max="5632" width="40.28515625" style="14" customWidth="1"/>
    <col min="5633" max="5633" width="48.85546875" style="14" customWidth="1"/>
    <col min="5634" max="5634" width="53.28515625" style="14" customWidth="1"/>
    <col min="5635" max="5635" width="56.28515625" style="14" customWidth="1"/>
    <col min="5636" max="5679" width="12" style="14" customWidth="1"/>
    <col min="5680" max="5887" width="13.28515625" style="14"/>
    <col min="5888" max="5888" width="40.28515625" style="14" customWidth="1"/>
    <col min="5889" max="5889" width="48.85546875" style="14" customWidth="1"/>
    <col min="5890" max="5890" width="53.28515625" style="14" customWidth="1"/>
    <col min="5891" max="5891" width="56.28515625" style="14" customWidth="1"/>
    <col min="5892" max="5935" width="12" style="14" customWidth="1"/>
    <col min="5936" max="6143" width="13.28515625" style="14"/>
    <col min="6144" max="6144" width="40.28515625" style="14" customWidth="1"/>
    <col min="6145" max="6145" width="48.85546875" style="14" customWidth="1"/>
    <col min="6146" max="6146" width="53.28515625" style="14" customWidth="1"/>
    <col min="6147" max="6147" width="56.28515625" style="14" customWidth="1"/>
    <col min="6148" max="6191" width="12" style="14" customWidth="1"/>
    <col min="6192" max="6399" width="13.28515625" style="14"/>
    <col min="6400" max="6400" width="40.28515625" style="14" customWidth="1"/>
    <col min="6401" max="6401" width="48.85546875" style="14" customWidth="1"/>
    <col min="6402" max="6402" width="53.28515625" style="14" customWidth="1"/>
    <col min="6403" max="6403" width="56.28515625" style="14" customWidth="1"/>
    <col min="6404" max="6447" width="12" style="14" customWidth="1"/>
    <col min="6448" max="6655" width="13.28515625" style="14"/>
    <col min="6656" max="6656" width="40.28515625" style="14" customWidth="1"/>
    <col min="6657" max="6657" width="48.85546875" style="14" customWidth="1"/>
    <col min="6658" max="6658" width="53.28515625" style="14" customWidth="1"/>
    <col min="6659" max="6659" width="56.28515625" style="14" customWidth="1"/>
    <col min="6660" max="6703" width="12" style="14" customWidth="1"/>
    <col min="6704" max="6911" width="13.28515625" style="14"/>
    <col min="6912" max="6912" width="40.28515625" style="14" customWidth="1"/>
    <col min="6913" max="6913" width="48.85546875" style="14" customWidth="1"/>
    <col min="6914" max="6914" width="53.28515625" style="14" customWidth="1"/>
    <col min="6915" max="6915" width="56.28515625" style="14" customWidth="1"/>
    <col min="6916" max="6959" width="12" style="14" customWidth="1"/>
    <col min="6960" max="7167" width="13.28515625" style="14"/>
    <col min="7168" max="7168" width="40.28515625" style="14" customWidth="1"/>
    <col min="7169" max="7169" width="48.85546875" style="14" customWidth="1"/>
    <col min="7170" max="7170" width="53.28515625" style="14" customWidth="1"/>
    <col min="7171" max="7171" width="56.28515625" style="14" customWidth="1"/>
    <col min="7172" max="7215" width="12" style="14" customWidth="1"/>
    <col min="7216" max="7423" width="13.28515625" style="14"/>
    <col min="7424" max="7424" width="40.28515625" style="14" customWidth="1"/>
    <col min="7425" max="7425" width="48.85546875" style="14" customWidth="1"/>
    <col min="7426" max="7426" width="53.28515625" style="14" customWidth="1"/>
    <col min="7427" max="7427" width="56.28515625" style="14" customWidth="1"/>
    <col min="7428" max="7471" width="12" style="14" customWidth="1"/>
    <col min="7472" max="7679" width="13.28515625" style="14"/>
    <col min="7680" max="7680" width="40.28515625" style="14" customWidth="1"/>
    <col min="7681" max="7681" width="48.85546875" style="14" customWidth="1"/>
    <col min="7682" max="7682" width="53.28515625" style="14" customWidth="1"/>
    <col min="7683" max="7683" width="56.28515625" style="14" customWidth="1"/>
    <col min="7684" max="7727" width="12" style="14" customWidth="1"/>
    <col min="7728" max="7935" width="13.28515625" style="14"/>
    <col min="7936" max="7936" width="40.28515625" style="14" customWidth="1"/>
    <col min="7937" max="7937" width="48.85546875" style="14" customWidth="1"/>
    <col min="7938" max="7938" width="53.28515625" style="14" customWidth="1"/>
    <col min="7939" max="7939" width="56.28515625" style="14" customWidth="1"/>
    <col min="7940" max="7983" width="12" style="14" customWidth="1"/>
    <col min="7984" max="8191" width="13.28515625" style="14"/>
    <col min="8192" max="8192" width="40.28515625" style="14" customWidth="1"/>
    <col min="8193" max="8193" width="48.85546875" style="14" customWidth="1"/>
    <col min="8194" max="8194" width="53.28515625" style="14" customWidth="1"/>
    <col min="8195" max="8195" width="56.28515625" style="14" customWidth="1"/>
    <col min="8196" max="8239" width="12" style="14" customWidth="1"/>
    <col min="8240" max="8447" width="13.28515625" style="14"/>
    <col min="8448" max="8448" width="40.28515625" style="14" customWidth="1"/>
    <col min="8449" max="8449" width="48.85546875" style="14" customWidth="1"/>
    <col min="8450" max="8450" width="53.28515625" style="14" customWidth="1"/>
    <col min="8451" max="8451" width="56.28515625" style="14" customWidth="1"/>
    <col min="8452" max="8495" width="12" style="14" customWidth="1"/>
    <col min="8496" max="8703" width="13.28515625" style="14"/>
    <col min="8704" max="8704" width="40.28515625" style="14" customWidth="1"/>
    <col min="8705" max="8705" width="48.85546875" style="14" customWidth="1"/>
    <col min="8706" max="8706" width="53.28515625" style="14" customWidth="1"/>
    <col min="8707" max="8707" width="56.28515625" style="14" customWidth="1"/>
    <col min="8708" max="8751" width="12" style="14" customWidth="1"/>
    <col min="8752" max="8959" width="13.28515625" style="14"/>
    <col min="8960" max="8960" width="40.28515625" style="14" customWidth="1"/>
    <col min="8961" max="8961" width="48.85546875" style="14" customWidth="1"/>
    <col min="8962" max="8962" width="53.28515625" style="14" customWidth="1"/>
    <col min="8963" max="8963" width="56.28515625" style="14" customWidth="1"/>
    <col min="8964" max="9007" width="12" style="14" customWidth="1"/>
    <col min="9008" max="9215" width="13.28515625" style="14"/>
    <col min="9216" max="9216" width="40.28515625" style="14" customWidth="1"/>
    <col min="9217" max="9217" width="48.85546875" style="14" customWidth="1"/>
    <col min="9218" max="9218" width="53.28515625" style="14" customWidth="1"/>
    <col min="9219" max="9219" width="56.28515625" style="14" customWidth="1"/>
    <col min="9220" max="9263" width="12" style="14" customWidth="1"/>
    <col min="9264" max="9471" width="13.28515625" style="14"/>
    <col min="9472" max="9472" width="40.28515625" style="14" customWidth="1"/>
    <col min="9473" max="9473" width="48.85546875" style="14" customWidth="1"/>
    <col min="9474" max="9474" width="53.28515625" style="14" customWidth="1"/>
    <col min="9475" max="9475" width="56.28515625" style="14" customWidth="1"/>
    <col min="9476" max="9519" width="12" style="14" customWidth="1"/>
    <col min="9520" max="9727" width="13.28515625" style="14"/>
    <col min="9728" max="9728" width="40.28515625" style="14" customWidth="1"/>
    <col min="9729" max="9729" width="48.85546875" style="14" customWidth="1"/>
    <col min="9730" max="9730" width="53.28515625" style="14" customWidth="1"/>
    <col min="9731" max="9731" width="56.28515625" style="14" customWidth="1"/>
    <col min="9732" max="9775" width="12" style="14" customWidth="1"/>
    <col min="9776" max="9983" width="13.28515625" style="14"/>
    <col min="9984" max="9984" width="40.28515625" style="14" customWidth="1"/>
    <col min="9985" max="9985" width="48.85546875" style="14" customWidth="1"/>
    <col min="9986" max="9986" width="53.28515625" style="14" customWidth="1"/>
    <col min="9987" max="9987" width="56.28515625" style="14" customWidth="1"/>
    <col min="9988" max="10031" width="12" style="14" customWidth="1"/>
    <col min="10032" max="10239" width="13.28515625" style="14"/>
    <col min="10240" max="10240" width="40.28515625" style="14" customWidth="1"/>
    <col min="10241" max="10241" width="48.85546875" style="14" customWidth="1"/>
    <col min="10242" max="10242" width="53.28515625" style="14" customWidth="1"/>
    <col min="10243" max="10243" width="56.28515625" style="14" customWidth="1"/>
    <col min="10244" max="10287" width="12" style="14" customWidth="1"/>
    <col min="10288" max="10495" width="13.28515625" style="14"/>
    <col min="10496" max="10496" width="40.28515625" style="14" customWidth="1"/>
    <col min="10497" max="10497" width="48.85546875" style="14" customWidth="1"/>
    <col min="10498" max="10498" width="53.28515625" style="14" customWidth="1"/>
    <col min="10499" max="10499" width="56.28515625" style="14" customWidth="1"/>
    <col min="10500" max="10543" width="12" style="14" customWidth="1"/>
    <col min="10544" max="10751" width="13.28515625" style="14"/>
    <col min="10752" max="10752" width="40.28515625" style="14" customWidth="1"/>
    <col min="10753" max="10753" width="48.85546875" style="14" customWidth="1"/>
    <col min="10754" max="10754" width="53.28515625" style="14" customWidth="1"/>
    <col min="10755" max="10755" width="56.28515625" style="14" customWidth="1"/>
    <col min="10756" max="10799" width="12" style="14" customWidth="1"/>
    <col min="10800" max="11007" width="13.28515625" style="14"/>
    <col min="11008" max="11008" width="40.28515625" style="14" customWidth="1"/>
    <col min="11009" max="11009" width="48.85546875" style="14" customWidth="1"/>
    <col min="11010" max="11010" width="53.28515625" style="14" customWidth="1"/>
    <col min="11011" max="11011" width="56.28515625" style="14" customWidth="1"/>
    <col min="11012" max="11055" width="12" style="14" customWidth="1"/>
    <col min="11056" max="11263" width="13.28515625" style="14"/>
    <col min="11264" max="11264" width="40.28515625" style="14" customWidth="1"/>
    <col min="11265" max="11265" width="48.85546875" style="14" customWidth="1"/>
    <col min="11266" max="11266" width="53.28515625" style="14" customWidth="1"/>
    <col min="11267" max="11267" width="56.28515625" style="14" customWidth="1"/>
    <col min="11268" max="11311" width="12" style="14" customWidth="1"/>
    <col min="11312" max="11519" width="13.28515625" style="14"/>
    <col min="11520" max="11520" width="40.28515625" style="14" customWidth="1"/>
    <col min="11521" max="11521" width="48.85546875" style="14" customWidth="1"/>
    <col min="11522" max="11522" width="53.28515625" style="14" customWidth="1"/>
    <col min="11523" max="11523" width="56.28515625" style="14" customWidth="1"/>
    <col min="11524" max="11567" width="12" style="14" customWidth="1"/>
    <col min="11568" max="11775" width="13.28515625" style="14"/>
    <col min="11776" max="11776" width="40.28515625" style="14" customWidth="1"/>
    <col min="11777" max="11777" width="48.85546875" style="14" customWidth="1"/>
    <col min="11778" max="11778" width="53.28515625" style="14" customWidth="1"/>
    <col min="11779" max="11779" width="56.28515625" style="14" customWidth="1"/>
    <col min="11780" max="11823" width="12" style="14" customWidth="1"/>
    <col min="11824" max="12031" width="13.28515625" style="14"/>
    <col min="12032" max="12032" width="40.28515625" style="14" customWidth="1"/>
    <col min="12033" max="12033" width="48.85546875" style="14" customWidth="1"/>
    <col min="12034" max="12034" width="53.28515625" style="14" customWidth="1"/>
    <col min="12035" max="12035" width="56.28515625" style="14" customWidth="1"/>
    <col min="12036" max="12079" width="12" style="14" customWidth="1"/>
    <col min="12080" max="12287" width="13.28515625" style="14"/>
    <col min="12288" max="12288" width="40.28515625" style="14" customWidth="1"/>
    <col min="12289" max="12289" width="48.85546875" style="14" customWidth="1"/>
    <col min="12290" max="12290" width="53.28515625" style="14" customWidth="1"/>
    <col min="12291" max="12291" width="56.28515625" style="14" customWidth="1"/>
    <col min="12292" max="12335" width="12" style="14" customWidth="1"/>
    <col min="12336" max="12543" width="13.28515625" style="14"/>
    <col min="12544" max="12544" width="40.28515625" style="14" customWidth="1"/>
    <col min="12545" max="12545" width="48.85546875" style="14" customWidth="1"/>
    <col min="12546" max="12546" width="53.28515625" style="14" customWidth="1"/>
    <col min="12547" max="12547" width="56.28515625" style="14" customWidth="1"/>
    <col min="12548" max="12591" width="12" style="14" customWidth="1"/>
    <col min="12592" max="12799" width="13.28515625" style="14"/>
    <col min="12800" max="12800" width="40.28515625" style="14" customWidth="1"/>
    <col min="12801" max="12801" width="48.85546875" style="14" customWidth="1"/>
    <col min="12802" max="12802" width="53.28515625" style="14" customWidth="1"/>
    <col min="12803" max="12803" width="56.28515625" style="14" customWidth="1"/>
    <col min="12804" max="12847" width="12" style="14" customWidth="1"/>
    <col min="12848" max="13055" width="13.28515625" style="14"/>
    <col min="13056" max="13056" width="40.28515625" style="14" customWidth="1"/>
    <col min="13057" max="13057" width="48.85546875" style="14" customWidth="1"/>
    <col min="13058" max="13058" width="53.28515625" style="14" customWidth="1"/>
    <col min="13059" max="13059" width="56.28515625" style="14" customWidth="1"/>
    <col min="13060" max="13103" width="12" style="14" customWidth="1"/>
    <col min="13104" max="13311" width="13.28515625" style="14"/>
    <col min="13312" max="13312" width="40.28515625" style="14" customWidth="1"/>
    <col min="13313" max="13313" width="48.85546875" style="14" customWidth="1"/>
    <col min="13314" max="13314" width="53.28515625" style="14" customWidth="1"/>
    <col min="13315" max="13315" width="56.28515625" style="14" customWidth="1"/>
    <col min="13316" max="13359" width="12" style="14" customWidth="1"/>
    <col min="13360" max="13567" width="13.28515625" style="14"/>
    <col min="13568" max="13568" width="40.28515625" style="14" customWidth="1"/>
    <col min="13569" max="13569" width="48.85546875" style="14" customWidth="1"/>
    <col min="13570" max="13570" width="53.28515625" style="14" customWidth="1"/>
    <col min="13571" max="13571" width="56.28515625" style="14" customWidth="1"/>
    <col min="13572" max="13615" width="12" style="14" customWidth="1"/>
    <col min="13616" max="13823" width="13.28515625" style="14"/>
    <col min="13824" max="13824" width="40.28515625" style="14" customWidth="1"/>
    <col min="13825" max="13825" width="48.85546875" style="14" customWidth="1"/>
    <col min="13826" max="13826" width="53.28515625" style="14" customWidth="1"/>
    <col min="13827" max="13827" width="56.28515625" style="14" customWidth="1"/>
    <col min="13828" max="13871" width="12" style="14" customWidth="1"/>
    <col min="13872" max="14079" width="13.28515625" style="14"/>
    <col min="14080" max="14080" width="40.28515625" style="14" customWidth="1"/>
    <col min="14081" max="14081" width="48.85546875" style="14" customWidth="1"/>
    <col min="14082" max="14082" width="53.28515625" style="14" customWidth="1"/>
    <col min="14083" max="14083" width="56.28515625" style="14" customWidth="1"/>
    <col min="14084" max="14127" width="12" style="14" customWidth="1"/>
    <col min="14128" max="14335" width="13.28515625" style="14"/>
    <col min="14336" max="14336" width="40.28515625" style="14" customWidth="1"/>
    <col min="14337" max="14337" width="48.85546875" style="14" customWidth="1"/>
    <col min="14338" max="14338" width="53.28515625" style="14" customWidth="1"/>
    <col min="14339" max="14339" width="56.28515625" style="14" customWidth="1"/>
    <col min="14340" max="14383" width="12" style="14" customWidth="1"/>
    <col min="14384" max="14591" width="13.28515625" style="14"/>
    <col min="14592" max="14592" width="40.28515625" style="14" customWidth="1"/>
    <col min="14593" max="14593" width="48.85546875" style="14" customWidth="1"/>
    <col min="14594" max="14594" width="53.28515625" style="14" customWidth="1"/>
    <col min="14595" max="14595" width="56.28515625" style="14" customWidth="1"/>
    <col min="14596" max="14639" width="12" style="14" customWidth="1"/>
    <col min="14640" max="14847" width="13.28515625" style="14"/>
    <col min="14848" max="14848" width="40.28515625" style="14" customWidth="1"/>
    <col min="14849" max="14849" width="48.85546875" style="14" customWidth="1"/>
    <col min="14850" max="14850" width="53.28515625" style="14" customWidth="1"/>
    <col min="14851" max="14851" width="56.28515625" style="14" customWidth="1"/>
    <col min="14852" max="14895" width="12" style="14" customWidth="1"/>
    <col min="14896" max="15103" width="13.28515625" style="14"/>
    <col min="15104" max="15104" width="40.28515625" style="14" customWidth="1"/>
    <col min="15105" max="15105" width="48.85546875" style="14" customWidth="1"/>
    <col min="15106" max="15106" width="53.28515625" style="14" customWidth="1"/>
    <col min="15107" max="15107" width="56.28515625" style="14" customWidth="1"/>
    <col min="15108" max="15151" width="12" style="14" customWidth="1"/>
    <col min="15152" max="15359" width="13.28515625" style="14"/>
    <col min="15360" max="15360" width="40.28515625" style="14" customWidth="1"/>
    <col min="15361" max="15361" width="48.85546875" style="14" customWidth="1"/>
    <col min="15362" max="15362" width="53.28515625" style="14" customWidth="1"/>
    <col min="15363" max="15363" width="56.28515625" style="14" customWidth="1"/>
    <col min="15364" max="15407" width="12" style="14" customWidth="1"/>
    <col min="15408" max="15615" width="13.28515625" style="14"/>
    <col min="15616" max="15616" width="40.28515625" style="14" customWidth="1"/>
    <col min="15617" max="15617" width="48.85546875" style="14" customWidth="1"/>
    <col min="15618" max="15618" width="53.28515625" style="14" customWidth="1"/>
    <col min="15619" max="15619" width="56.28515625" style="14" customWidth="1"/>
    <col min="15620" max="15663" width="12" style="14" customWidth="1"/>
    <col min="15664" max="15871" width="13.28515625" style="14"/>
    <col min="15872" max="15872" width="40.28515625" style="14" customWidth="1"/>
    <col min="15873" max="15873" width="48.85546875" style="14" customWidth="1"/>
    <col min="15874" max="15874" width="53.28515625" style="14" customWidth="1"/>
    <col min="15875" max="15875" width="56.28515625" style="14" customWidth="1"/>
    <col min="15876" max="15919" width="12" style="14" customWidth="1"/>
    <col min="15920" max="16127" width="13.28515625" style="14"/>
    <col min="16128" max="16128" width="40.28515625" style="14" customWidth="1"/>
    <col min="16129" max="16129" width="48.85546875" style="14" customWidth="1"/>
    <col min="16130" max="16130" width="53.28515625" style="14" customWidth="1"/>
    <col min="16131" max="16131" width="56.28515625" style="14" customWidth="1"/>
    <col min="16132" max="16175" width="12" style="14" customWidth="1"/>
    <col min="16176" max="16384" width="13.28515625" style="14"/>
  </cols>
  <sheetData>
    <row r="1" spans="1:11" ht="30"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354" t="s">
        <v>3937</v>
      </c>
      <c r="B3" s="275" t="s">
        <v>3633</v>
      </c>
      <c r="C3" s="362" t="s">
        <v>3876</v>
      </c>
      <c r="D3" s="275"/>
      <c r="E3" s="275"/>
      <c r="F3" s="288" t="s">
        <v>3634</v>
      </c>
      <c r="G3" s="272"/>
      <c r="H3" s="272"/>
      <c r="I3" s="272"/>
      <c r="J3" s="109" t="s">
        <v>3635</v>
      </c>
      <c r="K3" s="7"/>
    </row>
    <row r="4" spans="1:11" x14ac:dyDescent="0.2">
      <c r="A4" s="288"/>
      <c r="B4" s="275"/>
      <c r="C4" s="275"/>
      <c r="D4" s="275"/>
      <c r="E4" s="275"/>
      <c r="F4" s="288"/>
      <c r="G4" s="272"/>
      <c r="H4" s="272"/>
      <c r="I4" s="272"/>
      <c r="J4" s="109" t="s">
        <v>3636</v>
      </c>
      <c r="K4" s="7"/>
    </row>
    <row r="5" spans="1:11" x14ac:dyDescent="0.2">
      <c r="A5" s="273"/>
      <c r="B5" s="276"/>
      <c r="C5" s="276"/>
      <c r="D5" s="276"/>
      <c r="E5" s="276"/>
      <c r="F5" s="273"/>
      <c r="G5" s="273"/>
      <c r="H5" s="273"/>
      <c r="I5" s="273"/>
      <c r="J5" s="109" t="s">
        <v>3637</v>
      </c>
      <c r="K5" s="7"/>
    </row>
    <row r="6" spans="1:11" ht="15" customHeight="1" x14ac:dyDescent="0.2">
      <c r="A6" s="273"/>
      <c r="B6" s="276"/>
      <c r="C6" s="276"/>
      <c r="D6" s="276"/>
      <c r="E6" s="276"/>
      <c r="F6" s="288" t="s">
        <v>3638</v>
      </c>
      <c r="G6" s="289"/>
      <c r="H6" s="272"/>
      <c r="I6" s="289"/>
      <c r="J6" s="109" t="s">
        <v>3639</v>
      </c>
      <c r="K6" s="7"/>
    </row>
    <row r="7" spans="1:11" ht="15" customHeight="1" x14ac:dyDescent="0.2">
      <c r="A7" s="273"/>
      <c r="B7" s="276"/>
      <c r="C7" s="276"/>
      <c r="D7" s="276"/>
      <c r="E7" s="276"/>
      <c r="F7" s="288"/>
      <c r="G7" s="289"/>
      <c r="H7" s="272"/>
      <c r="I7" s="289"/>
      <c r="J7" s="109" t="s">
        <v>3640</v>
      </c>
      <c r="K7" s="7"/>
    </row>
    <row r="8" spans="1:11" x14ac:dyDescent="0.2">
      <c r="A8" s="273"/>
      <c r="B8" s="276"/>
      <c r="C8" s="276"/>
      <c r="D8" s="276"/>
      <c r="E8" s="276"/>
      <c r="F8" s="273"/>
      <c r="G8" s="273"/>
      <c r="H8" s="273"/>
      <c r="I8" s="273"/>
      <c r="J8" s="109" t="s">
        <v>3641</v>
      </c>
      <c r="K8" s="7"/>
    </row>
    <row r="9" spans="1:11" ht="15" customHeight="1" x14ac:dyDescent="0.2">
      <c r="A9" s="273"/>
      <c r="B9" s="276"/>
      <c r="C9" s="276"/>
      <c r="D9" s="276"/>
      <c r="E9" s="276"/>
      <c r="F9" s="288" t="s">
        <v>3642</v>
      </c>
      <c r="G9" s="272"/>
      <c r="H9" s="272"/>
      <c r="I9" s="272"/>
      <c r="J9" s="26"/>
      <c r="K9" s="7"/>
    </row>
    <row r="10" spans="1:11" ht="15" customHeight="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ht="15" customHeight="1" x14ac:dyDescent="0.2">
      <c r="A12" s="273"/>
      <c r="B12" s="276"/>
      <c r="C12" s="276"/>
      <c r="D12" s="276"/>
      <c r="E12" s="276"/>
      <c r="F12" s="288" t="s">
        <v>3643</v>
      </c>
      <c r="G12" s="272"/>
      <c r="H12" s="272"/>
      <c r="I12" s="272"/>
      <c r="J12" s="26"/>
      <c r="K12" s="7"/>
    </row>
    <row r="13" spans="1:11" ht="15" customHeight="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ht="15" customHeight="1" x14ac:dyDescent="0.2">
      <c r="A15" s="273"/>
      <c r="B15" s="276"/>
      <c r="C15" s="276"/>
      <c r="D15" s="276"/>
      <c r="E15" s="276"/>
      <c r="F15" s="288" t="s">
        <v>3644</v>
      </c>
      <c r="G15" s="272"/>
      <c r="H15" s="272"/>
      <c r="I15" s="272"/>
      <c r="J15" s="26"/>
      <c r="K15" s="7"/>
    </row>
    <row r="16" spans="1:11"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3645</v>
      </c>
      <c r="G18" s="272"/>
      <c r="H18" s="272"/>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3646</v>
      </c>
      <c r="C21" s="277" t="s">
        <v>849</v>
      </c>
      <c r="D21" s="277"/>
      <c r="E21" s="277"/>
      <c r="F21" s="288" t="s">
        <v>3647</v>
      </c>
      <c r="G21" s="289"/>
      <c r="H21" s="272"/>
      <c r="I21" s="289"/>
      <c r="J21" s="39"/>
      <c r="K21" s="7"/>
    </row>
    <row r="22" spans="1:11" x14ac:dyDescent="0.2">
      <c r="A22" s="273"/>
      <c r="B22" s="278"/>
      <c r="C22" s="278"/>
      <c r="D22" s="278"/>
      <c r="E22" s="278"/>
      <c r="F22" s="288"/>
      <c r="G22" s="289"/>
      <c r="H22" s="272"/>
      <c r="I22" s="289"/>
      <c r="J22" s="39"/>
      <c r="K22" s="7"/>
    </row>
    <row r="23" spans="1:11" x14ac:dyDescent="0.2">
      <c r="A23" s="273"/>
      <c r="B23" s="279"/>
      <c r="C23" s="279"/>
      <c r="D23" s="279"/>
      <c r="E23" s="279"/>
      <c r="F23" s="273"/>
      <c r="G23" s="273"/>
      <c r="H23" s="273"/>
      <c r="I23" s="273"/>
      <c r="J23" s="89"/>
      <c r="K23" s="7"/>
    </row>
    <row r="24" spans="1:11" ht="15" customHeight="1" x14ac:dyDescent="0.2">
      <c r="A24" s="273"/>
      <c r="B24" s="279"/>
      <c r="C24" s="279"/>
      <c r="D24" s="279"/>
      <c r="E24" s="279"/>
      <c r="F24" s="288" t="s">
        <v>3648</v>
      </c>
      <c r="G24" s="272"/>
      <c r="H24" s="272"/>
      <c r="I24" s="272"/>
      <c r="J24" s="26"/>
      <c r="K24" s="7"/>
    </row>
    <row r="25" spans="1:11" ht="15" customHeight="1" x14ac:dyDescent="0.2">
      <c r="A25" s="273"/>
      <c r="B25" s="279"/>
      <c r="C25" s="279"/>
      <c r="D25" s="279"/>
      <c r="E25" s="279"/>
      <c r="F25" s="288"/>
      <c r="G25" s="272"/>
      <c r="H25" s="272"/>
      <c r="I25" s="272"/>
      <c r="J25" s="26"/>
      <c r="K25" s="7"/>
    </row>
    <row r="26" spans="1:11" x14ac:dyDescent="0.2">
      <c r="A26" s="273"/>
      <c r="B26" s="279"/>
      <c r="C26" s="279"/>
      <c r="D26" s="279"/>
      <c r="E26" s="279"/>
      <c r="F26" s="273"/>
      <c r="G26" s="273"/>
      <c r="H26" s="273"/>
      <c r="I26" s="273"/>
      <c r="J26" s="89"/>
      <c r="K26" s="7"/>
    </row>
    <row r="27" spans="1:11" x14ac:dyDescent="0.2">
      <c r="A27" s="273"/>
      <c r="B27" s="279"/>
      <c r="C27" s="279"/>
      <c r="D27" s="279"/>
      <c r="E27" s="279"/>
      <c r="F27" s="288" t="s">
        <v>3649</v>
      </c>
      <c r="G27" s="272"/>
      <c r="H27" s="272"/>
      <c r="I27" s="272"/>
      <c r="J27" s="26"/>
      <c r="K27" s="7"/>
    </row>
    <row r="28" spans="1:11" x14ac:dyDescent="0.2">
      <c r="A28" s="273"/>
      <c r="B28" s="279"/>
      <c r="C28" s="279"/>
      <c r="D28" s="279"/>
      <c r="E28" s="279"/>
      <c r="F28" s="288"/>
      <c r="G28" s="272"/>
      <c r="H28" s="272"/>
      <c r="I28" s="272"/>
      <c r="J28" s="26"/>
      <c r="K28" s="7"/>
    </row>
    <row r="29" spans="1:11" x14ac:dyDescent="0.2">
      <c r="A29" s="273"/>
      <c r="B29" s="279"/>
      <c r="C29" s="279"/>
      <c r="D29" s="279"/>
      <c r="E29" s="279"/>
      <c r="F29" s="273"/>
      <c r="G29" s="273"/>
      <c r="H29" s="273"/>
      <c r="I29" s="273"/>
      <c r="J29" s="89"/>
      <c r="K29" s="7"/>
    </row>
    <row r="30" spans="1:11" x14ac:dyDescent="0.2">
      <c r="A30" s="273"/>
      <c r="B30" s="279"/>
      <c r="C30" s="279"/>
      <c r="D30" s="279"/>
      <c r="E30" s="279"/>
      <c r="F30" s="288" t="s">
        <v>3650</v>
      </c>
      <c r="G30" s="289"/>
      <c r="H30" s="272"/>
      <c r="I30" s="289"/>
      <c r="J30" s="39"/>
      <c r="K30" s="7"/>
    </row>
    <row r="31" spans="1:11" x14ac:dyDescent="0.2">
      <c r="A31" s="273"/>
      <c r="B31" s="279"/>
      <c r="C31" s="279"/>
      <c r="D31" s="279"/>
      <c r="E31" s="279"/>
      <c r="F31" s="288"/>
      <c r="G31" s="289"/>
      <c r="H31" s="272"/>
      <c r="I31" s="289"/>
      <c r="J31" s="39"/>
      <c r="K31" s="7"/>
    </row>
    <row r="32" spans="1:11" x14ac:dyDescent="0.2">
      <c r="A32" s="273"/>
      <c r="B32" s="279"/>
      <c r="C32" s="279"/>
      <c r="D32" s="279"/>
      <c r="E32" s="279"/>
      <c r="F32" s="273"/>
      <c r="G32" s="273"/>
      <c r="H32" s="273"/>
      <c r="I32" s="273"/>
      <c r="J32" s="89"/>
      <c r="K32" s="37"/>
    </row>
    <row r="33" spans="1:11" x14ac:dyDescent="0.2">
      <c r="A33" s="273"/>
      <c r="B33" s="279"/>
      <c r="C33" s="279"/>
      <c r="D33" s="279"/>
      <c r="E33" s="279"/>
      <c r="F33" s="288" t="s">
        <v>3651</v>
      </c>
      <c r="G33" s="272"/>
      <c r="H33" s="272"/>
      <c r="I33" s="272"/>
      <c r="J33" s="26"/>
      <c r="K33" s="37"/>
    </row>
    <row r="34" spans="1:11" x14ac:dyDescent="0.2">
      <c r="A34" s="273"/>
      <c r="B34" s="279"/>
      <c r="C34" s="279"/>
      <c r="D34" s="279"/>
      <c r="E34" s="279"/>
      <c r="F34" s="288"/>
      <c r="G34" s="272"/>
      <c r="H34" s="272"/>
      <c r="I34" s="272"/>
      <c r="J34" s="26"/>
      <c r="K34" s="37"/>
    </row>
    <row r="35" spans="1:11" x14ac:dyDescent="0.2">
      <c r="A35" s="273"/>
      <c r="B35" s="279"/>
      <c r="C35" s="279"/>
      <c r="D35" s="279"/>
      <c r="E35" s="279"/>
      <c r="F35" s="273"/>
      <c r="G35" s="273"/>
      <c r="H35" s="273"/>
      <c r="I35" s="273"/>
      <c r="J35" s="89"/>
      <c r="K35" s="37"/>
    </row>
    <row r="36" spans="1:11" ht="15" customHeight="1" x14ac:dyDescent="0.25">
      <c r="A36" s="273"/>
      <c r="B36" s="279"/>
      <c r="C36" s="279"/>
      <c r="D36" s="279"/>
      <c r="E36" s="279"/>
      <c r="F36" s="288" t="s">
        <v>3652</v>
      </c>
      <c r="G36" s="272"/>
      <c r="H36" s="272"/>
      <c r="I36" s="272"/>
      <c r="J36" s="26"/>
      <c r="K36" s="104"/>
    </row>
    <row r="37" spans="1:11" ht="15" customHeight="1" x14ac:dyDescent="0.25">
      <c r="A37" s="273"/>
      <c r="B37" s="279"/>
      <c r="C37" s="279"/>
      <c r="D37" s="279"/>
      <c r="E37" s="279"/>
      <c r="F37" s="288"/>
      <c r="G37" s="272"/>
      <c r="H37" s="272"/>
      <c r="I37" s="272"/>
      <c r="J37" s="26"/>
      <c r="K37" s="104"/>
    </row>
    <row r="38" spans="1:11" x14ac:dyDescent="0.25">
      <c r="A38" s="273"/>
      <c r="B38" s="279"/>
      <c r="C38" s="279"/>
      <c r="D38" s="279"/>
      <c r="E38" s="279"/>
      <c r="F38" s="273"/>
      <c r="G38" s="273"/>
      <c r="H38" s="273"/>
      <c r="I38" s="273"/>
      <c r="J38" s="89"/>
      <c r="K38" s="33"/>
    </row>
    <row r="39" spans="1:11" x14ac:dyDescent="0.25">
      <c r="A39" s="276"/>
      <c r="B39" s="280" t="s">
        <v>3653</v>
      </c>
      <c r="C39" s="280" t="s">
        <v>850</v>
      </c>
      <c r="D39" s="280"/>
      <c r="E39" s="280"/>
      <c r="F39" s="288" t="s">
        <v>3654</v>
      </c>
      <c r="G39" s="272"/>
      <c r="H39" s="272"/>
      <c r="I39" s="272"/>
      <c r="J39" s="26"/>
      <c r="K39" s="33"/>
    </row>
    <row r="40" spans="1:11" x14ac:dyDescent="0.25">
      <c r="A40" s="276"/>
      <c r="B40" s="280"/>
      <c r="C40" s="280"/>
      <c r="D40" s="280"/>
      <c r="E40" s="280"/>
      <c r="F40" s="288"/>
      <c r="G40" s="272"/>
      <c r="H40" s="272"/>
      <c r="I40" s="272"/>
      <c r="J40" s="26"/>
      <c r="K40" s="33"/>
    </row>
    <row r="41" spans="1:11" x14ac:dyDescent="0.25">
      <c r="A41" s="276"/>
      <c r="B41" s="281"/>
      <c r="C41" s="281"/>
      <c r="D41" s="281"/>
      <c r="E41" s="281"/>
      <c r="F41" s="273"/>
      <c r="G41" s="273"/>
      <c r="H41" s="273"/>
      <c r="I41" s="273"/>
      <c r="J41" s="89"/>
      <c r="K41" s="33"/>
    </row>
    <row r="42" spans="1:11" ht="15" customHeight="1" x14ac:dyDescent="0.25">
      <c r="A42" s="276"/>
      <c r="B42" s="281"/>
      <c r="C42" s="281"/>
      <c r="D42" s="281"/>
      <c r="E42" s="281"/>
      <c r="F42" s="288" t="s">
        <v>3655</v>
      </c>
      <c r="G42" s="272"/>
      <c r="H42" s="272"/>
      <c r="I42" s="272"/>
      <c r="J42" s="26"/>
      <c r="K42" s="33"/>
    </row>
    <row r="43" spans="1:11" ht="15" customHeight="1" x14ac:dyDescent="0.25">
      <c r="A43" s="276"/>
      <c r="B43" s="281"/>
      <c r="C43" s="281"/>
      <c r="D43" s="281"/>
      <c r="E43" s="281"/>
      <c r="F43" s="288"/>
      <c r="G43" s="272"/>
      <c r="H43" s="272"/>
      <c r="I43" s="272"/>
      <c r="J43" s="26"/>
      <c r="K43" s="33"/>
    </row>
    <row r="44" spans="1:11" x14ac:dyDescent="0.25">
      <c r="A44" s="276"/>
      <c r="B44" s="281"/>
      <c r="C44" s="281"/>
      <c r="D44" s="281"/>
      <c r="E44" s="281"/>
      <c r="F44" s="273"/>
      <c r="G44" s="273"/>
      <c r="H44" s="273"/>
      <c r="I44" s="273"/>
      <c r="J44" s="89"/>
      <c r="K44" s="33"/>
    </row>
    <row r="45" spans="1:11" ht="15" customHeight="1" x14ac:dyDescent="0.25">
      <c r="A45" s="276"/>
      <c r="B45" s="281"/>
      <c r="C45" s="281"/>
      <c r="D45" s="281"/>
      <c r="E45" s="281"/>
      <c r="F45" s="288" t="s">
        <v>3656</v>
      </c>
      <c r="G45" s="272"/>
      <c r="H45" s="272"/>
      <c r="I45" s="272"/>
      <c r="J45" s="26"/>
      <c r="K45" s="33"/>
    </row>
    <row r="46" spans="1:11" ht="15" customHeight="1" x14ac:dyDescent="0.25">
      <c r="A46" s="276"/>
      <c r="B46" s="281"/>
      <c r="C46" s="281"/>
      <c r="D46" s="281"/>
      <c r="E46" s="281"/>
      <c r="F46" s="288"/>
      <c r="G46" s="272"/>
      <c r="H46" s="272"/>
      <c r="I46" s="272"/>
      <c r="J46" s="26"/>
      <c r="K46" s="33"/>
    </row>
    <row r="47" spans="1:11" x14ac:dyDescent="0.25">
      <c r="A47" s="276"/>
      <c r="B47" s="281"/>
      <c r="C47" s="281"/>
      <c r="D47" s="281"/>
      <c r="E47" s="281"/>
      <c r="F47" s="273"/>
      <c r="G47" s="273"/>
      <c r="H47" s="273"/>
      <c r="I47" s="273"/>
      <c r="J47" s="89"/>
      <c r="K47" s="33"/>
    </row>
    <row r="48" spans="1:11" x14ac:dyDescent="0.25">
      <c r="A48" s="276"/>
      <c r="B48" s="281"/>
      <c r="C48" s="281"/>
      <c r="D48" s="281"/>
      <c r="E48" s="281"/>
      <c r="F48" s="288" t="s">
        <v>3657</v>
      </c>
      <c r="G48" s="272"/>
      <c r="H48" s="272"/>
      <c r="I48" s="272"/>
      <c r="J48" s="26"/>
      <c r="K48" s="33"/>
    </row>
    <row r="49" spans="1:11" x14ac:dyDescent="0.25">
      <c r="A49" s="276"/>
      <c r="B49" s="281"/>
      <c r="C49" s="281"/>
      <c r="D49" s="281"/>
      <c r="E49" s="281"/>
      <c r="F49" s="288"/>
      <c r="G49" s="272"/>
      <c r="H49" s="272"/>
      <c r="I49" s="272"/>
      <c r="J49" s="26"/>
      <c r="K49" s="33"/>
    </row>
    <row r="50" spans="1:11" x14ac:dyDescent="0.25">
      <c r="A50" s="276"/>
      <c r="B50" s="281"/>
      <c r="C50" s="281"/>
      <c r="D50" s="281"/>
      <c r="E50" s="281"/>
      <c r="F50" s="273"/>
      <c r="G50" s="273"/>
      <c r="H50" s="273"/>
      <c r="I50" s="273"/>
      <c r="J50" s="89"/>
      <c r="K50" s="33"/>
    </row>
    <row r="51" spans="1:11" x14ac:dyDescent="0.25">
      <c r="A51" s="276"/>
      <c r="B51" s="281"/>
      <c r="C51" s="281"/>
      <c r="D51" s="281"/>
      <c r="E51" s="281"/>
      <c r="F51" s="288" t="s">
        <v>3658</v>
      </c>
      <c r="G51" s="272"/>
      <c r="H51" s="272"/>
      <c r="I51" s="272"/>
      <c r="J51" s="26"/>
      <c r="K51" s="33"/>
    </row>
    <row r="52" spans="1:11" x14ac:dyDescent="0.25">
      <c r="A52" s="276"/>
      <c r="B52" s="281"/>
      <c r="C52" s="281"/>
      <c r="D52" s="281"/>
      <c r="E52" s="281"/>
      <c r="F52" s="288"/>
      <c r="G52" s="272"/>
      <c r="H52" s="272"/>
      <c r="I52" s="272"/>
      <c r="J52" s="26"/>
      <c r="K52" s="33"/>
    </row>
    <row r="53" spans="1:11" x14ac:dyDescent="0.25">
      <c r="A53" s="276"/>
      <c r="B53" s="281"/>
      <c r="C53" s="281"/>
      <c r="D53" s="281"/>
      <c r="E53" s="281"/>
      <c r="F53" s="273"/>
      <c r="G53" s="273"/>
      <c r="H53" s="273"/>
      <c r="I53" s="273"/>
      <c r="J53" s="89"/>
      <c r="K53" s="33"/>
    </row>
    <row r="54" spans="1:11" ht="15" customHeight="1" x14ac:dyDescent="0.25">
      <c r="A54" s="276"/>
      <c r="B54" s="281"/>
      <c r="C54" s="281"/>
      <c r="D54" s="281"/>
      <c r="E54" s="281"/>
      <c r="F54" s="288" t="s">
        <v>3659</v>
      </c>
      <c r="G54" s="272"/>
      <c r="H54" s="272"/>
      <c r="I54" s="272"/>
      <c r="J54" s="26"/>
      <c r="K54" s="33"/>
    </row>
    <row r="55" spans="1:11" ht="15" customHeight="1" x14ac:dyDescent="0.25">
      <c r="A55" s="276"/>
      <c r="B55" s="281"/>
      <c r="C55" s="281"/>
      <c r="D55" s="281"/>
      <c r="E55" s="281"/>
      <c r="F55" s="288"/>
      <c r="G55" s="272"/>
      <c r="H55" s="272"/>
      <c r="I55" s="272"/>
      <c r="J55" s="26"/>
      <c r="K55" s="33"/>
    </row>
    <row r="56" spans="1:11" x14ac:dyDescent="0.25">
      <c r="A56" s="276"/>
      <c r="B56" s="281"/>
      <c r="C56" s="281"/>
      <c r="D56" s="281"/>
      <c r="E56" s="281"/>
      <c r="F56" s="273"/>
      <c r="G56" s="273"/>
      <c r="H56" s="273"/>
      <c r="I56" s="273"/>
      <c r="J56" s="89"/>
      <c r="K56" s="33"/>
    </row>
    <row r="57" spans="1:11" x14ac:dyDescent="0.25">
      <c r="A57" s="276"/>
      <c r="B57" s="282" t="s">
        <v>3660</v>
      </c>
      <c r="C57" s="282" t="s">
        <v>852</v>
      </c>
      <c r="D57" s="282"/>
      <c r="E57" s="282"/>
      <c r="F57" s="288" t="s">
        <v>3661</v>
      </c>
      <c r="G57" s="272"/>
      <c r="H57" s="272"/>
      <c r="I57" s="272"/>
      <c r="J57" s="26"/>
      <c r="K57" s="33"/>
    </row>
    <row r="58" spans="1:11" x14ac:dyDescent="0.25">
      <c r="A58" s="276"/>
      <c r="B58" s="283"/>
      <c r="C58" s="283"/>
      <c r="D58" s="283"/>
      <c r="E58" s="283"/>
      <c r="F58" s="288"/>
      <c r="G58" s="272"/>
      <c r="H58" s="272"/>
      <c r="I58" s="272"/>
      <c r="J58" s="26"/>
      <c r="K58" s="33"/>
    </row>
    <row r="59" spans="1:11" x14ac:dyDescent="0.2">
      <c r="A59" s="276"/>
      <c r="B59" s="284"/>
      <c r="C59" s="284"/>
      <c r="D59" s="284"/>
      <c r="E59" s="284"/>
      <c r="F59" s="273"/>
      <c r="G59" s="273"/>
      <c r="H59" s="273"/>
      <c r="I59" s="273"/>
      <c r="J59" s="89"/>
      <c r="K59" s="34"/>
    </row>
    <row r="60" spans="1:11" x14ac:dyDescent="0.2">
      <c r="A60" s="276"/>
      <c r="B60" s="285"/>
      <c r="C60" s="285"/>
      <c r="D60" s="285"/>
      <c r="E60" s="285"/>
      <c r="F60" s="288" t="s">
        <v>3662</v>
      </c>
      <c r="G60" s="272"/>
      <c r="H60" s="272"/>
      <c r="I60" s="272"/>
      <c r="J60" s="26"/>
      <c r="K60" s="34"/>
    </row>
    <row r="61" spans="1:11" x14ac:dyDescent="0.2">
      <c r="A61" s="276"/>
      <c r="B61" s="285"/>
      <c r="C61" s="285"/>
      <c r="D61" s="285"/>
      <c r="E61" s="285"/>
      <c r="F61" s="288"/>
      <c r="G61" s="272"/>
      <c r="H61" s="272"/>
      <c r="I61" s="272"/>
      <c r="J61" s="26"/>
      <c r="K61" s="34"/>
    </row>
    <row r="62" spans="1:11" x14ac:dyDescent="0.2">
      <c r="A62" s="276"/>
      <c r="B62" s="285"/>
      <c r="C62" s="285"/>
      <c r="D62" s="285"/>
      <c r="E62" s="285"/>
      <c r="F62" s="273"/>
      <c r="G62" s="273"/>
      <c r="H62" s="273"/>
      <c r="I62" s="273"/>
      <c r="J62" s="89"/>
      <c r="K62" s="34"/>
    </row>
    <row r="63" spans="1:11" ht="16.350000000000001" customHeight="1" x14ac:dyDescent="0.2">
      <c r="A63" s="276"/>
      <c r="B63" s="285"/>
      <c r="C63" s="285"/>
      <c r="D63" s="285"/>
      <c r="E63" s="285"/>
      <c r="F63" s="288" t="s">
        <v>3663</v>
      </c>
      <c r="G63" s="272"/>
      <c r="H63" s="272"/>
      <c r="I63" s="272"/>
      <c r="J63" s="26"/>
      <c r="K63" s="34"/>
    </row>
    <row r="64" spans="1:11" ht="16.350000000000001" customHeight="1" x14ac:dyDescent="0.2">
      <c r="A64" s="276"/>
      <c r="B64" s="285"/>
      <c r="C64" s="285"/>
      <c r="D64" s="285"/>
      <c r="E64" s="285"/>
      <c r="F64" s="288"/>
      <c r="G64" s="272"/>
      <c r="H64" s="272"/>
      <c r="I64" s="272"/>
      <c r="J64" s="26"/>
      <c r="K64" s="34"/>
    </row>
    <row r="65" spans="1:11" x14ac:dyDescent="0.2">
      <c r="A65" s="276"/>
      <c r="B65" s="285"/>
      <c r="C65" s="285"/>
      <c r="D65" s="285"/>
      <c r="E65" s="285"/>
      <c r="F65" s="273"/>
      <c r="G65" s="273"/>
      <c r="H65" s="273"/>
      <c r="I65" s="273"/>
      <c r="J65" s="89"/>
      <c r="K65" s="34"/>
    </row>
    <row r="66" spans="1:11" ht="16.350000000000001" customHeight="1" x14ac:dyDescent="0.2">
      <c r="A66" s="276"/>
      <c r="B66" s="285"/>
      <c r="C66" s="285"/>
      <c r="D66" s="285"/>
      <c r="E66" s="285"/>
      <c r="F66" s="288" t="s">
        <v>3664</v>
      </c>
      <c r="G66" s="272"/>
      <c r="H66" s="272"/>
      <c r="I66" s="272"/>
      <c r="J66" s="26"/>
      <c r="K66" s="34"/>
    </row>
    <row r="67" spans="1:11" ht="16.350000000000001" customHeight="1" x14ac:dyDescent="0.2">
      <c r="A67" s="276"/>
      <c r="B67" s="285"/>
      <c r="C67" s="285"/>
      <c r="D67" s="285"/>
      <c r="E67" s="285"/>
      <c r="F67" s="288"/>
      <c r="G67" s="272"/>
      <c r="H67" s="272"/>
      <c r="I67" s="272"/>
      <c r="J67" s="26"/>
      <c r="K67" s="34"/>
    </row>
    <row r="68" spans="1:11" x14ac:dyDescent="0.2">
      <c r="A68" s="276"/>
      <c r="B68" s="285"/>
      <c r="C68" s="285"/>
      <c r="D68" s="285"/>
      <c r="E68" s="285"/>
      <c r="F68" s="273"/>
      <c r="G68" s="273"/>
      <c r="H68" s="273"/>
      <c r="I68" s="273"/>
      <c r="J68" s="89"/>
      <c r="K68" s="100"/>
    </row>
    <row r="69" spans="1:11" ht="16.350000000000001" customHeight="1" x14ac:dyDescent="0.2">
      <c r="A69" s="276"/>
      <c r="B69" s="285"/>
      <c r="C69" s="285"/>
      <c r="D69" s="285"/>
      <c r="E69" s="285"/>
      <c r="F69" s="288" t="s">
        <v>3665</v>
      </c>
      <c r="G69" s="272"/>
      <c r="H69" s="272"/>
      <c r="I69" s="272"/>
      <c r="J69" s="26"/>
      <c r="K69" s="100"/>
    </row>
    <row r="70" spans="1:11" ht="16.350000000000001" customHeight="1" x14ac:dyDescent="0.2">
      <c r="A70" s="276"/>
      <c r="B70" s="285"/>
      <c r="C70" s="285"/>
      <c r="D70" s="285"/>
      <c r="E70" s="285"/>
      <c r="F70" s="288"/>
      <c r="G70" s="272"/>
      <c r="H70" s="272"/>
      <c r="I70" s="272"/>
      <c r="J70" s="26"/>
      <c r="K70" s="100"/>
    </row>
    <row r="71" spans="1:11" x14ac:dyDescent="0.2">
      <c r="A71" s="276"/>
      <c r="B71" s="285"/>
      <c r="C71" s="285"/>
      <c r="D71" s="285"/>
      <c r="E71" s="285"/>
      <c r="F71" s="273"/>
      <c r="G71" s="273"/>
      <c r="H71" s="273"/>
      <c r="I71" s="273"/>
      <c r="J71" s="89"/>
      <c r="K71" s="37"/>
    </row>
    <row r="72" spans="1:11" ht="16.350000000000001" customHeight="1" x14ac:dyDescent="0.2">
      <c r="A72" s="276"/>
      <c r="B72" s="285"/>
      <c r="C72" s="285"/>
      <c r="D72" s="285"/>
      <c r="E72" s="285"/>
      <c r="F72" s="288" t="s">
        <v>3666</v>
      </c>
      <c r="G72" s="272"/>
      <c r="H72" s="272"/>
      <c r="I72" s="272"/>
      <c r="J72" s="26"/>
      <c r="K72" s="34"/>
    </row>
    <row r="73" spans="1:11" ht="16.350000000000001" customHeight="1" x14ac:dyDescent="0.2">
      <c r="A73" s="276"/>
      <c r="B73" s="285"/>
      <c r="C73" s="285"/>
      <c r="D73" s="285"/>
      <c r="E73" s="285"/>
      <c r="F73" s="288"/>
      <c r="G73" s="272"/>
      <c r="H73" s="272"/>
      <c r="I73" s="272"/>
      <c r="J73" s="26"/>
      <c r="K73" s="34"/>
    </row>
    <row r="74" spans="1:11" x14ac:dyDescent="0.2">
      <c r="A74" s="276"/>
      <c r="B74" s="285"/>
      <c r="C74" s="285"/>
      <c r="D74" s="285"/>
      <c r="E74" s="285"/>
      <c r="F74" s="273"/>
      <c r="G74" s="273"/>
      <c r="H74" s="273"/>
      <c r="I74" s="273"/>
      <c r="J74" s="89"/>
      <c r="K74" s="100"/>
    </row>
    <row r="75" spans="1:11" x14ac:dyDescent="0.25">
      <c r="A75" s="276"/>
      <c r="B75" s="282" t="s">
        <v>3667</v>
      </c>
      <c r="C75" s="282" t="s">
        <v>854</v>
      </c>
      <c r="D75" s="282"/>
      <c r="E75" s="282"/>
      <c r="F75" s="288" t="s">
        <v>3668</v>
      </c>
      <c r="G75" s="272"/>
      <c r="H75" s="272"/>
      <c r="I75" s="272"/>
      <c r="J75" s="26"/>
      <c r="K75" s="33"/>
    </row>
    <row r="76" spans="1:11" x14ac:dyDescent="0.25">
      <c r="A76" s="276"/>
      <c r="B76" s="283"/>
      <c r="C76" s="283"/>
      <c r="D76" s="283"/>
      <c r="E76" s="283"/>
      <c r="F76" s="288"/>
      <c r="G76" s="272"/>
      <c r="H76" s="272"/>
      <c r="I76" s="272"/>
      <c r="J76" s="26"/>
      <c r="K76" s="33"/>
    </row>
    <row r="77" spans="1:11" x14ac:dyDescent="0.2">
      <c r="A77" s="276"/>
      <c r="B77" s="284"/>
      <c r="C77" s="284"/>
      <c r="D77" s="284"/>
      <c r="E77" s="284"/>
      <c r="F77" s="273"/>
      <c r="G77" s="273"/>
      <c r="H77" s="273"/>
      <c r="I77" s="273"/>
      <c r="J77" s="89"/>
      <c r="K77" s="34"/>
    </row>
    <row r="78" spans="1:11" ht="15" customHeight="1" x14ac:dyDescent="0.2">
      <c r="A78" s="276"/>
      <c r="B78" s="285"/>
      <c r="C78" s="285"/>
      <c r="D78" s="285"/>
      <c r="E78" s="285"/>
      <c r="F78" s="288" t="s">
        <v>3669</v>
      </c>
      <c r="G78" s="272"/>
      <c r="H78" s="272"/>
      <c r="I78" s="272"/>
      <c r="J78" s="26"/>
      <c r="K78" s="34"/>
    </row>
    <row r="79" spans="1:11" x14ac:dyDescent="0.2">
      <c r="A79" s="276"/>
      <c r="B79" s="285"/>
      <c r="C79" s="285"/>
      <c r="D79" s="285"/>
      <c r="E79" s="285"/>
      <c r="F79" s="288"/>
      <c r="G79" s="272"/>
      <c r="H79" s="272"/>
      <c r="I79" s="272"/>
      <c r="J79" s="26"/>
      <c r="K79" s="34"/>
    </row>
    <row r="80" spans="1:11" x14ac:dyDescent="0.2">
      <c r="A80" s="276"/>
      <c r="B80" s="285"/>
      <c r="C80" s="285"/>
      <c r="D80" s="285"/>
      <c r="E80" s="285"/>
      <c r="F80" s="273"/>
      <c r="G80" s="273"/>
      <c r="H80" s="273"/>
      <c r="I80" s="273"/>
      <c r="J80" s="89"/>
      <c r="K80" s="34"/>
    </row>
    <row r="81" spans="1:11" ht="16.350000000000001" customHeight="1" x14ac:dyDescent="0.2">
      <c r="A81" s="276"/>
      <c r="B81" s="285"/>
      <c r="C81" s="285"/>
      <c r="D81" s="285"/>
      <c r="E81" s="285"/>
      <c r="F81" s="288" t="s">
        <v>3670</v>
      </c>
      <c r="G81" s="272"/>
      <c r="H81" s="272"/>
      <c r="I81" s="272"/>
      <c r="J81" s="26"/>
      <c r="K81" s="34"/>
    </row>
    <row r="82" spans="1:11" ht="16.350000000000001" customHeight="1" x14ac:dyDescent="0.2">
      <c r="A82" s="276"/>
      <c r="B82" s="285"/>
      <c r="C82" s="285"/>
      <c r="D82" s="285"/>
      <c r="E82" s="285"/>
      <c r="F82" s="288"/>
      <c r="G82" s="272"/>
      <c r="H82" s="272"/>
      <c r="I82" s="272"/>
      <c r="J82" s="26"/>
      <c r="K82" s="34"/>
    </row>
    <row r="83" spans="1:11" x14ac:dyDescent="0.2">
      <c r="A83" s="276"/>
      <c r="B83" s="285"/>
      <c r="C83" s="285"/>
      <c r="D83" s="285"/>
      <c r="E83" s="285"/>
      <c r="F83" s="273"/>
      <c r="G83" s="273"/>
      <c r="H83" s="273"/>
      <c r="I83" s="273"/>
      <c r="J83" s="89"/>
      <c r="K83" s="34"/>
    </row>
    <row r="84" spans="1:11" ht="16.350000000000001" customHeight="1" x14ac:dyDescent="0.2">
      <c r="A84" s="276"/>
      <c r="B84" s="285"/>
      <c r="C84" s="285"/>
      <c r="D84" s="285"/>
      <c r="E84" s="285"/>
      <c r="F84" s="288" t="s">
        <v>3671</v>
      </c>
      <c r="G84" s="272"/>
      <c r="H84" s="272"/>
      <c r="I84" s="272"/>
      <c r="J84" s="26"/>
      <c r="K84" s="34"/>
    </row>
    <row r="85" spans="1:11" ht="16.350000000000001" customHeight="1" x14ac:dyDescent="0.2">
      <c r="A85" s="276"/>
      <c r="B85" s="285"/>
      <c r="C85" s="285"/>
      <c r="D85" s="285"/>
      <c r="E85" s="285"/>
      <c r="F85" s="288"/>
      <c r="G85" s="272"/>
      <c r="H85" s="272"/>
      <c r="I85" s="272"/>
      <c r="J85" s="26"/>
      <c r="K85" s="34"/>
    </row>
    <row r="86" spans="1:11" x14ac:dyDescent="0.2">
      <c r="A86" s="276"/>
      <c r="B86" s="285"/>
      <c r="C86" s="285"/>
      <c r="D86" s="285"/>
      <c r="E86" s="285"/>
      <c r="F86" s="273"/>
      <c r="G86" s="273"/>
      <c r="H86" s="273"/>
      <c r="I86" s="273"/>
      <c r="J86" s="89"/>
      <c r="K86" s="100"/>
    </row>
    <row r="87" spans="1:11" ht="16.350000000000001" customHeight="1" x14ac:dyDescent="0.2">
      <c r="A87" s="276"/>
      <c r="B87" s="285"/>
      <c r="C87" s="285"/>
      <c r="D87" s="285"/>
      <c r="E87" s="285"/>
      <c r="F87" s="288" t="s">
        <v>3672</v>
      </c>
      <c r="G87" s="272"/>
      <c r="H87" s="272"/>
      <c r="I87" s="272"/>
      <c r="J87" s="26"/>
      <c r="K87" s="100"/>
    </row>
    <row r="88" spans="1:11" ht="16.350000000000001" customHeight="1" x14ac:dyDescent="0.2">
      <c r="A88" s="276"/>
      <c r="B88" s="285"/>
      <c r="C88" s="285"/>
      <c r="D88" s="285"/>
      <c r="E88" s="285"/>
      <c r="F88" s="288"/>
      <c r="G88" s="272"/>
      <c r="H88" s="272"/>
      <c r="I88" s="272"/>
      <c r="J88" s="26"/>
      <c r="K88" s="100"/>
    </row>
    <row r="89" spans="1:11" x14ac:dyDescent="0.2">
      <c r="A89" s="276"/>
      <c r="B89" s="285"/>
      <c r="C89" s="285"/>
      <c r="D89" s="285"/>
      <c r="E89" s="285"/>
      <c r="F89" s="273"/>
      <c r="G89" s="273"/>
      <c r="H89" s="273"/>
      <c r="I89" s="273"/>
      <c r="J89" s="89"/>
      <c r="K89" s="37"/>
    </row>
    <row r="90" spans="1:11" ht="16.350000000000001" customHeight="1" x14ac:dyDescent="0.2">
      <c r="A90" s="276"/>
      <c r="B90" s="285"/>
      <c r="C90" s="285"/>
      <c r="D90" s="285"/>
      <c r="E90" s="285"/>
      <c r="F90" s="288" t="s">
        <v>3673</v>
      </c>
      <c r="G90" s="272"/>
      <c r="H90" s="272"/>
      <c r="I90" s="272"/>
      <c r="J90" s="26"/>
      <c r="K90" s="34"/>
    </row>
    <row r="91" spans="1:11" ht="16.350000000000001" customHeight="1" x14ac:dyDescent="0.2">
      <c r="A91" s="276"/>
      <c r="B91" s="285"/>
      <c r="C91" s="285"/>
      <c r="D91" s="285"/>
      <c r="E91" s="285"/>
      <c r="F91" s="288"/>
      <c r="G91" s="272"/>
      <c r="H91" s="272"/>
      <c r="I91" s="272"/>
      <c r="J91" s="26"/>
      <c r="K91" s="34"/>
    </row>
    <row r="92" spans="1:11" x14ac:dyDescent="0.2">
      <c r="A92" s="276"/>
      <c r="B92" s="285"/>
      <c r="C92" s="285"/>
      <c r="D92" s="285"/>
      <c r="E92" s="285"/>
      <c r="F92" s="273"/>
      <c r="G92" s="273"/>
      <c r="H92" s="273"/>
      <c r="I92" s="273"/>
      <c r="J92" s="89"/>
      <c r="K92" s="100"/>
    </row>
    <row r="93" spans="1:11" x14ac:dyDescent="0.25">
      <c r="A93" s="276"/>
      <c r="B93" s="282" t="s">
        <v>861</v>
      </c>
      <c r="C93" s="282" t="s">
        <v>856</v>
      </c>
      <c r="D93" s="282"/>
      <c r="E93" s="282"/>
      <c r="F93" s="288" t="s">
        <v>3674</v>
      </c>
      <c r="G93" s="272"/>
      <c r="H93" s="272"/>
      <c r="I93" s="272"/>
      <c r="J93" s="26"/>
      <c r="K93" s="33"/>
    </row>
    <row r="94" spans="1:11" x14ac:dyDescent="0.25">
      <c r="A94" s="276"/>
      <c r="B94" s="283"/>
      <c r="C94" s="283"/>
      <c r="D94" s="283"/>
      <c r="E94" s="283"/>
      <c r="F94" s="288"/>
      <c r="G94" s="272"/>
      <c r="H94" s="272"/>
      <c r="I94" s="272"/>
      <c r="J94" s="26"/>
      <c r="K94" s="33"/>
    </row>
    <row r="95" spans="1:11" x14ac:dyDescent="0.2">
      <c r="A95" s="276"/>
      <c r="B95" s="284"/>
      <c r="C95" s="284"/>
      <c r="D95" s="284"/>
      <c r="E95" s="284"/>
      <c r="F95" s="273"/>
      <c r="G95" s="273"/>
      <c r="H95" s="273"/>
      <c r="I95" s="273"/>
      <c r="J95" s="89"/>
      <c r="K95" s="34"/>
    </row>
    <row r="96" spans="1:11" ht="15" customHeight="1" x14ac:dyDescent="0.2">
      <c r="A96" s="276"/>
      <c r="B96" s="285"/>
      <c r="C96" s="285"/>
      <c r="D96" s="285"/>
      <c r="E96" s="285"/>
      <c r="F96" s="288" t="s">
        <v>3675</v>
      </c>
      <c r="G96" s="272"/>
      <c r="H96" s="272"/>
      <c r="I96" s="272"/>
      <c r="J96" s="26"/>
      <c r="K96" s="34"/>
    </row>
    <row r="97" spans="1:11" x14ac:dyDescent="0.2">
      <c r="A97" s="276"/>
      <c r="B97" s="285"/>
      <c r="C97" s="285"/>
      <c r="D97" s="285"/>
      <c r="E97" s="285"/>
      <c r="F97" s="288"/>
      <c r="G97" s="272"/>
      <c r="H97" s="272"/>
      <c r="I97" s="272"/>
      <c r="J97" s="26"/>
      <c r="K97" s="34"/>
    </row>
    <row r="98" spans="1:11" x14ac:dyDescent="0.2">
      <c r="A98" s="276"/>
      <c r="B98" s="285"/>
      <c r="C98" s="285"/>
      <c r="D98" s="285"/>
      <c r="E98" s="285"/>
      <c r="F98" s="273"/>
      <c r="G98" s="273"/>
      <c r="H98" s="273"/>
      <c r="I98" s="273"/>
      <c r="J98" s="89"/>
      <c r="K98" s="34"/>
    </row>
    <row r="99" spans="1:11" ht="16.350000000000001" customHeight="1" x14ac:dyDescent="0.2">
      <c r="A99" s="276"/>
      <c r="B99" s="285"/>
      <c r="C99" s="285"/>
      <c r="D99" s="285"/>
      <c r="E99" s="285"/>
      <c r="F99" s="288" t="s">
        <v>3676</v>
      </c>
      <c r="G99" s="272"/>
      <c r="H99" s="272"/>
      <c r="I99" s="272"/>
      <c r="J99" s="26"/>
      <c r="K99" s="34"/>
    </row>
    <row r="100" spans="1:11" ht="16.350000000000001" customHeight="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ht="16.350000000000001" customHeight="1" x14ac:dyDescent="0.2">
      <c r="A102" s="276"/>
      <c r="B102" s="285"/>
      <c r="C102" s="285"/>
      <c r="D102" s="285"/>
      <c r="E102" s="285"/>
      <c r="F102" s="288" t="s">
        <v>3677</v>
      </c>
      <c r="G102" s="272"/>
      <c r="H102" s="272"/>
      <c r="I102" s="272"/>
      <c r="J102" s="26"/>
      <c r="K102" s="34"/>
    </row>
    <row r="103" spans="1:11" ht="16.350000000000001" customHeight="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100"/>
    </row>
    <row r="105" spans="1:11" ht="16.350000000000001" customHeight="1" x14ac:dyDescent="0.2">
      <c r="A105" s="276"/>
      <c r="B105" s="285"/>
      <c r="C105" s="285"/>
      <c r="D105" s="285"/>
      <c r="E105" s="285"/>
      <c r="F105" s="288" t="s">
        <v>3678</v>
      </c>
      <c r="G105" s="272"/>
      <c r="H105" s="272"/>
      <c r="I105" s="272"/>
      <c r="J105" s="26"/>
      <c r="K105" s="100"/>
    </row>
    <row r="106" spans="1:11" ht="16.350000000000001" customHeight="1" x14ac:dyDescent="0.2">
      <c r="A106" s="276"/>
      <c r="B106" s="285"/>
      <c r="C106" s="285"/>
      <c r="D106" s="285"/>
      <c r="E106" s="285"/>
      <c r="F106" s="288"/>
      <c r="G106" s="272"/>
      <c r="H106" s="272"/>
      <c r="I106" s="272"/>
      <c r="J106" s="26"/>
      <c r="K106" s="100"/>
    </row>
    <row r="107" spans="1:11" x14ac:dyDescent="0.2">
      <c r="A107" s="276"/>
      <c r="B107" s="285"/>
      <c r="C107" s="285"/>
      <c r="D107" s="285"/>
      <c r="E107" s="285"/>
      <c r="F107" s="273"/>
      <c r="G107" s="273"/>
      <c r="H107" s="273"/>
      <c r="I107" s="273"/>
      <c r="J107" s="89"/>
      <c r="K107" s="37"/>
    </row>
    <row r="108" spans="1:11" ht="16.350000000000001" customHeight="1" x14ac:dyDescent="0.2">
      <c r="A108" s="276"/>
      <c r="B108" s="285"/>
      <c r="C108" s="285"/>
      <c r="D108" s="285"/>
      <c r="E108" s="285"/>
      <c r="F108" s="288" t="s">
        <v>3679</v>
      </c>
      <c r="G108" s="272"/>
      <c r="H108" s="272"/>
      <c r="I108" s="272"/>
      <c r="J108" s="26"/>
      <c r="K108" s="34"/>
    </row>
    <row r="109" spans="1:11" ht="16.350000000000001" customHeight="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x14ac:dyDescent="0.25">
      <c r="A111" s="276"/>
      <c r="B111" s="282" t="s">
        <v>3680</v>
      </c>
      <c r="C111" s="282"/>
      <c r="D111" s="282"/>
      <c r="E111" s="282"/>
      <c r="F111" s="288" t="s">
        <v>3681</v>
      </c>
      <c r="G111" s="272"/>
      <c r="H111" s="272"/>
      <c r="I111" s="272"/>
      <c r="J111" s="26"/>
      <c r="K111" s="33"/>
    </row>
    <row r="112" spans="1:11" x14ac:dyDescent="0.25">
      <c r="A112" s="276"/>
      <c r="B112" s="283"/>
      <c r="C112" s="283"/>
      <c r="D112" s="283"/>
      <c r="E112" s="283"/>
      <c r="F112" s="288"/>
      <c r="G112" s="272"/>
      <c r="H112" s="272"/>
      <c r="I112" s="272"/>
      <c r="J112" s="26"/>
      <c r="K112" s="33"/>
    </row>
    <row r="113" spans="1:11" x14ac:dyDescent="0.2">
      <c r="A113" s="276"/>
      <c r="B113" s="284"/>
      <c r="C113" s="284"/>
      <c r="D113" s="284"/>
      <c r="E113" s="284"/>
      <c r="F113" s="273"/>
      <c r="G113" s="273"/>
      <c r="H113" s="273"/>
      <c r="I113" s="273"/>
      <c r="J113" s="89"/>
      <c r="K113" s="34"/>
    </row>
    <row r="114" spans="1:11" ht="15" customHeight="1" x14ac:dyDescent="0.2">
      <c r="A114" s="276"/>
      <c r="B114" s="285"/>
      <c r="C114" s="285"/>
      <c r="D114" s="285"/>
      <c r="E114" s="285"/>
      <c r="F114" s="288" t="s">
        <v>3682</v>
      </c>
      <c r="G114" s="272"/>
      <c r="H114" s="272"/>
      <c r="I114" s="272"/>
      <c r="J114" s="26"/>
      <c r="K114" s="34"/>
    </row>
    <row r="115" spans="1:1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34"/>
    </row>
    <row r="117" spans="1:11" ht="16.350000000000001" customHeight="1" x14ac:dyDescent="0.2">
      <c r="A117" s="276"/>
      <c r="B117" s="285"/>
      <c r="C117" s="285"/>
      <c r="D117" s="285"/>
      <c r="E117" s="285"/>
      <c r="F117" s="288" t="s">
        <v>3683</v>
      </c>
      <c r="G117" s="272"/>
      <c r="H117" s="272"/>
      <c r="I117" s="272"/>
      <c r="J117" s="26"/>
      <c r="K117" s="34"/>
    </row>
    <row r="118" spans="1:11" ht="16.350000000000001" customHeight="1" x14ac:dyDescent="0.2">
      <c r="A118" s="276"/>
      <c r="B118" s="285"/>
      <c r="C118" s="285"/>
      <c r="D118" s="285"/>
      <c r="E118" s="285"/>
      <c r="F118" s="288"/>
      <c r="G118" s="272"/>
      <c r="H118" s="272"/>
      <c r="I118" s="272"/>
      <c r="J118" s="26"/>
      <c r="K118" s="34"/>
    </row>
    <row r="119" spans="1:11" x14ac:dyDescent="0.2">
      <c r="A119" s="276"/>
      <c r="B119" s="285"/>
      <c r="C119" s="285"/>
      <c r="D119" s="285"/>
      <c r="E119" s="285"/>
      <c r="F119" s="273"/>
      <c r="G119" s="273"/>
      <c r="H119" s="273"/>
      <c r="I119" s="273"/>
      <c r="J119" s="89"/>
      <c r="K119" s="34"/>
    </row>
    <row r="120" spans="1:11" ht="16.350000000000001" customHeight="1" x14ac:dyDescent="0.2">
      <c r="A120" s="276"/>
      <c r="B120" s="285"/>
      <c r="C120" s="285"/>
      <c r="D120" s="285"/>
      <c r="E120" s="285"/>
      <c r="F120" s="288" t="s">
        <v>3684</v>
      </c>
      <c r="G120" s="272"/>
      <c r="H120" s="272"/>
      <c r="I120" s="272"/>
      <c r="J120" s="26"/>
      <c r="K120" s="34"/>
    </row>
    <row r="121" spans="1:11" ht="16.350000000000001" customHeight="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100"/>
    </row>
    <row r="123" spans="1:11" ht="16.350000000000001" customHeight="1" x14ac:dyDescent="0.2">
      <c r="A123" s="276"/>
      <c r="B123" s="285"/>
      <c r="C123" s="285"/>
      <c r="D123" s="285"/>
      <c r="E123" s="285"/>
      <c r="F123" s="288" t="s">
        <v>3685</v>
      </c>
      <c r="G123" s="272"/>
      <c r="H123" s="272"/>
      <c r="I123" s="272"/>
      <c r="J123" s="26"/>
      <c r="K123" s="100"/>
    </row>
    <row r="124" spans="1:11" ht="16.350000000000001" customHeight="1" x14ac:dyDescent="0.2">
      <c r="A124" s="276"/>
      <c r="B124" s="285"/>
      <c r="C124" s="285"/>
      <c r="D124" s="285"/>
      <c r="E124" s="285"/>
      <c r="F124" s="288"/>
      <c r="G124" s="272"/>
      <c r="H124" s="272"/>
      <c r="I124" s="272"/>
      <c r="J124" s="26"/>
      <c r="K124" s="100"/>
    </row>
    <row r="125" spans="1:11" x14ac:dyDescent="0.2">
      <c r="A125" s="276"/>
      <c r="B125" s="285"/>
      <c r="C125" s="285"/>
      <c r="D125" s="285"/>
      <c r="E125" s="285"/>
      <c r="F125" s="273"/>
      <c r="G125" s="273"/>
      <c r="H125" s="273"/>
      <c r="I125" s="273"/>
      <c r="J125" s="89"/>
      <c r="K125" s="37"/>
    </row>
    <row r="126" spans="1:11" ht="16.350000000000001" customHeight="1" x14ac:dyDescent="0.2">
      <c r="A126" s="276"/>
      <c r="B126" s="285"/>
      <c r="C126" s="285"/>
      <c r="D126" s="285"/>
      <c r="E126" s="285"/>
      <c r="F126" s="288" t="s">
        <v>3686</v>
      </c>
      <c r="G126" s="272"/>
      <c r="H126" s="272"/>
      <c r="I126" s="272"/>
      <c r="J126" s="26"/>
      <c r="K126" s="34"/>
    </row>
    <row r="127" spans="1:11" ht="16.350000000000001" customHeight="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x14ac:dyDescent="0.2">
      <c r="A129" s="276"/>
      <c r="B129" s="275" t="s">
        <v>3687</v>
      </c>
      <c r="C129" s="286"/>
      <c r="D129" s="286"/>
      <c r="E129" s="286"/>
      <c r="F129" s="288" t="s">
        <v>3688</v>
      </c>
      <c r="G129" s="272"/>
      <c r="H129" s="272"/>
      <c r="I129" s="272"/>
      <c r="J129" s="26"/>
      <c r="K129" s="37"/>
    </row>
    <row r="130" spans="1:11" x14ac:dyDescent="0.2">
      <c r="A130" s="276"/>
      <c r="B130" s="287"/>
      <c r="C130" s="287"/>
      <c r="D130" s="287"/>
      <c r="E130" s="287"/>
      <c r="F130" s="274"/>
      <c r="G130" s="274"/>
      <c r="H130" s="272"/>
      <c r="I130" s="274"/>
      <c r="J130" s="91"/>
      <c r="K130" s="37"/>
    </row>
    <row r="131" spans="1:11" x14ac:dyDescent="0.2">
      <c r="A131" s="276"/>
      <c r="B131" s="276"/>
      <c r="C131" s="276"/>
      <c r="D131" s="276"/>
      <c r="E131" s="276"/>
      <c r="F131" s="273"/>
      <c r="G131" s="273"/>
      <c r="H131" s="273"/>
      <c r="I131" s="273"/>
      <c r="J131" s="89"/>
      <c r="K131" s="37"/>
    </row>
    <row r="132" spans="1:11" ht="15" customHeight="1" x14ac:dyDescent="0.2">
      <c r="A132" s="276"/>
      <c r="B132" s="276"/>
      <c r="C132" s="276"/>
      <c r="D132" s="276"/>
      <c r="E132" s="276"/>
      <c r="F132" s="288" t="s">
        <v>3689</v>
      </c>
      <c r="G132" s="272"/>
      <c r="H132" s="272"/>
      <c r="I132" s="272"/>
      <c r="J132" s="26"/>
      <c r="K132" s="7"/>
    </row>
    <row r="133" spans="1:11" x14ac:dyDescent="0.2">
      <c r="A133" s="276"/>
      <c r="B133" s="276"/>
      <c r="C133" s="276"/>
      <c r="D133" s="276"/>
      <c r="E133" s="276"/>
      <c r="F133" s="274"/>
      <c r="G133" s="274"/>
      <c r="H133" s="272"/>
      <c r="I133" s="274"/>
      <c r="J133" s="91"/>
      <c r="K133" s="7"/>
    </row>
    <row r="134" spans="1:11" x14ac:dyDescent="0.2">
      <c r="A134" s="276"/>
      <c r="B134" s="276"/>
      <c r="C134" s="276"/>
      <c r="D134" s="276"/>
      <c r="E134" s="276"/>
      <c r="F134" s="273"/>
      <c r="G134" s="273"/>
      <c r="H134" s="273"/>
      <c r="I134" s="273"/>
      <c r="J134" s="89"/>
      <c r="K134" s="7"/>
    </row>
    <row r="135" spans="1:11" ht="16.350000000000001" customHeight="1" x14ac:dyDescent="0.2">
      <c r="A135" s="276"/>
      <c r="B135" s="276"/>
      <c r="C135" s="276"/>
      <c r="D135" s="276"/>
      <c r="E135" s="276"/>
      <c r="F135" s="288" t="s">
        <v>3690</v>
      </c>
      <c r="G135" s="272"/>
      <c r="H135" s="272"/>
      <c r="I135" s="272"/>
      <c r="J135" s="26"/>
      <c r="K135" s="7"/>
    </row>
    <row r="136" spans="1:11" x14ac:dyDescent="0.2">
      <c r="A136" s="276"/>
      <c r="B136" s="276"/>
      <c r="C136" s="276"/>
      <c r="D136" s="276"/>
      <c r="E136" s="276"/>
      <c r="F136" s="274"/>
      <c r="G136" s="274"/>
      <c r="H136" s="272"/>
      <c r="I136" s="274"/>
      <c r="J136" s="91"/>
      <c r="K136" s="7"/>
    </row>
    <row r="137" spans="1:11" x14ac:dyDescent="0.2">
      <c r="A137" s="276"/>
      <c r="B137" s="276"/>
      <c r="C137" s="276"/>
      <c r="D137" s="276"/>
      <c r="E137" s="276"/>
      <c r="F137" s="273"/>
      <c r="G137" s="273"/>
      <c r="H137" s="273"/>
      <c r="I137" s="273"/>
      <c r="J137" s="89"/>
      <c r="K137" s="7"/>
    </row>
    <row r="138" spans="1:11" ht="16.350000000000001" customHeight="1" x14ac:dyDescent="0.2">
      <c r="A138" s="276"/>
      <c r="B138" s="276"/>
      <c r="C138" s="276"/>
      <c r="D138" s="276"/>
      <c r="E138" s="276"/>
      <c r="F138" s="288" t="s">
        <v>3691</v>
      </c>
      <c r="G138" s="272"/>
      <c r="H138" s="272"/>
      <c r="I138" s="272"/>
      <c r="J138" s="26"/>
      <c r="K138" s="6"/>
    </row>
    <row r="139" spans="1:11" x14ac:dyDescent="0.2">
      <c r="A139" s="276"/>
      <c r="B139" s="276"/>
      <c r="C139" s="276"/>
      <c r="D139" s="276"/>
      <c r="E139" s="276"/>
      <c r="F139" s="274"/>
      <c r="G139" s="274"/>
      <c r="H139" s="272"/>
      <c r="I139" s="274"/>
      <c r="J139" s="91"/>
      <c r="K139" s="7"/>
    </row>
    <row r="140" spans="1:11" x14ac:dyDescent="0.2">
      <c r="A140" s="276"/>
      <c r="B140" s="276"/>
      <c r="C140" s="276"/>
      <c r="D140" s="276"/>
      <c r="E140" s="276"/>
      <c r="F140" s="273"/>
      <c r="G140" s="273"/>
      <c r="H140" s="273"/>
      <c r="I140" s="273"/>
      <c r="J140" s="89"/>
      <c r="K140" s="7"/>
    </row>
    <row r="141" spans="1:11" ht="16.350000000000001" customHeight="1" x14ac:dyDescent="0.2">
      <c r="A141" s="276"/>
      <c r="B141" s="276"/>
      <c r="C141" s="276"/>
      <c r="D141" s="276"/>
      <c r="E141" s="276"/>
      <c r="F141" s="288" t="s">
        <v>3692</v>
      </c>
      <c r="G141" s="272"/>
      <c r="H141" s="272"/>
      <c r="I141" s="272"/>
      <c r="J141" s="26"/>
      <c r="K141" s="6"/>
    </row>
    <row r="142" spans="1:11" x14ac:dyDescent="0.2">
      <c r="A142" s="276"/>
      <c r="B142" s="276"/>
      <c r="C142" s="276"/>
      <c r="D142" s="276"/>
      <c r="E142" s="276"/>
      <c r="F142" s="274"/>
      <c r="G142" s="274"/>
      <c r="H142" s="272"/>
      <c r="I142" s="274"/>
      <c r="J142" s="91"/>
      <c r="K142" s="7"/>
    </row>
    <row r="143" spans="1:11" x14ac:dyDescent="0.2">
      <c r="A143" s="276"/>
      <c r="B143" s="276"/>
      <c r="C143" s="276"/>
      <c r="D143" s="276"/>
      <c r="E143" s="276"/>
      <c r="F143" s="273"/>
      <c r="G143" s="273"/>
      <c r="H143" s="273"/>
      <c r="I143" s="273"/>
      <c r="J143" s="89"/>
      <c r="K143" s="7"/>
    </row>
    <row r="144" spans="1:11" ht="16.350000000000001" customHeight="1" x14ac:dyDescent="0.2">
      <c r="A144" s="276"/>
      <c r="B144" s="276"/>
      <c r="C144" s="276"/>
      <c r="D144" s="276"/>
      <c r="E144" s="276"/>
      <c r="F144" s="288" t="s">
        <v>3693</v>
      </c>
      <c r="G144" s="272"/>
      <c r="H144" s="272"/>
      <c r="I144" s="272"/>
      <c r="J144" s="26"/>
      <c r="K144" s="6"/>
    </row>
    <row r="145" spans="1:11" x14ac:dyDescent="0.2">
      <c r="A145" s="276"/>
      <c r="B145" s="276"/>
      <c r="C145" s="276"/>
      <c r="D145" s="276"/>
      <c r="E145" s="276"/>
      <c r="F145" s="274"/>
      <c r="G145" s="274"/>
      <c r="H145" s="272"/>
      <c r="I145" s="274"/>
      <c r="J145" s="91"/>
      <c r="K145" s="7"/>
    </row>
    <row r="146" spans="1:11" x14ac:dyDescent="0.2">
      <c r="A146" s="276"/>
      <c r="B146" s="276"/>
      <c r="C146" s="276"/>
      <c r="D146" s="276"/>
      <c r="E146" s="276"/>
      <c r="F146" s="273"/>
      <c r="G146" s="273"/>
      <c r="H146" s="273"/>
      <c r="I146" s="273"/>
      <c r="J146" s="89"/>
      <c r="K146" s="7"/>
    </row>
    <row r="154" spans="1:11" x14ac:dyDescent="0.2">
      <c r="E154" s="92" t="s">
        <v>528</v>
      </c>
    </row>
    <row r="155" spans="1:11" x14ac:dyDescent="0.2">
      <c r="E155" s="92" t="s">
        <v>511</v>
      </c>
    </row>
    <row r="156" spans="1:11" x14ac:dyDescent="0.2">
      <c r="E156" s="92" t="s">
        <v>515</v>
      </c>
    </row>
    <row r="157" spans="1:11" x14ac:dyDescent="0.2">
      <c r="E157" s="92" t="s">
        <v>505</v>
      </c>
    </row>
    <row r="158" spans="1:11" x14ac:dyDescent="0.2">
      <c r="E158" s="92" t="s">
        <v>507</v>
      </c>
    </row>
  </sheetData>
  <mergeCells count="225">
    <mergeCell ref="H141:H143"/>
    <mergeCell ref="I141:I143"/>
    <mergeCell ref="F144:F146"/>
    <mergeCell ref="G144:G146"/>
    <mergeCell ref="H144:H146"/>
    <mergeCell ref="I144:I146"/>
    <mergeCell ref="H135:H137"/>
    <mergeCell ref="I135:I137"/>
    <mergeCell ref="F138:F140"/>
    <mergeCell ref="G138:G140"/>
    <mergeCell ref="H138:H140"/>
    <mergeCell ref="I138:I140"/>
    <mergeCell ref="B129:B146"/>
    <mergeCell ref="C129:C146"/>
    <mergeCell ref="D129:D146"/>
    <mergeCell ref="E129:E146"/>
    <mergeCell ref="F129:F131"/>
    <mergeCell ref="G129:G131"/>
    <mergeCell ref="F135:F137"/>
    <mergeCell ref="G135:G137"/>
    <mergeCell ref="F141:F143"/>
    <mergeCell ref="G141:G143"/>
    <mergeCell ref="F120:F122"/>
    <mergeCell ref="G120:G122"/>
    <mergeCell ref="H120:H122"/>
    <mergeCell ref="I120:I122"/>
    <mergeCell ref="H129:H131"/>
    <mergeCell ref="I129:I131"/>
    <mergeCell ref="F132:F134"/>
    <mergeCell ref="G132:G134"/>
    <mergeCell ref="H132:H134"/>
    <mergeCell ref="I132:I134"/>
    <mergeCell ref="H111:H113"/>
    <mergeCell ref="I111:I113"/>
    <mergeCell ref="F114:F116"/>
    <mergeCell ref="G114:G116"/>
    <mergeCell ref="H114:H116"/>
    <mergeCell ref="I114:I116"/>
    <mergeCell ref="B111:B128"/>
    <mergeCell ref="C111:C128"/>
    <mergeCell ref="D111:D128"/>
    <mergeCell ref="E111:E128"/>
    <mergeCell ref="F111:F113"/>
    <mergeCell ref="G111:G113"/>
    <mergeCell ref="F117:F119"/>
    <mergeCell ref="G117:G119"/>
    <mergeCell ref="F123:F125"/>
    <mergeCell ref="G123:G125"/>
    <mergeCell ref="H123:H125"/>
    <mergeCell ref="I123:I125"/>
    <mergeCell ref="F126:F128"/>
    <mergeCell ref="G126:G128"/>
    <mergeCell ref="H126:H128"/>
    <mergeCell ref="I126:I128"/>
    <mergeCell ref="H117:H119"/>
    <mergeCell ref="I117:I119"/>
    <mergeCell ref="H105:H107"/>
    <mergeCell ref="I105:I107"/>
    <mergeCell ref="F108:F110"/>
    <mergeCell ref="G108:G110"/>
    <mergeCell ref="H108:H110"/>
    <mergeCell ref="I108:I110"/>
    <mergeCell ref="H99:H101"/>
    <mergeCell ref="I99:I101"/>
    <mergeCell ref="F102:F104"/>
    <mergeCell ref="G102:G104"/>
    <mergeCell ref="H102:H104"/>
    <mergeCell ref="I102:I104"/>
    <mergeCell ref="B93:B110"/>
    <mergeCell ref="C93:C110"/>
    <mergeCell ref="D93:D110"/>
    <mergeCell ref="E93:E110"/>
    <mergeCell ref="F93:F95"/>
    <mergeCell ref="G93:G95"/>
    <mergeCell ref="F99:F101"/>
    <mergeCell ref="G99:G101"/>
    <mergeCell ref="F105:F107"/>
    <mergeCell ref="G105:G107"/>
    <mergeCell ref="F84:F86"/>
    <mergeCell ref="G84:G86"/>
    <mergeCell ref="H84:H86"/>
    <mergeCell ref="I84:I86"/>
    <mergeCell ref="H93:H95"/>
    <mergeCell ref="I93:I95"/>
    <mergeCell ref="F96:F98"/>
    <mergeCell ref="G96:G98"/>
    <mergeCell ref="H96:H98"/>
    <mergeCell ref="I96:I98"/>
    <mergeCell ref="H75:H77"/>
    <mergeCell ref="I75:I77"/>
    <mergeCell ref="F78:F80"/>
    <mergeCell ref="G78:G80"/>
    <mergeCell ref="H78:H80"/>
    <mergeCell ref="I78:I80"/>
    <mergeCell ref="B75:B92"/>
    <mergeCell ref="C75:C92"/>
    <mergeCell ref="D75:D92"/>
    <mergeCell ref="E75:E92"/>
    <mergeCell ref="F75:F77"/>
    <mergeCell ref="G75:G77"/>
    <mergeCell ref="F81:F83"/>
    <mergeCell ref="G81:G83"/>
    <mergeCell ref="F87:F89"/>
    <mergeCell ref="G87:G89"/>
    <mergeCell ref="H87:H89"/>
    <mergeCell ref="I87:I89"/>
    <mergeCell ref="F90:F92"/>
    <mergeCell ref="G90:G92"/>
    <mergeCell ref="H90:H92"/>
    <mergeCell ref="I90:I92"/>
    <mergeCell ref="H81:H83"/>
    <mergeCell ref="I81:I83"/>
    <mergeCell ref="H69:H71"/>
    <mergeCell ref="I69:I71"/>
    <mergeCell ref="F72:F74"/>
    <mergeCell ref="G72:G74"/>
    <mergeCell ref="H72:H74"/>
    <mergeCell ref="I72:I74"/>
    <mergeCell ref="H63:H65"/>
    <mergeCell ref="I63:I65"/>
    <mergeCell ref="F66:F68"/>
    <mergeCell ref="G66:G68"/>
    <mergeCell ref="H66:H68"/>
    <mergeCell ref="I66:I68"/>
    <mergeCell ref="B57:B74"/>
    <mergeCell ref="C57:C74"/>
    <mergeCell ref="D57:D74"/>
    <mergeCell ref="E57:E74"/>
    <mergeCell ref="F57:F59"/>
    <mergeCell ref="G57:G59"/>
    <mergeCell ref="F63:F65"/>
    <mergeCell ref="G63:G65"/>
    <mergeCell ref="F69:F71"/>
    <mergeCell ref="G69:G71"/>
    <mergeCell ref="F48:F50"/>
    <mergeCell ref="G48:G50"/>
    <mergeCell ref="H48:H50"/>
    <mergeCell ref="I48:I50"/>
    <mergeCell ref="H57:H59"/>
    <mergeCell ref="I57:I59"/>
    <mergeCell ref="F60:F62"/>
    <mergeCell ref="G60:G62"/>
    <mergeCell ref="H60:H62"/>
    <mergeCell ref="I60:I62"/>
    <mergeCell ref="H39:H41"/>
    <mergeCell ref="I39:I41"/>
    <mergeCell ref="F42:F44"/>
    <mergeCell ref="G42:G44"/>
    <mergeCell ref="H42:H44"/>
    <mergeCell ref="I42:I44"/>
    <mergeCell ref="B39:B56"/>
    <mergeCell ref="C39:C56"/>
    <mergeCell ref="D39:D56"/>
    <mergeCell ref="E39:E56"/>
    <mergeCell ref="F39:F41"/>
    <mergeCell ref="G39:G41"/>
    <mergeCell ref="F45:F47"/>
    <mergeCell ref="G45:G47"/>
    <mergeCell ref="F51:F53"/>
    <mergeCell ref="G51:G53"/>
    <mergeCell ref="H51:H53"/>
    <mergeCell ref="I51:I53"/>
    <mergeCell ref="F54:F56"/>
    <mergeCell ref="G54:G56"/>
    <mergeCell ref="H54:H56"/>
    <mergeCell ref="I54:I56"/>
    <mergeCell ref="H45:H47"/>
    <mergeCell ref="I45:I47"/>
    <mergeCell ref="I36:I38"/>
    <mergeCell ref="F27:F29"/>
    <mergeCell ref="G27:G29"/>
    <mergeCell ref="H27:H29"/>
    <mergeCell ref="I27:I29"/>
    <mergeCell ref="F30:F32"/>
    <mergeCell ref="G30:G32"/>
    <mergeCell ref="H30:H32"/>
    <mergeCell ref="I30:I32"/>
    <mergeCell ref="G9:G11"/>
    <mergeCell ref="H9:H11"/>
    <mergeCell ref="I9:I11"/>
    <mergeCell ref="F12:F14"/>
    <mergeCell ref="G12:G14"/>
    <mergeCell ref="H12:H14"/>
    <mergeCell ref="I12:I14"/>
    <mergeCell ref="D21:D38"/>
    <mergeCell ref="E21:E38"/>
    <mergeCell ref="F21:F23"/>
    <mergeCell ref="G21:G23"/>
    <mergeCell ref="H21:H23"/>
    <mergeCell ref="I21:I23"/>
    <mergeCell ref="F24:F26"/>
    <mergeCell ref="G24:G26"/>
    <mergeCell ref="H24:H26"/>
    <mergeCell ref="I24:I26"/>
    <mergeCell ref="F33:F35"/>
    <mergeCell ref="G33:G35"/>
    <mergeCell ref="H33:H35"/>
    <mergeCell ref="I33:I35"/>
    <mergeCell ref="F36:F38"/>
    <mergeCell ref="G36:G38"/>
    <mergeCell ref="H36:H38"/>
    <mergeCell ref="G3:G5"/>
    <mergeCell ref="H3:H5"/>
    <mergeCell ref="I3:I5"/>
    <mergeCell ref="F6:F8"/>
    <mergeCell ref="G6:G8"/>
    <mergeCell ref="H6:H8"/>
    <mergeCell ref="I6:I8"/>
    <mergeCell ref="A3:A146"/>
    <mergeCell ref="B3:B20"/>
    <mergeCell ref="C3:C20"/>
    <mergeCell ref="D3:D20"/>
    <mergeCell ref="E3:E20"/>
    <mergeCell ref="F3:F5"/>
    <mergeCell ref="F9:F11"/>
    <mergeCell ref="F15:F17"/>
    <mergeCell ref="B21:B38"/>
    <mergeCell ref="C21:C38"/>
    <mergeCell ref="G15:G17"/>
    <mergeCell ref="H15:H17"/>
    <mergeCell ref="I15:I17"/>
    <mergeCell ref="F18:F20"/>
    <mergeCell ref="G18:G20"/>
    <mergeCell ref="H18:H20"/>
    <mergeCell ref="I18:I20"/>
  </mergeCells>
  <dataValidations count="1">
    <dataValidation type="list" allowBlank="1" showInputMessage="1" showErrorMessage="1" sqref="E3:E146 H3:H146" xr:uid="{4E422F0E-80C1-C047-A466-05A5AE2B4DF0}">
      <formula1>$E$154:$E$158</formula1>
    </dataValidation>
  </dataValidation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6372-88B3-164C-9654-3BA32A6A0848}">
  <sheetPr>
    <tabColor theme="4"/>
  </sheetPr>
  <dimension ref="A1:L164"/>
  <sheetViews>
    <sheetView showGridLines="0" topLeftCell="A38" zoomScale="107" workbookViewId="0">
      <selection activeCell="D3" sqref="D3:D26"/>
    </sheetView>
  </sheetViews>
  <sheetFormatPr defaultColWidth="13.28515625" defaultRowHeight="15" x14ac:dyDescent="0.2"/>
  <cols>
    <col min="1" max="1" width="16.85546875" style="14" customWidth="1"/>
    <col min="2" max="2" width="7" style="14" customWidth="1"/>
    <col min="3" max="4" width="20.7109375" style="15" customWidth="1"/>
    <col min="5" max="5" width="17.7109375" style="15" customWidth="1"/>
    <col min="6" max="6" width="7" style="15" customWidth="1"/>
    <col min="7" max="7" width="46.140625" style="15" customWidth="1"/>
    <col min="8" max="8" width="18.85546875" style="15" customWidth="1"/>
    <col min="9" max="9" width="32.28515625" style="15" customWidth="1"/>
    <col min="10" max="10" width="9.7109375" style="15" hidden="1" customWidth="1"/>
    <col min="11" max="11" width="45.140625" style="3" hidden="1" customWidth="1"/>
    <col min="12" max="48" width="12" style="14" customWidth="1"/>
    <col min="49" max="256" width="13.28515625" style="14"/>
    <col min="257" max="257" width="40.28515625" style="14" customWidth="1"/>
    <col min="258" max="258" width="48.85546875" style="14" customWidth="1"/>
    <col min="259" max="259" width="53.28515625" style="14" customWidth="1"/>
    <col min="260" max="260" width="56.28515625" style="14" customWidth="1"/>
    <col min="261" max="304" width="12" style="14" customWidth="1"/>
    <col min="305" max="512" width="13.28515625" style="14"/>
    <col min="513" max="513" width="40.28515625" style="14" customWidth="1"/>
    <col min="514" max="514" width="48.85546875" style="14" customWidth="1"/>
    <col min="515" max="515" width="53.28515625" style="14" customWidth="1"/>
    <col min="516" max="516" width="56.28515625" style="14" customWidth="1"/>
    <col min="517" max="560" width="12" style="14" customWidth="1"/>
    <col min="561" max="768" width="13.28515625" style="14"/>
    <col min="769" max="769" width="40.28515625" style="14" customWidth="1"/>
    <col min="770" max="770" width="48.85546875" style="14" customWidth="1"/>
    <col min="771" max="771" width="53.28515625" style="14" customWidth="1"/>
    <col min="772" max="772" width="56.28515625" style="14" customWidth="1"/>
    <col min="773" max="816" width="12" style="14" customWidth="1"/>
    <col min="817" max="1024" width="13.28515625" style="14"/>
    <col min="1025" max="1025" width="40.28515625" style="14" customWidth="1"/>
    <col min="1026" max="1026" width="48.85546875" style="14" customWidth="1"/>
    <col min="1027" max="1027" width="53.28515625" style="14" customWidth="1"/>
    <col min="1028" max="1028" width="56.28515625" style="14" customWidth="1"/>
    <col min="1029" max="1072" width="12" style="14" customWidth="1"/>
    <col min="1073" max="1280" width="13.28515625" style="14"/>
    <col min="1281" max="1281" width="40.28515625" style="14" customWidth="1"/>
    <col min="1282" max="1282" width="48.85546875" style="14" customWidth="1"/>
    <col min="1283" max="1283" width="53.28515625" style="14" customWidth="1"/>
    <col min="1284" max="1284" width="56.28515625" style="14" customWidth="1"/>
    <col min="1285" max="1328" width="12" style="14" customWidth="1"/>
    <col min="1329" max="1536" width="13.28515625" style="14"/>
    <col min="1537" max="1537" width="40.28515625" style="14" customWidth="1"/>
    <col min="1538" max="1538" width="48.85546875" style="14" customWidth="1"/>
    <col min="1539" max="1539" width="53.28515625" style="14" customWidth="1"/>
    <col min="1540" max="1540" width="56.28515625" style="14" customWidth="1"/>
    <col min="1541" max="1584" width="12" style="14" customWidth="1"/>
    <col min="1585" max="1792" width="13.28515625" style="14"/>
    <col min="1793" max="1793" width="40.28515625" style="14" customWidth="1"/>
    <col min="1794" max="1794" width="48.85546875" style="14" customWidth="1"/>
    <col min="1795" max="1795" width="53.28515625" style="14" customWidth="1"/>
    <col min="1796" max="1796" width="56.28515625" style="14" customWidth="1"/>
    <col min="1797" max="1840" width="12" style="14" customWidth="1"/>
    <col min="1841" max="2048" width="13.28515625" style="14"/>
    <col min="2049" max="2049" width="40.28515625" style="14" customWidth="1"/>
    <col min="2050" max="2050" width="48.85546875" style="14" customWidth="1"/>
    <col min="2051" max="2051" width="53.28515625" style="14" customWidth="1"/>
    <col min="2052" max="2052" width="56.28515625" style="14" customWidth="1"/>
    <col min="2053" max="2096" width="12" style="14" customWidth="1"/>
    <col min="2097" max="2304" width="13.28515625" style="14"/>
    <col min="2305" max="2305" width="40.28515625" style="14" customWidth="1"/>
    <col min="2306" max="2306" width="48.85546875" style="14" customWidth="1"/>
    <col min="2307" max="2307" width="53.28515625" style="14" customWidth="1"/>
    <col min="2308" max="2308" width="56.28515625" style="14" customWidth="1"/>
    <col min="2309" max="2352" width="12" style="14" customWidth="1"/>
    <col min="2353" max="2560" width="13.28515625" style="14"/>
    <col min="2561" max="2561" width="40.28515625" style="14" customWidth="1"/>
    <col min="2562" max="2562" width="48.85546875" style="14" customWidth="1"/>
    <col min="2563" max="2563" width="53.28515625" style="14" customWidth="1"/>
    <col min="2564" max="2564" width="56.28515625" style="14" customWidth="1"/>
    <col min="2565" max="2608" width="12" style="14" customWidth="1"/>
    <col min="2609" max="2816" width="13.28515625" style="14"/>
    <col min="2817" max="2817" width="40.28515625" style="14" customWidth="1"/>
    <col min="2818" max="2818" width="48.85546875" style="14" customWidth="1"/>
    <col min="2819" max="2819" width="53.28515625" style="14" customWidth="1"/>
    <col min="2820" max="2820" width="56.28515625" style="14" customWidth="1"/>
    <col min="2821" max="2864" width="12" style="14" customWidth="1"/>
    <col min="2865" max="3072" width="13.28515625" style="14"/>
    <col min="3073" max="3073" width="40.28515625" style="14" customWidth="1"/>
    <col min="3074" max="3074" width="48.85546875" style="14" customWidth="1"/>
    <col min="3075" max="3075" width="53.28515625" style="14" customWidth="1"/>
    <col min="3076" max="3076" width="56.28515625" style="14" customWidth="1"/>
    <col min="3077" max="3120" width="12" style="14" customWidth="1"/>
    <col min="3121" max="3328" width="13.28515625" style="14"/>
    <col min="3329" max="3329" width="40.28515625" style="14" customWidth="1"/>
    <col min="3330" max="3330" width="48.85546875" style="14" customWidth="1"/>
    <col min="3331" max="3331" width="53.28515625" style="14" customWidth="1"/>
    <col min="3332" max="3332" width="56.28515625" style="14" customWidth="1"/>
    <col min="3333" max="3376" width="12" style="14" customWidth="1"/>
    <col min="3377" max="3584" width="13.28515625" style="14"/>
    <col min="3585" max="3585" width="40.28515625" style="14" customWidth="1"/>
    <col min="3586" max="3586" width="48.85546875" style="14" customWidth="1"/>
    <col min="3587" max="3587" width="53.28515625" style="14" customWidth="1"/>
    <col min="3588" max="3588" width="56.28515625" style="14" customWidth="1"/>
    <col min="3589" max="3632" width="12" style="14" customWidth="1"/>
    <col min="3633" max="3840" width="13.28515625" style="14"/>
    <col min="3841" max="3841" width="40.28515625" style="14" customWidth="1"/>
    <col min="3842" max="3842" width="48.85546875" style="14" customWidth="1"/>
    <col min="3843" max="3843" width="53.28515625" style="14" customWidth="1"/>
    <col min="3844" max="3844" width="56.28515625" style="14" customWidth="1"/>
    <col min="3845" max="3888" width="12" style="14" customWidth="1"/>
    <col min="3889" max="4096" width="13.28515625" style="14"/>
    <col min="4097" max="4097" width="40.28515625" style="14" customWidth="1"/>
    <col min="4098" max="4098" width="48.85546875" style="14" customWidth="1"/>
    <col min="4099" max="4099" width="53.28515625" style="14" customWidth="1"/>
    <col min="4100" max="4100" width="56.28515625" style="14" customWidth="1"/>
    <col min="4101" max="4144" width="12" style="14" customWidth="1"/>
    <col min="4145" max="4352" width="13.28515625" style="14"/>
    <col min="4353" max="4353" width="40.28515625" style="14" customWidth="1"/>
    <col min="4354" max="4354" width="48.85546875" style="14" customWidth="1"/>
    <col min="4355" max="4355" width="53.28515625" style="14" customWidth="1"/>
    <col min="4356" max="4356" width="56.28515625" style="14" customWidth="1"/>
    <col min="4357" max="4400" width="12" style="14" customWidth="1"/>
    <col min="4401" max="4608" width="13.28515625" style="14"/>
    <col min="4609" max="4609" width="40.28515625" style="14" customWidth="1"/>
    <col min="4610" max="4610" width="48.85546875" style="14" customWidth="1"/>
    <col min="4611" max="4611" width="53.28515625" style="14" customWidth="1"/>
    <col min="4612" max="4612" width="56.28515625" style="14" customWidth="1"/>
    <col min="4613" max="4656" width="12" style="14" customWidth="1"/>
    <col min="4657" max="4864" width="13.28515625" style="14"/>
    <col min="4865" max="4865" width="40.28515625" style="14" customWidth="1"/>
    <col min="4866" max="4866" width="48.85546875" style="14" customWidth="1"/>
    <col min="4867" max="4867" width="53.28515625" style="14" customWidth="1"/>
    <col min="4868" max="4868" width="56.28515625" style="14" customWidth="1"/>
    <col min="4869" max="4912" width="12" style="14" customWidth="1"/>
    <col min="4913" max="5120" width="13.28515625" style="14"/>
    <col min="5121" max="5121" width="40.28515625" style="14" customWidth="1"/>
    <col min="5122" max="5122" width="48.85546875" style="14" customWidth="1"/>
    <col min="5123" max="5123" width="53.28515625" style="14" customWidth="1"/>
    <col min="5124" max="5124" width="56.28515625" style="14" customWidth="1"/>
    <col min="5125" max="5168" width="12" style="14" customWidth="1"/>
    <col min="5169" max="5376" width="13.28515625" style="14"/>
    <col min="5377" max="5377" width="40.28515625" style="14" customWidth="1"/>
    <col min="5378" max="5378" width="48.85546875" style="14" customWidth="1"/>
    <col min="5379" max="5379" width="53.28515625" style="14" customWidth="1"/>
    <col min="5380" max="5380" width="56.28515625" style="14" customWidth="1"/>
    <col min="5381" max="5424" width="12" style="14" customWidth="1"/>
    <col min="5425" max="5632" width="13.28515625" style="14"/>
    <col min="5633" max="5633" width="40.28515625" style="14" customWidth="1"/>
    <col min="5634" max="5634" width="48.85546875" style="14" customWidth="1"/>
    <col min="5635" max="5635" width="53.28515625" style="14" customWidth="1"/>
    <col min="5636" max="5636" width="56.28515625" style="14" customWidth="1"/>
    <col min="5637" max="5680" width="12" style="14" customWidth="1"/>
    <col min="5681" max="5888" width="13.28515625" style="14"/>
    <col min="5889" max="5889" width="40.28515625" style="14" customWidth="1"/>
    <col min="5890" max="5890" width="48.85546875" style="14" customWidth="1"/>
    <col min="5891" max="5891" width="53.28515625" style="14" customWidth="1"/>
    <col min="5892" max="5892" width="56.28515625" style="14" customWidth="1"/>
    <col min="5893" max="5936" width="12" style="14" customWidth="1"/>
    <col min="5937" max="6144" width="13.28515625" style="14"/>
    <col min="6145" max="6145" width="40.28515625" style="14" customWidth="1"/>
    <col min="6146" max="6146" width="48.85546875" style="14" customWidth="1"/>
    <col min="6147" max="6147" width="53.28515625" style="14" customWidth="1"/>
    <col min="6148" max="6148" width="56.28515625" style="14" customWidth="1"/>
    <col min="6149" max="6192" width="12" style="14" customWidth="1"/>
    <col min="6193" max="6400" width="13.28515625" style="14"/>
    <col min="6401" max="6401" width="40.28515625" style="14" customWidth="1"/>
    <col min="6402" max="6402" width="48.85546875" style="14" customWidth="1"/>
    <col min="6403" max="6403" width="53.28515625" style="14" customWidth="1"/>
    <col min="6404" max="6404" width="56.28515625" style="14" customWidth="1"/>
    <col min="6405" max="6448" width="12" style="14" customWidth="1"/>
    <col min="6449" max="6656" width="13.28515625" style="14"/>
    <col min="6657" max="6657" width="40.28515625" style="14" customWidth="1"/>
    <col min="6658" max="6658" width="48.85546875" style="14" customWidth="1"/>
    <col min="6659" max="6659" width="53.28515625" style="14" customWidth="1"/>
    <col min="6660" max="6660" width="56.28515625" style="14" customWidth="1"/>
    <col min="6661" max="6704" width="12" style="14" customWidth="1"/>
    <col min="6705" max="6912" width="13.28515625" style="14"/>
    <col min="6913" max="6913" width="40.28515625" style="14" customWidth="1"/>
    <col min="6914" max="6914" width="48.85546875" style="14" customWidth="1"/>
    <col min="6915" max="6915" width="53.28515625" style="14" customWidth="1"/>
    <col min="6916" max="6916" width="56.28515625" style="14" customWidth="1"/>
    <col min="6917" max="6960" width="12" style="14" customWidth="1"/>
    <col min="6961" max="7168" width="13.28515625" style="14"/>
    <col min="7169" max="7169" width="40.28515625" style="14" customWidth="1"/>
    <col min="7170" max="7170" width="48.85546875" style="14" customWidth="1"/>
    <col min="7171" max="7171" width="53.28515625" style="14" customWidth="1"/>
    <col min="7172" max="7172" width="56.28515625" style="14" customWidth="1"/>
    <col min="7173" max="7216" width="12" style="14" customWidth="1"/>
    <col min="7217" max="7424" width="13.28515625" style="14"/>
    <col min="7425" max="7425" width="40.28515625" style="14" customWidth="1"/>
    <col min="7426" max="7426" width="48.85546875" style="14" customWidth="1"/>
    <col min="7427" max="7427" width="53.28515625" style="14" customWidth="1"/>
    <col min="7428" max="7428" width="56.28515625" style="14" customWidth="1"/>
    <col min="7429" max="7472" width="12" style="14" customWidth="1"/>
    <col min="7473" max="7680" width="13.28515625" style="14"/>
    <col min="7681" max="7681" width="40.28515625" style="14" customWidth="1"/>
    <col min="7682" max="7682" width="48.85546875" style="14" customWidth="1"/>
    <col min="7683" max="7683" width="53.28515625" style="14" customWidth="1"/>
    <col min="7684" max="7684" width="56.28515625" style="14" customWidth="1"/>
    <col min="7685" max="7728" width="12" style="14" customWidth="1"/>
    <col min="7729" max="7936" width="13.28515625" style="14"/>
    <col min="7937" max="7937" width="40.28515625" style="14" customWidth="1"/>
    <col min="7938" max="7938" width="48.85546875" style="14" customWidth="1"/>
    <col min="7939" max="7939" width="53.28515625" style="14" customWidth="1"/>
    <col min="7940" max="7940" width="56.28515625" style="14" customWidth="1"/>
    <col min="7941" max="7984" width="12" style="14" customWidth="1"/>
    <col min="7985" max="8192" width="13.28515625" style="14"/>
    <col min="8193" max="8193" width="40.28515625" style="14" customWidth="1"/>
    <col min="8194" max="8194" width="48.85546875" style="14" customWidth="1"/>
    <col min="8195" max="8195" width="53.28515625" style="14" customWidth="1"/>
    <col min="8196" max="8196" width="56.28515625" style="14" customWidth="1"/>
    <col min="8197" max="8240" width="12" style="14" customWidth="1"/>
    <col min="8241" max="8448" width="13.28515625" style="14"/>
    <col min="8449" max="8449" width="40.28515625" style="14" customWidth="1"/>
    <col min="8450" max="8450" width="48.85546875" style="14" customWidth="1"/>
    <col min="8451" max="8451" width="53.28515625" style="14" customWidth="1"/>
    <col min="8452" max="8452" width="56.28515625" style="14" customWidth="1"/>
    <col min="8453" max="8496" width="12" style="14" customWidth="1"/>
    <col min="8497" max="8704" width="13.28515625" style="14"/>
    <col min="8705" max="8705" width="40.28515625" style="14" customWidth="1"/>
    <col min="8706" max="8706" width="48.85546875" style="14" customWidth="1"/>
    <col min="8707" max="8707" width="53.28515625" style="14" customWidth="1"/>
    <col min="8708" max="8708" width="56.28515625" style="14" customWidth="1"/>
    <col min="8709" max="8752" width="12" style="14" customWidth="1"/>
    <col min="8753" max="8960" width="13.28515625" style="14"/>
    <col min="8961" max="8961" width="40.28515625" style="14" customWidth="1"/>
    <col min="8962" max="8962" width="48.85546875" style="14" customWidth="1"/>
    <col min="8963" max="8963" width="53.28515625" style="14" customWidth="1"/>
    <col min="8964" max="8964" width="56.28515625" style="14" customWidth="1"/>
    <col min="8965" max="9008" width="12" style="14" customWidth="1"/>
    <col min="9009" max="9216" width="13.28515625" style="14"/>
    <col min="9217" max="9217" width="40.28515625" style="14" customWidth="1"/>
    <col min="9218" max="9218" width="48.85546875" style="14" customWidth="1"/>
    <col min="9219" max="9219" width="53.28515625" style="14" customWidth="1"/>
    <col min="9220" max="9220" width="56.28515625" style="14" customWidth="1"/>
    <col min="9221" max="9264" width="12" style="14" customWidth="1"/>
    <col min="9265" max="9472" width="13.28515625" style="14"/>
    <col min="9473" max="9473" width="40.28515625" style="14" customWidth="1"/>
    <col min="9474" max="9474" width="48.85546875" style="14" customWidth="1"/>
    <col min="9475" max="9475" width="53.28515625" style="14" customWidth="1"/>
    <col min="9476" max="9476" width="56.28515625" style="14" customWidth="1"/>
    <col min="9477" max="9520" width="12" style="14" customWidth="1"/>
    <col min="9521" max="9728" width="13.28515625" style="14"/>
    <col min="9729" max="9729" width="40.28515625" style="14" customWidth="1"/>
    <col min="9730" max="9730" width="48.85546875" style="14" customWidth="1"/>
    <col min="9731" max="9731" width="53.28515625" style="14" customWidth="1"/>
    <col min="9732" max="9732" width="56.28515625" style="14" customWidth="1"/>
    <col min="9733" max="9776" width="12" style="14" customWidth="1"/>
    <col min="9777" max="9984" width="13.28515625" style="14"/>
    <col min="9985" max="9985" width="40.28515625" style="14" customWidth="1"/>
    <col min="9986" max="9986" width="48.85546875" style="14" customWidth="1"/>
    <col min="9987" max="9987" width="53.28515625" style="14" customWidth="1"/>
    <col min="9988" max="9988" width="56.28515625" style="14" customWidth="1"/>
    <col min="9989" max="10032" width="12" style="14" customWidth="1"/>
    <col min="10033" max="10240" width="13.28515625" style="14"/>
    <col min="10241" max="10241" width="40.28515625" style="14" customWidth="1"/>
    <col min="10242" max="10242" width="48.85546875" style="14" customWidth="1"/>
    <col min="10243" max="10243" width="53.28515625" style="14" customWidth="1"/>
    <col min="10244" max="10244" width="56.28515625" style="14" customWidth="1"/>
    <col min="10245" max="10288" width="12" style="14" customWidth="1"/>
    <col min="10289" max="10496" width="13.28515625" style="14"/>
    <col min="10497" max="10497" width="40.28515625" style="14" customWidth="1"/>
    <col min="10498" max="10498" width="48.85546875" style="14" customWidth="1"/>
    <col min="10499" max="10499" width="53.28515625" style="14" customWidth="1"/>
    <col min="10500" max="10500" width="56.28515625" style="14" customWidth="1"/>
    <col min="10501" max="10544" width="12" style="14" customWidth="1"/>
    <col min="10545" max="10752" width="13.28515625" style="14"/>
    <col min="10753" max="10753" width="40.28515625" style="14" customWidth="1"/>
    <col min="10754" max="10754" width="48.85546875" style="14" customWidth="1"/>
    <col min="10755" max="10755" width="53.28515625" style="14" customWidth="1"/>
    <col min="10756" max="10756" width="56.28515625" style="14" customWidth="1"/>
    <col min="10757" max="10800" width="12" style="14" customWidth="1"/>
    <col min="10801" max="11008" width="13.28515625" style="14"/>
    <col min="11009" max="11009" width="40.28515625" style="14" customWidth="1"/>
    <col min="11010" max="11010" width="48.85546875" style="14" customWidth="1"/>
    <col min="11011" max="11011" width="53.28515625" style="14" customWidth="1"/>
    <col min="11012" max="11012" width="56.28515625" style="14" customWidth="1"/>
    <col min="11013" max="11056" width="12" style="14" customWidth="1"/>
    <col min="11057" max="11264" width="13.28515625" style="14"/>
    <col min="11265" max="11265" width="40.28515625" style="14" customWidth="1"/>
    <col min="11266" max="11266" width="48.85546875" style="14" customWidth="1"/>
    <col min="11267" max="11267" width="53.28515625" style="14" customWidth="1"/>
    <col min="11268" max="11268" width="56.28515625" style="14" customWidth="1"/>
    <col min="11269" max="11312" width="12" style="14" customWidth="1"/>
    <col min="11313" max="11520" width="13.28515625" style="14"/>
    <col min="11521" max="11521" width="40.28515625" style="14" customWidth="1"/>
    <col min="11522" max="11522" width="48.85546875" style="14" customWidth="1"/>
    <col min="11523" max="11523" width="53.28515625" style="14" customWidth="1"/>
    <col min="11524" max="11524" width="56.28515625" style="14" customWidth="1"/>
    <col min="11525" max="11568" width="12" style="14" customWidth="1"/>
    <col min="11569" max="11776" width="13.28515625" style="14"/>
    <col min="11777" max="11777" width="40.28515625" style="14" customWidth="1"/>
    <col min="11778" max="11778" width="48.85546875" style="14" customWidth="1"/>
    <col min="11779" max="11779" width="53.28515625" style="14" customWidth="1"/>
    <col min="11780" max="11780" width="56.28515625" style="14" customWidth="1"/>
    <col min="11781" max="11824" width="12" style="14" customWidth="1"/>
    <col min="11825" max="12032" width="13.28515625" style="14"/>
    <col min="12033" max="12033" width="40.28515625" style="14" customWidth="1"/>
    <col min="12034" max="12034" width="48.85546875" style="14" customWidth="1"/>
    <col min="12035" max="12035" width="53.28515625" style="14" customWidth="1"/>
    <col min="12036" max="12036" width="56.28515625" style="14" customWidth="1"/>
    <col min="12037" max="12080" width="12" style="14" customWidth="1"/>
    <col min="12081" max="12288" width="13.28515625" style="14"/>
    <col min="12289" max="12289" width="40.28515625" style="14" customWidth="1"/>
    <col min="12290" max="12290" width="48.85546875" style="14" customWidth="1"/>
    <col min="12291" max="12291" width="53.28515625" style="14" customWidth="1"/>
    <col min="12292" max="12292" width="56.28515625" style="14" customWidth="1"/>
    <col min="12293" max="12336" width="12" style="14" customWidth="1"/>
    <col min="12337" max="12544" width="13.28515625" style="14"/>
    <col min="12545" max="12545" width="40.28515625" style="14" customWidth="1"/>
    <col min="12546" max="12546" width="48.85546875" style="14" customWidth="1"/>
    <col min="12547" max="12547" width="53.28515625" style="14" customWidth="1"/>
    <col min="12548" max="12548" width="56.28515625" style="14" customWidth="1"/>
    <col min="12549" max="12592" width="12" style="14" customWidth="1"/>
    <col min="12593" max="12800" width="13.28515625" style="14"/>
    <col min="12801" max="12801" width="40.28515625" style="14" customWidth="1"/>
    <col min="12802" max="12802" width="48.85546875" style="14" customWidth="1"/>
    <col min="12803" max="12803" width="53.28515625" style="14" customWidth="1"/>
    <col min="12804" max="12804" width="56.28515625" style="14" customWidth="1"/>
    <col min="12805" max="12848" width="12" style="14" customWidth="1"/>
    <col min="12849" max="13056" width="13.28515625" style="14"/>
    <col min="13057" max="13057" width="40.28515625" style="14" customWidth="1"/>
    <col min="13058" max="13058" width="48.85546875" style="14" customWidth="1"/>
    <col min="13059" max="13059" width="53.28515625" style="14" customWidth="1"/>
    <col min="13060" max="13060" width="56.28515625" style="14" customWidth="1"/>
    <col min="13061" max="13104" width="12" style="14" customWidth="1"/>
    <col min="13105" max="13312" width="13.28515625" style="14"/>
    <col min="13313" max="13313" width="40.28515625" style="14" customWidth="1"/>
    <col min="13314" max="13314" width="48.85546875" style="14" customWidth="1"/>
    <col min="13315" max="13315" width="53.28515625" style="14" customWidth="1"/>
    <col min="13316" max="13316" width="56.28515625" style="14" customWidth="1"/>
    <col min="13317" max="13360" width="12" style="14" customWidth="1"/>
    <col min="13361" max="13568" width="13.28515625" style="14"/>
    <col min="13569" max="13569" width="40.28515625" style="14" customWidth="1"/>
    <col min="13570" max="13570" width="48.85546875" style="14" customWidth="1"/>
    <col min="13571" max="13571" width="53.28515625" style="14" customWidth="1"/>
    <col min="13572" max="13572" width="56.28515625" style="14" customWidth="1"/>
    <col min="13573" max="13616" width="12" style="14" customWidth="1"/>
    <col min="13617" max="13824" width="13.28515625" style="14"/>
    <col min="13825" max="13825" width="40.28515625" style="14" customWidth="1"/>
    <col min="13826" max="13826" width="48.85546875" style="14" customWidth="1"/>
    <col min="13827" max="13827" width="53.28515625" style="14" customWidth="1"/>
    <col min="13828" max="13828" width="56.28515625" style="14" customWidth="1"/>
    <col min="13829" max="13872" width="12" style="14" customWidth="1"/>
    <col min="13873" max="14080" width="13.28515625" style="14"/>
    <col min="14081" max="14081" width="40.28515625" style="14" customWidth="1"/>
    <col min="14082" max="14082" width="48.85546875" style="14" customWidth="1"/>
    <col min="14083" max="14083" width="53.28515625" style="14" customWidth="1"/>
    <col min="14084" max="14084" width="56.28515625" style="14" customWidth="1"/>
    <col min="14085" max="14128" width="12" style="14" customWidth="1"/>
    <col min="14129" max="14336" width="13.28515625" style="14"/>
    <col min="14337" max="14337" width="40.28515625" style="14" customWidth="1"/>
    <col min="14338" max="14338" width="48.85546875" style="14" customWidth="1"/>
    <col min="14339" max="14339" width="53.28515625" style="14" customWidth="1"/>
    <col min="14340" max="14340" width="56.28515625" style="14" customWidth="1"/>
    <col min="14341" max="14384" width="12" style="14" customWidth="1"/>
    <col min="14385" max="14592" width="13.28515625" style="14"/>
    <col min="14593" max="14593" width="40.28515625" style="14" customWidth="1"/>
    <col min="14594" max="14594" width="48.85546875" style="14" customWidth="1"/>
    <col min="14595" max="14595" width="53.28515625" style="14" customWidth="1"/>
    <col min="14596" max="14596" width="56.28515625" style="14" customWidth="1"/>
    <col min="14597" max="14640" width="12" style="14" customWidth="1"/>
    <col min="14641" max="14848" width="13.28515625" style="14"/>
    <col min="14849" max="14849" width="40.28515625" style="14" customWidth="1"/>
    <col min="14850" max="14850" width="48.85546875" style="14" customWidth="1"/>
    <col min="14851" max="14851" width="53.28515625" style="14" customWidth="1"/>
    <col min="14852" max="14852" width="56.28515625" style="14" customWidth="1"/>
    <col min="14853" max="14896" width="12" style="14" customWidth="1"/>
    <col min="14897" max="15104" width="13.28515625" style="14"/>
    <col min="15105" max="15105" width="40.28515625" style="14" customWidth="1"/>
    <col min="15106" max="15106" width="48.85546875" style="14" customWidth="1"/>
    <col min="15107" max="15107" width="53.28515625" style="14" customWidth="1"/>
    <col min="15108" max="15108" width="56.28515625" style="14" customWidth="1"/>
    <col min="15109" max="15152" width="12" style="14" customWidth="1"/>
    <col min="15153" max="15360" width="13.28515625" style="14"/>
    <col min="15361" max="15361" width="40.28515625" style="14" customWidth="1"/>
    <col min="15362" max="15362" width="48.85546875" style="14" customWidth="1"/>
    <col min="15363" max="15363" width="53.28515625" style="14" customWidth="1"/>
    <col min="15364" max="15364" width="56.28515625" style="14" customWidth="1"/>
    <col min="15365" max="15408" width="12" style="14" customWidth="1"/>
    <col min="15409" max="15616" width="13.28515625" style="14"/>
    <col min="15617" max="15617" width="40.28515625" style="14" customWidth="1"/>
    <col min="15618" max="15618" width="48.85546875" style="14" customWidth="1"/>
    <col min="15619" max="15619" width="53.28515625" style="14" customWidth="1"/>
    <col min="15620" max="15620" width="56.28515625" style="14" customWidth="1"/>
    <col min="15621" max="15664" width="12" style="14" customWidth="1"/>
    <col min="15665" max="15872" width="13.28515625" style="14"/>
    <col min="15873" max="15873" width="40.28515625" style="14" customWidth="1"/>
    <col min="15874" max="15874" width="48.85546875" style="14" customWidth="1"/>
    <col min="15875" max="15875" width="53.28515625" style="14" customWidth="1"/>
    <col min="15876" max="15876" width="56.28515625" style="14" customWidth="1"/>
    <col min="15877" max="15920" width="12" style="14" customWidth="1"/>
    <col min="15921" max="16128" width="13.28515625" style="14"/>
    <col min="16129" max="16129" width="40.28515625" style="14" customWidth="1"/>
    <col min="16130" max="16130" width="48.85546875" style="14" customWidth="1"/>
    <col min="16131" max="16131" width="53.28515625" style="14" customWidth="1"/>
    <col min="16132" max="16132" width="56.28515625" style="14" customWidth="1"/>
    <col min="16133" max="16176" width="12" style="14" customWidth="1"/>
    <col min="16177" max="16384" width="13.28515625" style="14"/>
  </cols>
  <sheetData>
    <row r="1" spans="1:11" ht="29.1"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354" t="s">
        <v>3632</v>
      </c>
      <c r="B3" s="362" t="s">
        <v>4212</v>
      </c>
      <c r="C3" s="362" t="s">
        <v>3591</v>
      </c>
      <c r="D3" s="275"/>
      <c r="E3" s="275"/>
      <c r="F3" s="288" t="s">
        <v>3634</v>
      </c>
      <c r="G3" s="354" t="s">
        <v>3694</v>
      </c>
      <c r="H3" s="272" t="s">
        <v>511</v>
      </c>
      <c r="I3" s="354" t="s">
        <v>4167</v>
      </c>
      <c r="J3" s="109" t="s">
        <v>3635</v>
      </c>
      <c r="K3" s="7"/>
    </row>
    <row r="4" spans="1:11" x14ac:dyDescent="0.2">
      <c r="A4" s="288"/>
      <c r="B4" s="275"/>
      <c r="C4" s="275"/>
      <c r="D4" s="275"/>
      <c r="E4" s="275"/>
      <c r="F4" s="288"/>
      <c r="G4" s="272"/>
      <c r="H4" s="272"/>
      <c r="I4" s="272"/>
      <c r="J4" s="109" t="s">
        <v>3636</v>
      </c>
      <c r="K4" s="7"/>
    </row>
    <row r="5" spans="1:11" x14ac:dyDescent="0.2">
      <c r="A5" s="273"/>
      <c r="B5" s="276"/>
      <c r="C5" s="276"/>
      <c r="D5" s="276"/>
      <c r="E5" s="276"/>
      <c r="F5" s="273"/>
      <c r="G5" s="273"/>
      <c r="H5" s="273"/>
      <c r="I5" s="273"/>
      <c r="J5" s="109" t="s">
        <v>3637</v>
      </c>
      <c r="K5" s="7"/>
    </row>
    <row r="6" spans="1:11" ht="15" customHeight="1" x14ac:dyDescent="0.2">
      <c r="A6" s="273"/>
      <c r="B6" s="276"/>
      <c r="C6" s="276"/>
      <c r="D6" s="276"/>
      <c r="E6" s="276"/>
      <c r="F6" s="288" t="s">
        <v>3638</v>
      </c>
      <c r="G6" s="354" t="s">
        <v>3695</v>
      </c>
      <c r="H6" s="272" t="s">
        <v>511</v>
      </c>
      <c r="I6" s="354" t="s">
        <v>4168</v>
      </c>
      <c r="J6" s="109" t="s">
        <v>3639</v>
      </c>
      <c r="K6" s="7"/>
    </row>
    <row r="7" spans="1:11" ht="15" customHeight="1" x14ac:dyDescent="0.2">
      <c r="A7" s="273"/>
      <c r="B7" s="276"/>
      <c r="C7" s="276"/>
      <c r="D7" s="276"/>
      <c r="E7" s="276"/>
      <c r="F7" s="288"/>
      <c r="G7" s="289"/>
      <c r="H7" s="272"/>
      <c r="I7" s="289"/>
      <c r="J7" s="109" t="s">
        <v>3640</v>
      </c>
      <c r="K7" s="7"/>
    </row>
    <row r="8" spans="1:11" x14ac:dyDescent="0.2">
      <c r="A8" s="273"/>
      <c r="B8" s="276"/>
      <c r="C8" s="276"/>
      <c r="D8" s="276"/>
      <c r="E8" s="276"/>
      <c r="F8" s="273"/>
      <c r="G8" s="273"/>
      <c r="H8" s="273"/>
      <c r="I8" s="273"/>
      <c r="J8" s="109" t="s">
        <v>3641</v>
      </c>
      <c r="K8" s="7"/>
    </row>
    <row r="9" spans="1:11" ht="15" customHeight="1" x14ac:dyDescent="0.2">
      <c r="A9" s="273"/>
      <c r="B9" s="276"/>
      <c r="C9" s="276"/>
      <c r="D9" s="276"/>
      <c r="E9" s="276"/>
      <c r="F9" s="288" t="s">
        <v>3642</v>
      </c>
      <c r="G9" s="340" t="s">
        <v>4288</v>
      </c>
      <c r="H9" s="272"/>
      <c r="I9" s="340" t="s">
        <v>4170</v>
      </c>
      <c r="J9" s="26"/>
      <c r="K9" s="7"/>
    </row>
    <row r="10" spans="1:11" ht="15" customHeight="1" x14ac:dyDescent="0.2">
      <c r="A10" s="273"/>
      <c r="B10" s="276"/>
      <c r="C10" s="276"/>
      <c r="D10" s="276"/>
      <c r="E10" s="276"/>
      <c r="F10" s="288"/>
      <c r="G10" s="340"/>
      <c r="H10" s="272"/>
      <c r="I10" s="340"/>
      <c r="J10" s="26"/>
      <c r="K10" s="7"/>
    </row>
    <row r="11" spans="1:11" x14ac:dyDescent="0.2">
      <c r="A11" s="273"/>
      <c r="B11" s="276"/>
      <c r="C11" s="276"/>
      <c r="D11" s="276"/>
      <c r="E11" s="276"/>
      <c r="F11" s="273"/>
      <c r="G11" s="340"/>
      <c r="H11" s="273"/>
      <c r="I11" s="340"/>
      <c r="J11" s="89"/>
      <c r="K11" s="7"/>
    </row>
    <row r="12" spans="1:11" ht="15" customHeight="1" x14ac:dyDescent="0.2">
      <c r="A12" s="273"/>
      <c r="B12" s="276"/>
      <c r="C12" s="276"/>
      <c r="D12" s="276"/>
      <c r="E12" s="276"/>
      <c r="F12" s="288" t="s">
        <v>3643</v>
      </c>
      <c r="G12" s="354" t="s">
        <v>3696</v>
      </c>
      <c r="H12" s="272" t="s">
        <v>511</v>
      </c>
      <c r="I12" s="354" t="s">
        <v>4169</v>
      </c>
      <c r="J12" s="26"/>
      <c r="K12" s="7"/>
    </row>
    <row r="13" spans="1:11" ht="15" customHeight="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ht="15" customHeight="1" x14ac:dyDescent="0.2">
      <c r="A15" s="273"/>
      <c r="B15" s="276"/>
      <c r="C15" s="276"/>
      <c r="D15" s="276"/>
      <c r="E15" s="276"/>
      <c r="F15" s="288" t="s">
        <v>3644</v>
      </c>
      <c r="G15" s="354" t="s">
        <v>3697</v>
      </c>
      <c r="H15" s="272" t="s">
        <v>511</v>
      </c>
      <c r="I15" s="354" t="s">
        <v>4171</v>
      </c>
      <c r="J15" s="26"/>
      <c r="K15" s="7"/>
    </row>
    <row r="16" spans="1:11"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3645</v>
      </c>
      <c r="G18" s="354" t="s">
        <v>3700</v>
      </c>
      <c r="H18" s="272" t="s">
        <v>528</v>
      </c>
      <c r="I18" s="354" t="s">
        <v>4172</v>
      </c>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ht="15" customHeight="1" x14ac:dyDescent="0.2">
      <c r="A21" s="273"/>
      <c r="B21" s="276"/>
      <c r="C21" s="276"/>
      <c r="D21" s="276"/>
      <c r="E21" s="276"/>
      <c r="F21" s="288" t="s">
        <v>3698</v>
      </c>
      <c r="G21" s="354" t="s">
        <v>3701</v>
      </c>
      <c r="H21" s="272" t="s">
        <v>515</v>
      </c>
      <c r="I21" s="354" t="s">
        <v>4174</v>
      </c>
      <c r="J21" s="26"/>
      <c r="K21" s="7"/>
    </row>
    <row r="22" spans="1:11" ht="15" customHeight="1" x14ac:dyDescent="0.2">
      <c r="A22" s="273"/>
      <c r="B22" s="276"/>
      <c r="C22" s="276"/>
      <c r="D22" s="276"/>
      <c r="E22" s="276"/>
      <c r="F22" s="288"/>
      <c r="G22" s="272"/>
      <c r="H22" s="272"/>
      <c r="I22" s="272"/>
      <c r="J22" s="26"/>
      <c r="K22" s="7"/>
    </row>
    <row r="23" spans="1:11" x14ac:dyDescent="0.2">
      <c r="A23" s="273"/>
      <c r="B23" s="276"/>
      <c r="C23" s="276"/>
      <c r="D23" s="276"/>
      <c r="E23" s="276"/>
      <c r="F23" s="273"/>
      <c r="G23" s="273"/>
      <c r="H23" s="273"/>
      <c r="I23" s="273"/>
      <c r="J23" s="89"/>
      <c r="K23" s="7"/>
    </row>
    <row r="24" spans="1:11" ht="15" customHeight="1" x14ac:dyDescent="0.2">
      <c r="A24" s="273"/>
      <c r="B24" s="276"/>
      <c r="C24" s="276"/>
      <c r="D24" s="276"/>
      <c r="E24" s="276"/>
      <c r="F24" s="288" t="s">
        <v>3699</v>
      </c>
      <c r="G24" s="354" t="s">
        <v>3702</v>
      </c>
      <c r="H24" s="272" t="s">
        <v>511</v>
      </c>
      <c r="I24" s="354" t="s">
        <v>4173</v>
      </c>
      <c r="J24" s="26"/>
      <c r="K24" s="7"/>
    </row>
    <row r="25" spans="1:11" ht="15" customHeight="1" x14ac:dyDescent="0.2">
      <c r="A25" s="273"/>
      <c r="B25" s="276"/>
      <c r="C25" s="276"/>
      <c r="D25" s="276"/>
      <c r="E25" s="276"/>
      <c r="F25" s="288"/>
      <c r="G25" s="272"/>
      <c r="H25" s="272"/>
      <c r="I25" s="272"/>
      <c r="J25" s="26"/>
      <c r="K25" s="7"/>
    </row>
    <row r="26" spans="1:11" x14ac:dyDescent="0.2">
      <c r="A26" s="273"/>
      <c r="B26" s="276"/>
      <c r="C26" s="276"/>
      <c r="D26" s="276"/>
      <c r="E26" s="276"/>
      <c r="F26" s="273"/>
      <c r="G26" s="273"/>
      <c r="H26" s="273"/>
      <c r="I26" s="273"/>
      <c r="J26" s="89"/>
      <c r="K26" s="7"/>
    </row>
    <row r="27" spans="1:11" x14ac:dyDescent="0.2">
      <c r="A27" s="273"/>
      <c r="B27" s="277" t="s">
        <v>3646</v>
      </c>
      <c r="C27" s="385" t="s">
        <v>3704</v>
      </c>
      <c r="D27" s="277"/>
      <c r="E27" s="277"/>
      <c r="F27" s="288" t="s">
        <v>3647</v>
      </c>
      <c r="G27" s="354" t="s">
        <v>3708</v>
      </c>
      <c r="H27" s="272" t="s">
        <v>511</v>
      </c>
      <c r="I27" s="354" t="s">
        <v>4175</v>
      </c>
      <c r="J27" s="39"/>
      <c r="K27" s="7"/>
    </row>
    <row r="28" spans="1:11" x14ac:dyDescent="0.2">
      <c r="A28" s="273"/>
      <c r="B28" s="278"/>
      <c r="C28" s="278"/>
      <c r="D28" s="278"/>
      <c r="E28" s="278"/>
      <c r="F28" s="288"/>
      <c r="G28" s="289"/>
      <c r="H28" s="272"/>
      <c r="I28" s="289"/>
      <c r="J28" s="39"/>
      <c r="K28" s="7"/>
    </row>
    <row r="29" spans="1:11" x14ac:dyDescent="0.2">
      <c r="A29" s="273"/>
      <c r="B29" s="279"/>
      <c r="C29" s="279"/>
      <c r="D29" s="279"/>
      <c r="E29" s="279"/>
      <c r="F29" s="273"/>
      <c r="G29" s="273"/>
      <c r="H29" s="273"/>
      <c r="I29" s="273"/>
      <c r="J29" s="89"/>
      <c r="K29" s="7"/>
    </row>
    <row r="30" spans="1:11" ht="15" customHeight="1" x14ac:dyDescent="0.2">
      <c r="A30" s="273"/>
      <c r="B30" s="279"/>
      <c r="C30" s="279"/>
      <c r="D30" s="279"/>
      <c r="E30" s="279"/>
      <c r="F30" s="288" t="s">
        <v>3648</v>
      </c>
      <c r="G30" s="354" t="s">
        <v>3705</v>
      </c>
      <c r="H30" s="272" t="s">
        <v>511</v>
      </c>
      <c r="I30" s="354" t="s">
        <v>4176</v>
      </c>
      <c r="J30" s="26"/>
      <c r="K30" s="7"/>
    </row>
    <row r="31" spans="1:11" x14ac:dyDescent="0.2">
      <c r="A31" s="273"/>
      <c r="B31" s="279"/>
      <c r="C31" s="279"/>
      <c r="D31" s="279"/>
      <c r="E31" s="279"/>
      <c r="F31" s="288"/>
      <c r="G31" s="289"/>
      <c r="H31" s="272"/>
      <c r="I31" s="289"/>
      <c r="J31" s="26"/>
      <c r="K31" s="7"/>
    </row>
    <row r="32" spans="1:11" x14ac:dyDescent="0.2">
      <c r="A32" s="273"/>
      <c r="B32" s="279"/>
      <c r="C32" s="279"/>
      <c r="D32" s="279"/>
      <c r="E32" s="279"/>
      <c r="F32" s="273"/>
      <c r="G32" s="273"/>
      <c r="H32" s="273"/>
      <c r="I32" s="273"/>
      <c r="J32" s="89"/>
      <c r="K32" s="7"/>
    </row>
    <row r="33" spans="1:11" ht="15" customHeight="1" x14ac:dyDescent="0.2">
      <c r="A33" s="273"/>
      <c r="B33" s="279"/>
      <c r="C33" s="279"/>
      <c r="D33" s="279"/>
      <c r="E33" s="279"/>
      <c r="F33" s="288" t="s">
        <v>3649</v>
      </c>
      <c r="G33" s="576" t="s">
        <v>4177</v>
      </c>
      <c r="H33" s="272" t="s">
        <v>505</v>
      </c>
      <c r="I33" s="354" t="s">
        <v>4178</v>
      </c>
      <c r="J33" s="26"/>
      <c r="K33" s="7"/>
    </row>
    <row r="34" spans="1:11" x14ac:dyDescent="0.2">
      <c r="A34" s="273"/>
      <c r="B34" s="279"/>
      <c r="C34" s="279"/>
      <c r="D34" s="279"/>
      <c r="E34" s="279"/>
      <c r="F34" s="288"/>
      <c r="G34" s="577"/>
      <c r="H34" s="272"/>
      <c r="I34" s="272"/>
      <c r="J34" s="26"/>
      <c r="K34" s="7"/>
    </row>
    <row r="35" spans="1:11" x14ac:dyDescent="0.2">
      <c r="A35" s="273"/>
      <c r="B35" s="279"/>
      <c r="C35" s="279"/>
      <c r="D35" s="279"/>
      <c r="E35" s="279"/>
      <c r="F35" s="273"/>
      <c r="G35" s="578"/>
      <c r="H35" s="273"/>
      <c r="I35" s="273"/>
      <c r="J35" s="89"/>
      <c r="K35" s="7"/>
    </row>
    <row r="36" spans="1:11" ht="15" customHeight="1" x14ac:dyDescent="0.2">
      <c r="A36" s="273"/>
      <c r="B36" s="279"/>
      <c r="C36" s="279"/>
      <c r="D36" s="279"/>
      <c r="E36" s="279"/>
      <c r="F36" s="288" t="s">
        <v>3650</v>
      </c>
      <c r="G36" s="576" t="s">
        <v>3707</v>
      </c>
      <c r="H36" s="272" t="s">
        <v>515</v>
      </c>
      <c r="I36" s="354" t="s">
        <v>4179</v>
      </c>
      <c r="J36" s="39"/>
      <c r="K36" s="7"/>
    </row>
    <row r="37" spans="1:11" x14ac:dyDescent="0.2">
      <c r="A37" s="273"/>
      <c r="B37" s="279"/>
      <c r="C37" s="279"/>
      <c r="D37" s="279"/>
      <c r="E37" s="279"/>
      <c r="F37" s="288"/>
      <c r="G37" s="577"/>
      <c r="H37" s="272"/>
      <c r="I37" s="289"/>
      <c r="J37" s="39"/>
      <c r="K37" s="7"/>
    </row>
    <row r="38" spans="1:11" x14ac:dyDescent="0.2">
      <c r="A38" s="273"/>
      <c r="B38" s="279"/>
      <c r="C38" s="279"/>
      <c r="D38" s="279"/>
      <c r="E38" s="279"/>
      <c r="F38" s="273"/>
      <c r="G38" s="578"/>
      <c r="H38" s="273"/>
      <c r="I38" s="273"/>
      <c r="J38" s="89"/>
      <c r="K38" s="37"/>
    </row>
    <row r="39" spans="1:11" ht="15" customHeight="1" x14ac:dyDescent="0.2">
      <c r="A39" s="273"/>
      <c r="B39" s="279"/>
      <c r="C39" s="279"/>
      <c r="D39" s="279"/>
      <c r="E39" s="279"/>
      <c r="F39" s="288" t="s">
        <v>3651</v>
      </c>
      <c r="G39" s="576" t="s">
        <v>3706</v>
      </c>
      <c r="H39" s="272" t="s">
        <v>511</v>
      </c>
      <c r="I39" s="354" t="s">
        <v>4180</v>
      </c>
      <c r="J39" s="26"/>
      <c r="K39" s="37"/>
    </row>
    <row r="40" spans="1:11" x14ac:dyDescent="0.2">
      <c r="A40" s="273"/>
      <c r="B40" s="279"/>
      <c r="C40" s="279"/>
      <c r="D40" s="279"/>
      <c r="E40" s="279"/>
      <c r="F40" s="288"/>
      <c r="G40" s="577"/>
      <c r="H40" s="272"/>
      <c r="I40" s="272"/>
      <c r="J40" s="26"/>
      <c r="K40" s="37"/>
    </row>
    <row r="41" spans="1:11" x14ac:dyDescent="0.2">
      <c r="A41" s="273"/>
      <c r="B41" s="279"/>
      <c r="C41" s="279"/>
      <c r="D41" s="279"/>
      <c r="E41" s="279"/>
      <c r="F41" s="273"/>
      <c r="G41" s="578"/>
      <c r="H41" s="273"/>
      <c r="I41" s="273"/>
      <c r="J41" s="89"/>
      <c r="K41" s="37"/>
    </row>
    <row r="42" spans="1:11" ht="15" customHeight="1" x14ac:dyDescent="0.25">
      <c r="A42" s="273"/>
      <c r="B42" s="279"/>
      <c r="C42" s="279"/>
      <c r="D42" s="279"/>
      <c r="E42" s="279"/>
      <c r="F42" s="288" t="s">
        <v>3652</v>
      </c>
      <c r="G42" s="576" t="s">
        <v>3709</v>
      </c>
      <c r="H42" s="272" t="s">
        <v>515</v>
      </c>
      <c r="I42" s="354" t="s">
        <v>4181</v>
      </c>
      <c r="J42" s="26"/>
      <c r="K42" s="104"/>
    </row>
    <row r="43" spans="1:11" x14ac:dyDescent="0.25">
      <c r="A43" s="273"/>
      <c r="B43" s="279"/>
      <c r="C43" s="279"/>
      <c r="D43" s="279"/>
      <c r="E43" s="279"/>
      <c r="F43" s="288"/>
      <c r="G43" s="413"/>
      <c r="H43" s="272"/>
      <c r="I43" s="272"/>
      <c r="J43" s="26"/>
      <c r="K43" s="104"/>
    </row>
    <row r="44" spans="1:11" x14ac:dyDescent="0.25">
      <c r="A44" s="273"/>
      <c r="B44" s="279"/>
      <c r="C44" s="279"/>
      <c r="D44" s="279"/>
      <c r="E44" s="279"/>
      <c r="F44" s="273"/>
      <c r="G44" s="414"/>
      <c r="H44" s="273"/>
      <c r="I44" s="273"/>
      <c r="J44" s="89"/>
      <c r="K44" s="33"/>
    </row>
    <row r="45" spans="1:11" ht="15" customHeight="1" x14ac:dyDescent="0.25">
      <c r="A45" s="276"/>
      <c r="B45" s="280" t="s">
        <v>3653</v>
      </c>
      <c r="C45" s="385" t="s">
        <v>4191</v>
      </c>
      <c r="D45" s="384" t="s">
        <v>4190</v>
      </c>
      <c r="E45" s="280"/>
      <c r="F45" s="288" t="s">
        <v>3654</v>
      </c>
      <c r="G45" s="354" t="s">
        <v>4183</v>
      </c>
      <c r="H45" s="272" t="s">
        <v>528</v>
      </c>
      <c r="I45" s="354" t="s">
        <v>4182</v>
      </c>
      <c r="J45" s="26"/>
      <c r="K45" s="33"/>
    </row>
    <row r="46" spans="1:11" x14ac:dyDescent="0.25">
      <c r="A46" s="276"/>
      <c r="B46" s="280"/>
      <c r="C46" s="278"/>
      <c r="D46" s="280"/>
      <c r="E46" s="280"/>
      <c r="F46" s="288"/>
      <c r="G46" s="272"/>
      <c r="H46" s="272"/>
      <c r="I46" s="272"/>
      <c r="J46" s="26"/>
      <c r="K46" s="33"/>
    </row>
    <row r="47" spans="1:11" x14ac:dyDescent="0.25">
      <c r="A47" s="276"/>
      <c r="B47" s="281"/>
      <c r="C47" s="279"/>
      <c r="D47" s="281"/>
      <c r="E47" s="281"/>
      <c r="F47" s="273"/>
      <c r="G47" s="273"/>
      <c r="H47" s="273"/>
      <c r="I47" s="273"/>
      <c r="J47" s="89"/>
      <c r="K47" s="33"/>
    </row>
    <row r="48" spans="1:11" ht="15" customHeight="1" x14ac:dyDescent="0.25">
      <c r="A48" s="276"/>
      <c r="B48" s="281"/>
      <c r="C48" s="279"/>
      <c r="D48" s="281"/>
      <c r="E48" s="281"/>
      <c r="F48" s="288" t="s">
        <v>3655</v>
      </c>
      <c r="G48" s="354" t="s">
        <v>4184</v>
      </c>
      <c r="H48" s="272" t="s">
        <v>511</v>
      </c>
      <c r="I48" s="354" t="s">
        <v>4185</v>
      </c>
      <c r="J48" s="26"/>
      <c r="K48" s="33"/>
    </row>
    <row r="49" spans="1:12" ht="15" customHeight="1" x14ac:dyDescent="0.25">
      <c r="A49" s="276"/>
      <c r="B49" s="281"/>
      <c r="C49" s="279"/>
      <c r="D49" s="281"/>
      <c r="E49" s="281"/>
      <c r="F49" s="288"/>
      <c r="G49" s="272"/>
      <c r="H49" s="272"/>
      <c r="I49" s="272"/>
      <c r="J49" s="26"/>
      <c r="K49" s="33"/>
    </row>
    <row r="50" spans="1:12" x14ac:dyDescent="0.25">
      <c r="A50" s="276"/>
      <c r="B50" s="281"/>
      <c r="C50" s="279"/>
      <c r="D50" s="281"/>
      <c r="E50" s="281"/>
      <c r="F50" s="273"/>
      <c r="G50" s="273"/>
      <c r="H50" s="273"/>
      <c r="I50" s="273"/>
      <c r="J50" s="89"/>
      <c r="K50" s="33"/>
    </row>
    <row r="51" spans="1:12" ht="20.25" customHeight="1" x14ac:dyDescent="0.25">
      <c r="A51" s="276"/>
      <c r="B51" s="281"/>
      <c r="C51" s="279"/>
      <c r="D51" s="281"/>
      <c r="E51" s="281"/>
      <c r="F51" s="288" t="s">
        <v>3656</v>
      </c>
      <c r="G51" s="354" t="s">
        <v>4214</v>
      </c>
      <c r="H51" s="272" t="s">
        <v>511</v>
      </c>
      <c r="I51" s="354" t="s">
        <v>4213</v>
      </c>
      <c r="J51" s="26"/>
      <c r="K51" s="33"/>
    </row>
    <row r="52" spans="1:12" ht="15" customHeight="1" x14ac:dyDescent="0.25">
      <c r="A52" s="276"/>
      <c r="B52" s="281"/>
      <c r="C52" s="279"/>
      <c r="D52" s="281"/>
      <c r="E52" s="281"/>
      <c r="F52" s="288"/>
      <c r="G52" s="272"/>
      <c r="H52" s="272"/>
      <c r="I52" s="272"/>
      <c r="J52" s="26"/>
      <c r="K52" s="33"/>
    </row>
    <row r="53" spans="1:12" ht="28.35" customHeight="1" x14ac:dyDescent="0.25">
      <c r="A53" s="276"/>
      <c r="B53" s="281"/>
      <c r="C53" s="279"/>
      <c r="D53" s="281"/>
      <c r="E53" s="281"/>
      <c r="F53" s="273"/>
      <c r="G53" s="273"/>
      <c r="H53" s="273"/>
      <c r="I53" s="273"/>
      <c r="J53" s="89"/>
      <c r="K53" s="33"/>
    </row>
    <row r="54" spans="1:12" x14ac:dyDescent="0.25">
      <c r="A54" s="276"/>
      <c r="B54" s="281"/>
      <c r="C54" s="279"/>
      <c r="D54" s="281"/>
      <c r="E54" s="281"/>
      <c r="F54" s="288" t="s">
        <v>3657</v>
      </c>
      <c r="G54" s="354" t="s">
        <v>4186</v>
      </c>
      <c r="H54" s="272" t="s">
        <v>505</v>
      </c>
      <c r="I54" s="354" t="s">
        <v>4189</v>
      </c>
      <c r="J54" s="26"/>
      <c r="K54" s="33"/>
    </row>
    <row r="55" spans="1:12" x14ac:dyDescent="0.25">
      <c r="A55" s="276"/>
      <c r="B55" s="281"/>
      <c r="C55" s="279"/>
      <c r="D55" s="281"/>
      <c r="E55" s="281"/>
      <c r="F55" s="288"/>
      <c r="G55" s="272"/>
      <c r="H55" s="272"/>
      <c r="I55" s="272"/>
      <c r="J55" s="26"/>
      <c r="K55" s="33"/>
    </row>
    <row r="56" spans="1:12" x14ac:dyDescent="0.25">
      <c r="A56" s="276"/>
      <c r="B56" s="281"/>
      <c r="C56" s="279"/>
      <c r="D56" s="281"/>
      <c r="E56" s="281"/>
      <c r="F56" s="273"/>
      <c r="G56" s="273"/>
      <c r="H56" s="273"/>
      <c r="I56" s="273"/>
      <c r="J56" s="89"/>
      <c r="K56" s="33"/>
    </row>
    <row r="57" spans="1:12" x14ac:dyDescent="0.25">
      <c r="A57" s="276"/>
      <c r="B57" s="281"/>
      <c r="C57" s="279"/>
      <c r="D57" s="281"/>
      <c r="E57" s="281"/>
      <c r="F57" s="288" t="s">
        <v>3658</v>
      </c>
      <c r="G57" s="354" t="s">
        <v>4187</v>
      </c>
      <c r="H57" s="272" t="s">
        <v>515</v>
      </c>
      <c r="I57" s="354" t="s">
        <v>4192</v>
      </c>
      <c r="J57" s="26"/>
      <c r="K57" s="33"/>
    </row>
    <row r="58" spans="1:12" x14ac:dyDescent="0.25">
      <c r="A58" s="276"/>
      <c r="B58" s="281"/>
      <c r="C58" s="279"/>
      <c r="D58" s="281"/>
      <c r="E58" s="281"/>
      <c r="F58" s="288"/>
      <c r="G58" s="272"/>
      <c r="H58" s="272"/>
      <c r="I58" s="272"/>
      <c r="J58" s="26"/>
      <c r="K58" s="33"/>
    </row>
    <row r="59" spans="1:12" x14ac:dyDescent="0.25">
      <c r="A59" s="276"/>
      <c r="B59" s="281"/>
      <c r="C59" s="279"/>
      <c r="D59" s="281"/>
      <c r="E59" s="281"/>
      <c r="F59" s="273"/>
      <c r="G59" s="273"/>
      <c r="H59" s="273"/>
      <c r="I59" s="273"/>
      <c r="J59" s="89"/>
      <c r="K59" s="33"/>
    </row>
    <row r="60" spans="1:12" ht="15" customHeight="1" x14ac:dyDescent="0.25">
      <c r="A60" s="276"/>
      <c r="B60" s="281"/>
      <c r="C60" s="279"/>
      <c r="D60" s="281"/>
      <c r="E60" s="281"/>
      <c r="F60" s="288" t="s">
        <v>3659</v>
      </c>
      <c r="G60" s="354" t="s">
        <v>4188</v>
      </c>
      <c r="H60" s="272" t="s">
        <v>515</v>
      </c>
      <c r="I60" s="354" t="s">
        <v>4193</v>
      </c>
      <c r="J60" s="26"/>
      <c r="K60" s="33"/>
    </row>
    <row r="61" spans="1:12" ht="15" customHeight="1" x14ac:dyDescent="0.25">
      <c r="A61" s="276"/>
      <c r="B61" s="281"/>
      <c r="C61" s="279"/>
      <c r="D61" s="281"/>
      <c r="E61" s="281"/>
      <c r="F61" s="288"/>
      <c r="G61" s="272"/>
      <c r="H61" s="272"/>
      <c r="I61" s="272"/>
      <c r="J61" s="26"/>
      <c r="K61" s="33"/>
    </row>
    <row r="62" spans="1:12" x14ac:dyDescent="0.25">
      <c r="A62" s="276"/>
      <c r="B62" s="281"/>
      <c r="C62" s="279"/>
      <c r="D62" s="281"/>
      <c r="E62" s="281"/>
      <c r="F62" s="273"/>
      <c r="G62" s="273"/>
      <c r="H62" s="273"/>
      <c r="I62" s="273"/>
      <c r="J62" s="89"/>
      <c r="K62" s="33"/>
    </row>
    <row r="63" spans="1:12" ht="53.65" customHeight="1" x14ac:dyDescent="0.25">
      <c r="A63" s="276"/>
      <c r="B63" s="282" t="s">
        <v>3660</v>
      </c>
      <c r="C63" s="384" t="s">
        <v>4216</v>
      </c>
      <c r="D63" s="365" t="s">
        <v>4194</v>
      </c>
      <c r="E63" s="282"/>
      <c r="F63" s="288" t="s">
        <v>3661</v>
      </c>
      <c r="G63" s="354" t="s">
        <v>4195</v>
      </c>
      <c r="H63" s="272" t="s">
        <v>515</v>
      </c>
      <c r="I63" s="354" t="s">
        <v>4196</v>
      </c>
      <c r="J63" s="26"/>
      <c r="K63" s="33"/>
      <c r="L63" s="165" t="s">
        <v>4199</v>
      </c>
    </row>
    <row r="64" spans="1:12" ht="53.65" customHeight="1" x14ac:dyDescent="0.25">
      <c r="A64" s="276"/>
      <c r="B64" s="283"/>
      <c r="C64" s="280"/>
      <c r="D64" s="283"/>
      <c r="E64" s="283"/>
      <c r="F64" s="288"/>
      <c r="G64" s="272"/>
      <c r="H64" s="272"/>
      <c r="I64" s="272"/>
      <c r="J64" s="26"/>
      <c r="K64" s="33"/>
      <c r="L64" s="165" t="s">
        <v>4199</v>
      </c>
    </row>
    <row r="65" spans="1:12" ht="53.65" customHeight="1" x14ac:dyDescent="0.2">
      <c r="A65" s="276"/>
      <c r="B65" s="284"/>
      <c r="C65" s="281"/>
      <c r="D65" s="284"/>
      <c r="E65" s="284"/>
      <c r="F65" s="273"/>
      <c r="G65" s="273"/>
      <c r="H65" s="273"/>
      <c r="I65" s="273"/>
      <c r="J65" s="89"/>
      <c r="K65" s="34"/>
      <c r="L65" s="165" t="s">
        <v>4199</v>
      </c>
    </row>
    <row r="66" spans="1:12" ht="30" x14ac:dyDescent="0.2">
      <c r="A66" s="276"/>
      <c r="B66" s="285"/>
      <c r="C66" s="281"/>
      <c r="D66" s="285"/>
      <c r="E66" s="285"/>
      <c r="F66" s="288" t="s">
        <v>3662</v>
      </c>
      <c r="G66" s="354" t="s">
        <v>4198</v>
      </c>
      <c r="H66" s="272" t="s">
        <v>515</v>
      </c>
      <c r="I66" s="354" t="s">
        <v>4197</v>
      </c>
      <c r="J66" s="26"/>
      <c r="K66" s="34"/>
      <c r="L66" s="165" t="s">
        <v>4199</v>
      </c>
    </row>
    <row r="67" spans="1:12" ht="30" x14ac:dyDescent="0.2">
      <c r="A67" s="276"/>
      <c r="B67" s="285"/>
      <c r="C67" s="281"/>
      <c r="D67" s="285"/>
      <c r="E67" s="285"/>
      <c r="F67" s="288"/>
      <c r="G67" s="272"/>
      <c r="H67" s="272"/>
      <c r="I67" s="272"/>
      <c r="J67" s="26"/>
      <c r="K67" s="34"/>
      <c r="L67" s="165" t="s">
        <v>4199</v>
      </c>
    </row>
    <row r="68" spans="1:12" ht="30" x14ac:dyDescent="0.2">
      <c r="A68" s="276"/>
      <c r="B68" s="285"/>
      <c r="C68" s="281"/>
      <c r="D68" s="285"/>
      <c r="E68" s="285"/>
      <c r="F68" s="273"/>
      <c r="G68" s="273"/>
      <c r="H68" s="273"/>
      <c r="I68" s="273"/>
      <c r="J68" s="89"/>
      <c r="K68" s="34"/>
      <c r="L68" s="165" t="s">
        <v>4199</v>
      </c>
    </row>
    <row r="69" spans="1:12" ht="16.350000000000001" customHeight="1" x14ac:dyDescent="0.2">
      <c r="A69" s="276"/>
      <c r="B69" s="285"/>
      <c r="C69" s="281"/>
      <c r="D69" s="285"/>
      <c r="E69" s="285"/>
      <c r="F69" s="288" t="s">
        <v>3663</v>
      </c>
      <c r="G69" s="272" t="s">
        <v>3595</v>
      </c>
      <c r="H69" s="272" t="s">
        <v>505</v>
      </c>
      <c r="I69" s="354" t="s">
        <v>4211</v>
      </c>
      <c r="J69" s="26"/>
      <c r="K69" s="34"/>
      <c r="L69" s="165" t="s">
        <v>3114</v>
      </c>
    </row>
    <row r="70" spans="1:12" ht="16.350000000000001" customHeight="1" x14ac:dyDescent="0.2">
      <c r="A70" s="276"/>
      <c r="B70" s="285"/>
      <c r="C70" s="281"/>
      <c r="D70" s="285"/>
      <c r="E70" s="285"/>
      <c r="F70" s="288"/>
      <c r="G70" s="272"/>
      <c r="H70" s="272"/>
      <c r="I70" s="272"/>
      <c r="J70" s="26"/>
      <c r="K70" s="34"/>
    </row>
    <row r="71" spans="1:12" ht="40.5" customHeight="1" x14ac:dyDescent="0.2">
      <c r="A71" s="276"/>
      <c r="B71" s="285"/>
      <c r="C71" s="281"/>
      <c r="D71" s="285"/>
      <c r="E71" s="285"/>
      <c r="F71" s="273"/>
      <c r="G71" s="273"/>
      <c r="H71" s="273"/>
      <c r="I71" s="273"/>
      <c r="J71" s="89"/>
      <c r="K71" s="34"/>
      <c r="L71" s="165" t="s">
        <v>4199</v>
      </c>
    </row>
    <row r="72" spans="1:12" ht="42" customHeight="1" x14ac:dyDescent="0.2">
      <c r="A72" s="276"/>
      <c r="B72" s="285"/>
      <c r="C72" s="281"/>
      <c r="D72" s="285"/>
      <c r="E72" s="285"/>
      <c r="F72" s="288" t="s">
        <v>3664</v>
      </c>
      <c r="G72" s="354" t="s">
        <v>4200</v>
      </c>
      <c r="H72" s="272" t="s">
        <v>515</v>
      </c>
      <c r="I72" s="169" t="s">
        <v>4201</v>
      </c>
      <c r="J72" s="26"/>
      <c r="K72" s="34"/>
      <c r="L72" s="165" t="s">
        <v>4199</v>
      </c>
    </row>
    <row r="73" spans="1:12" ht="45.75" customHeight="1" x14ac:dyDescent="0.2">
      <c r="A73" s="276"/>
      <c r="B73" s="285"/>
      <c r="C73" s="281"/>
      <c r="D73" s="285"/>
      <c r="E73" s="285"/>
      <c r="F73" s="288"/>
      <c r="G73" s="272"/>
      <c r="H73" s="272"/>
      <c r="I73" s="169" t="s">
        <v>4202</v>
      </c>
      <c r="J73" s="26"/>
      <c r="K73" s="34"/>
      <c r="L73" s="165" t="s">
        <v>4199</v>
      </c>
    </row>
    <row r="74" spans="1:12" ht="48" x14ac:dyDescent="0.2">
      <c r="A74" s="276"/>
      <c r="B74" s="285"/>
      <c r="C74" s="281"/>
      <c r="D74" s="285"/>
      <c r="E74" s="285"/>
      <c r="F74" s="273"/>
      <c r="G74" s="273"/>
      <c r="H74" s="273"/>
      <c r="I74" s="169" t="s">
        <v>4203</v>
      </c>
      <c r="J74" s="89"/>
      <c r="K74" s="100"/>
      <c r="L74" s="165" t="s">
        <v>4199</v>
      </c>
    </row>
    <row r="75" spans="1:12" ht="16.350000000000001" customHeight="1" x14ac:dyDescent="0.2">
      <c r="A75" s="276"/>
      <c r="B75" s="285"/>
      <c r="C75" s="281"/>
      <c r="D75" s="285"/>
      <c r="E75" s="285"/>
      <c r="F75" s="288" t="s">
        <v>3665</v>
      </c>
      <c r="G75" s="340" t="s">
        <v>3596</v>
      </c>
      <c r="H75" s="340"/>
      <c r="I75" s="340" t="s">
        <v>4204</v>
      </c>
      <c r="J75" s="26"/>
      <c r="K75" s="100"/>
      <c r="L75" s="165"/>
    </row>
    <row r="76" spans="1:12" ht="16.350000000000001" customHeight="1" x14ac:dyDescent="0.2">
      <c r="A76" s="276"/>
      <c r="B76" s="285"/>
      <c r="C76" s="281"/>
      <c r="D76" s="285"/>
      <c r="E76" s="285"/>
      <c r="F76" s="288"/>
      <c r="G76" s="340"/>
      <c r="H76" s="340"/>
      <c r="I76" s="340"/>
      <c r="J76" s="26"/>
      <c r="K76" s="100"/>
      <c r="L76" s="165" t="s">
        <v>3114</v>
      </c>
    </row>
    <row r="77" spans="1:12" x14ac:dyDescent="0.2">
      <c r="A77" s="276"/>
      <c r="B77" s="285"/>
      <c r="C77" s="281"/>
      <c r="D77" s="285"/>
      <c r="E77" s="285"/>
      <c r="F77" s="273"/>
      <c r="G77" s="340"/>
      <c r="H77" s="340"/>
      <c r="I77" s="340"/>
      <c r="J77" s="89"/>
      <c r="K77" s="37"/>
      <c r="L77" s="165" t="s">
        <v>3114</v>
      </c>
    </row>
    <row r="78" spans="1:12" ht="16.350000000000001" customHeight="1" x14ac:dyDescent="0.2">
      <c r="A78" s="276"/>
      <c r="B78" s="285"/>
      <c r="C78" s="281"/>
      <c r="D78" s="285"/>
      <c r="E78" s="285"/>
      <c r="F78" s="288" t="s">
        <v>3666</v>
      </c>
      <c r="G78" s="272"/>
      <c r="H78" s="272"/>
      <c r="I78" s="272"/>
      <c r="J78" s="26"/>
      <c r="K78" s="34"/>
    </row>
    <row r="79" spans="1:12" ht="16.350000000000001" customHeight="1" x14ac:dyDescent="0.2">
      <c r="A79" s="276"/>
      <c r="B79" s="285"/>
      <c r="C79" s="281"/>
      <c r="D79" s="285"/>
      <c r="E79" s="285"/>
      <c r="F79" s="288"/>
      <c r="G79" s="272"/>
      <c r="H79" s="272"/>
      <c r="I79" s="272"/>
      <c r="J79" s="26"/>
      <c r="K79" s="34"/>
    </row>
    <row r="80" spans="1:12" x14ac:dyDescent="0.2">
      <c r="A80" s="276"/>
      <c r="B80" s="285"/>
      <c r="C80" s="281"/>
      <c r="D80" s="285"/>
      <c r="E80" s="285"/>
      <c r="F80" s="273"/>
      <c r="G80" s="273"/>
      <c r="H80" s="273"/>
      <c r="I80" s="273"/>
      <c r="J80" s="89"/>
      <c r="K80" s="100"/>
    </row>
    <row r="81" spans="1:12" ht="14.25" customHeight="1" x14ac:dyDescent="0.25">
      <c r="A81" s="276"/>
      <c r="B81" s="282" t="s">
        <v>3667</v>
      </c>
      <c r="C81" s="365" t="s">
        <v>3594</v>
      </c>
      <c r="D81" s="365" t="s">
        <v>4205</v>
      </c>
      <c r="E81" s="282"/>
      <c r="F81" s="288" t="s">
        <v>3668</v>
      </c>
      <c r="G81" s="354" t="s">
        <v>3710</v>
      </c>
      <c r="H81" s="272" t="s">
        <v>515</v>
      </c>
      <c r="I81" s="576" t="s">
        <v>4206</v>
      </c>
      <c r="J81" s="26"/>
      <c r="K81" s="33"/>
      <c r="L81" s="165" t="s">
        <v>4207</v>
      </c>
    </row>
    <row r="82" spans="1:12" x14ac:dyDescent="0.25">
      <c r="A82" s="276"/>
      <c r="B82" s="283"/>
      <c r="C82" s="283"/>
      <c r="D82" s="283"/>
      <c r="E82" s="283"/>
      <c r="F82" s="288"/>
      <c r="G82" s="272"/>
      <c r="H82" s="272"/>
      <c r="I82" s="577"/>
      <c r="J82" s="26"/>
      <c r="K82" s="33"/>
    </row>
    <row r="83" spans="1:12" x14ac:dyDescent="0.2">
      <c r="A83" s="276"/>
      <c r="B83" s="284"/>
      <c r="C83" s="284"/>
      <c r="D83" s="284"/>
      <c r="E83" s="284"/>
      <c r="F83" s="273"/>
      <c r="G83" s="273"/>
      <c r="H83" s="273"/>
      <c r="I83" s="578"/>
      <c r="J83" s="89"/>
      <c r="K83" s="34"/>
    </row>
    <row r="84" spans="1:12" ht="15" customHeight="1" x14ac:dyDescent="0.2">
      <c r="A84" s="276"/>
      <c r="B84" s="285"/>
      <c r="C84" s="285"/>
      <c r="D84" s="285"/>
      <c r="E84" s="285"/>
      <c r="F84" s="288" t="s">
        <v>3669</v>
      </c>
      <c r="G84" s="354" t="s">
        <v>3711</v>
      </c>
      <c r="H84" s="272" t="s">
        <v>511</v>
      </c>
      <c r="I84" s="354" t="s">
        <v>4208</v>
      </c>
      <c r="J84" s="26"/>
      <c r="K84" s="34"/>
    </row>
    <row r="85" spans="1:12" x14ac:dyDescent="0.2">
      <c r="A85" s="276"/>
      <c r="B85" s="285"/>
      <c r="C85" s="285"/>
      <c r="D85" s="285"/>
      <c r="E85" s="285"/>
      <c r="F85" s="288"/>
      <c r="G85" s="272"/>
      <c r="H85" s="272"/>
      <c r="I85" s="272"/>
      <c r="J85" s="26"/>
      <c r="K85" s="34"/>
    </row>
    <row r="86" spans="1:12" x14ac:dyDescent="0.2">
      <c r="A86" s="276"/>
      <c r="B86" s="285"/>
      <c r="C86" s="285"/>
      <c r="D86" s="285"/>
      <c r="E86" s="285"/>
      <c r="F86" s="273"/>
      <c r="G86" s="273"/>
      <c r="H86" s="273"/>
      <c r="I86" s="273"/>
      <c r="J86" s="89"/>
      <c r="K86" s="34"/>
    </row>
    <row r="87" spans="1:12" ht="16.350000000000001" customHeight="1" x14ac:dyDescent="0.2">
      <c r="A87" s="276"/>
      <c r="B87" s="285"/>
      <c r="C87" s="285"/>
      <c r="D87" s="285"/>
      <c r="E87" s="285"/>
      <c r="F87" s="288" t="s">
        <v>3670</v>
      </c>
      <c r="G87" s="354" t="s">
        <v>3714</v>
      </c>
      <c r="H87" s="272" t="s">
        <v>505</v>
      </c>
      <c r="I87" s="354" t="s">
        <v>4209</v>
      </c>
      <c r="J87" s="26"/>
      <c r="K87" s="34"/>
    </row>
    <row r="88" spans="1:12" ht="16.350000000000001" customHeight="1" x14ac:dyDescent="0.2">
      <c r="A88" s="276"/>
      <c r="B88" s="285"/>
      <c r="C88" s="285"/>
      <c r="D88" s="285"/>
      <c r="E88" s="285"/>
      <c r="F88" s="288"/>
      <c r="G88" s="272"/>
      <c r="H88" s="272"/>
      <c r="I88" s="272"/>
      <c r="J88" s="26"/>
      <c r="K88" s="34"/>
    </row>
    <row r="89" spans="1:12" x14ac:dyDescent="0.2">
      <c r="A89" s="276"/>
      <c r="B89" s="285"/>
      <c r="C89" s="285"/>
      <c r="D89" s="285"/>
      <c r="E89" s="285"/>
      <c r="F89" s="273"/>
      <c r="G89" s="273"/>
      <c r="H89" s="273"/>
      <c r="I89" s="273"/>
      <c r="J89" s="89"/>
      <c r="K89" s="34"/>
    </row>
    <row r="90" spans="1:12" ht="16.350000000000001" customHeight="1" x14ac:dyDescent="0.2">
      <c r="A90" s="276"/>
      <c r="B90" s="285"/>
      <c r="C90" s="285"/>
      <c r="D90" s="285"/>
      <c r="E90" s="285"/>
      <c r="F90" s="288" t="s">
        <v>3671</v>
      </c>
      <c r="G90" s="354" t="s">
        <v>3712</v>
      </c>
      <c r="H90" s="272" t="s">
        <v>505</v>
      </c>
      <c r="I90" s="354" t="s">
        <v>4210</v>
      </c>
      <c r="J90" s="26"/>
      <c r="K90" s="34"/>
    </row>
    <row r="91" spans="1:12" ht="16.350000000000001" customHeight="1" x14ac:dyDescent="0.2">
      <c r="A91" s="276"/>
      <c r="B91" s="285"/>
      <c r="C91" s="285"/>
      <c r="D91" s="285"/>
      <c r="E91" s="285"/>
      <c r="F91" s="288"/>
      <c r="G91" s="272"/>
      <c r="H91" s="272"/>
      <c r="I91" s="272"/>
      <c r="J91" s="26"/>
      <c r="K91" s="34"/>
    </row>
    <row r="92" spans="1:12" x14ac:dyDescent="0.2">
      <c r="A92" s="276"/>
      <c r="B92" s="285"/>
      <c r="C92" s="285"/>
      <c r="D92" s="285"/>
      <c r="E92" s="285"/>
      <c r="F92" s="273"/>
      <c r="G92" s="273"/>
      <c r="H92" s="273"/>
      <c r="I92" s="273"/>
      <c r="J92" s="89"/>
      <c r="K92" s="100"/>
    </row>
    <row r="93" spans="1:12" ht="16.350000000000001" customHeight="1" x14ac:dyDescent="0.2">
      <c r="A93" s="276"/>
      <c r="B93" s="285"/>
      <c r="C93" s="285"/>
      <c r="D93" s="285"/>
      <c r="E93" s="285"/>
      <c r="F93" s="288" t="s">
        <v>3672</v>
      </c>
      <c r="G93" s="354" t="s">
        <v>3713</v>
      </c>
      <c r="H93" s="272" t="s">
        <v>505</v>
      </c>
      <c r="I93" s="354" t="s">
        <v>4210</v>
      </c>
      <c r="J93" s="26"/>
      <c r="K93" s="100"/>
    </row>
    <row r="94" spans="1:12" ht="16.350000000000001" customHeight="1" x14ac:dyDescent="0.2">
      <c r="A94" s="276"/>
      <c r="B94" s="285"/>
      <c r="C94" s="285"/>
      <c r="D94" s="285"/>
      <c r="E94" s="285"/>
      <c r="F94" s="288"/>
      <c r="G94" s="272"/>
      <c r="H94" s="272"/>
      <c r="I94" s="272"/>
      <c r="J94" s="26"/>
      <c r="K94" s="100"/>
    </row>
    <row r="95" spans="1:12" x14ac:dyDescent="0.2">
      <c r="A95" s="276"/>
      <c r="B95" s="285"/>
      <c r="C95" s="285"/>
      <c r="D95" s="285"/>
      <c r="E95" s="285"/>
      <c r="F95" s="273"/>
      <c r="G95" s="273"/>
      <c r="H95" s="273"/>
      <c r="I95" s="273"/>
      <c r="J95" s="89"/>
      <c r="K95" s="37"/>
    </row>
    <row r="96" spans="1:12" ht="16.350000000000001" customHeight="1" x14ac:dyDescent="0.2">
      <c r="A96" s="276"/>
      <c r="B96" s="285"/>
      <c r="C96" s="285"/>
      <c r="D96" s="285"/>
      <c r="E96" s="285"/>
      <c r="F96" s="288" t="s">
        <v>3673</v>
      </c>
      <c r="G96" s="272"/>
      <c r="H96" s="272"/>
      <c r="I96" s="272"/>
      <c r="J96" s="26"/>
      <c r="K96" s="34"/>
    </row>
    <row r="97" spans="1:11" ht="16.350000000000001" customHeight="1" x14ac:dyDescent="0.2">
      <c r="A97" s="276"/>
      <c r="B97" s="285"/>
      <c r="C97" s="285"/>
      <c r="D97" s="285"/>
      <c r="E97" s="285"/>
      <c r="F97" s="288"/>
      <c r="G97" s="272"/>
      <c r="H97" s="272"/>
      <c r="I97" s="272"/>
      <c r="J97" s="26"/>
      <c r="K97" s="34"/>
    </row>
    <row r="98" spans="1:11" x14ac:dyDescent="0.2">
      <c r="A98" s="276"/>
      <c r="B98" s="285"/>
      <c r="C98" s="285"/>
      <c r="D98" s="285"/>
      <c r="E98" s="285"/>
      <c r="F98" s="273"/>
      <c r="G98" s="273"/>
      <c r="H98" s="273"/>
      <c r="I98" s="273"/>
      <c r="J98" s="89"/>
      <c r="K98" s="100"/>
    </row>
    <row r="99" spans="1:11" x14ac:dyDescent="0.25">
      <c r="A99" s="276"/>
      <c r="B99" s="282" t="s">
        <v>861</v>
      </c>
      <c r="C99" s="282"/>
      <c r="D99" s="282"/>
      <c r="E99" s="282"/>
      <c r="F99" s="288" t="s">
        <v>3674</v>
      </c>
      <c r="G99" s="272"/>
      <c r="H99" s="272"/>
      <c r="I99" s="272"/>
      <c r="J99" s="26"/>
      <c r="K99" s="33"/>
    </row>
    <row r="100" spans="1:11" x14ac:dyDescent="0.25">
      <c r="A100" s="276"/>
      <c r="B100" s="283"/>
      <c r="C100" s="283"/>
      <c r="D100" s="283"/>
      <c r="E100" s="283"/>
      <c r="F100" s="288"/>
      <c r="G100" s="272"/>
      <c r="H100" s="272"/>
      <c r="I100" s="272"/>
      <c r="J100" s="26"/>
      <c r="K100" s="33"/>
    </row>
    <row r="101" spans="1:11" x14ac:dyDescent="0.2">
      <c r="A101" s="276"/>
      <c r="B101" s="284"/>
      <c r="C101" s="284"/>
      <c r="D101" s="284"/>
      <c r="E101" s="284"/>
      <c r="F101" s="273"/>
      <c r="G101" s="273"/>
      <c r="H101" s="273"/>
      <c r="I101" s="273"/>
      <c r="J101" s="89"/>
      <c r="K101" s="34"/>
    </row>
    <row r="102" spans="1:11" ht="15" customHeight="1" x14ac:dyDescent="0.2">
      <c r="A102" s="276"/>
      <c r="B102" s="285"/>
      <c r="C102" s="285"/>
      <c r="D102" s="285"/>
      <c r="E102" s="285"/>
      <c r="F102" s="288" t="s">
        <v>3675</v>
      </c>
      <c r="G102" s="272"/>
      <c r="H102" s="272"/>
      <c r="I102" s="272"/>
      <c r="J102" s="26"/>
      <c r="K102" s="34"/>
    </row>
    <row r="103" spans="1:1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34"/>
    </row>
    <row r="105" spans="1:11" ht="16.350000000000001" customHeight="1" x14ac:dyDescent="0.2">
      <c r="A105" s="276"/>
      <c r="B105" s="285"/>
      <c r="C105" s="285"/>
      <c r="D105" s="285"/>
      <c r="E105" s="285"/>
      <c r="F105" s="288" t="s">
        <v>3676</v>
      </c>
      <c r="G105" s="272"/>
      <c r="H105" s="272"/>
      <c r="I105" s="272"/>
      <c r="J105" s="26"/>
      <c r="K105" s="34"/>
    </row>
    <row r="106" spans="1:11" ht="16.350000000000001" customHeight="1" x14ac:dyDescent="0.2">
      <c r="A106" s="276"/>
      <c r="B106" s="285"/>
      <c r="C106" s="285"/>
      <c r="D106" s="285"/>
      <c r="E106" s="285"/>
      <c r="F106" s="288"/>
      <c r="G106" s="272"/>
      <c r="H106" s="272"/>
      <c r="I106" s="272"/>
      <c r="J106" s="26"/>
      <c r="K106" s="34"/>
    </row>
    <row r="107" spans="1:11" x14ac:dyDescent="0.2">
      <c r="A107" s="276"/>
      <c r="B107" s="285"/>
      <c r="C107" s="285"/>
      <c r="D107" s="285"/>
      <c r="E107" s="285"/>
      <c r="F107" s="273"/>
      <c r="G107" s="273"/>
      <c r="H107" s="273"/>
      <c r="I107" s="273"/>
      <c r="J107" s="89"/>
      <c r="K107" s="34"/>
    </row>
    <row r="108" spans="1:11" ht="16.350000000000001" customHeight="1" x14ac:dyDescent="0.2">
      <c r="A108" s="276"/>
      <c r="B108" s="285"/>
      <c r="C108" s="285"/>
      <c r="D108" s="285"/>
      <c r="E108" s="285"/>
      <c r="F108" s="288" t="s">
        <v>3677</v>
      </c>
      <c r="G108" s="272"/>
      <c r="H108" s="272"/>
      <c r="I108" s="272"/>
      <c r="J108" s="26"/>
      <c r="K108" s="34"/>
    </row>
    <row r="109" spans="1:11" ht="16.350000000000001" customHeight="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ht="16.350000000000001" customHeight="1" x14ac:dyDescent="0.2">
      <c r="A111" s="276"/>
      <c r="B111" s="285"/>
      <c r="C111" s="285"/>
      <c r="D111" s="285"/>
      <c r="E111" s="285"/>
      <c r="F111" s="288" t="s">
        <v>3678</v>
      </c>
      <c r="G111" s="272"/>
      <c r="H111" s="272"/>
      <c r="I111" s="272"/>
      <c r="J111" s="26"/>
      <c r="K111" s="100"/>
    </row>
    <row r="112" spans="1:11" ht="16.350000000000001" customHeight="1" x14ac:dyDescent="0.2">
      <c r="A112" s="276"/>
      <c r="B112" s="285"/>
      <c r="C112" s="285"/>
      <c r="D112" s="285"/>
      <c r="E112" s="285"/>
      <c r="F112" s="288"/>
      <c r="G112" s="272"/>
      <c r="H112" s="272"/>
      <c r="I112" s="272"/>
      <c r="J112" s="26"/>
      <c r="K112" s="100"/>
    </row>
    <row r="113" spans="1:11" x14ac:dyDescent="0.2">
      <c r="A113" s="276"/>
      <c r="B113" s="285"/>
      <c r="C113" s="285"/>
      <c r="D113" s="285"/>
      <c r="E113" s="285"/>
      <c r="F113" s="273"/>
      <c r="G113" s="273"/>
      <c r="H113" s="273"/>
      <c r="I113" s="273"/>
      <c r="J113" s="89"/>
      <c r="K113" s="37"/>
    </row>
    <row r="114" spans="1:11" ht="16.350000000000001" customHeight="1" x14ac:dyDescent="0.2">
      <c r="A114" s="276"/>
      <c r="B114" s="285"/>
      <c r="C114" s="285"/>
      <c r="D114" s="285"/>
      <c r="E114" s="285"/>
      <c r="F114" s="288" t="s">
        <v>3679</v>
      </c>
      <c r="G114" s="272"/>
      <c r="H114" s="272"/>
      <c r="I114" s="272"/>
      <c r="J114" s="26"/>
      <c r="K114" s="34"/>
    </row>
    <row r="115" spans="1:11" ht="16.350000000000001" customHeight="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100"/>
    </row>
    <row r="117" spans="1:11" x14ac:dyDescent="0.25">
      <c r="A117" s="276"/>
      <c r="B117" s="282" t="s">
        <v>3680</v>
      </c>
      <c r="C117" s="282"/>
      <c r="D117" s="282"/>
      <c r="E117" s="282"/>
      <c r="F117" s="288" t="s">
        <v>3681</v>
      </c>
      <c r="G117" s="272"/>
      <c r="H117" s="272"/>
      <c r="I117" s="272"/>
      <c r="J117" s="26"/>
      <c r="K117" s="33"/>
    </row>
    <row r="118" spans="1:11" x14ac:dyDescent="0.25">
      <c r="A118" s="276"/>
      <c r="B118" s="283"/>
      <c r="C118" s="283"/>
      <c r="D118" s="283"/>
      <c r="E118" s="283"/>
      <c r="F118" s="288"/>
      <c r="G118" s="272"/>
      <c r="H118" s="272"/>
      <c r="I118" s="272"/>
      <c r="J118" s="26"/>
      <c r="K118" s="33"/>
    </row>
    <row r="119" spans="1:11" x14ac:dyDescent="0.2">
      <c r="A119" s="276"/>
      <c r="B119" s="284"/>
      <c r="C119" s="284"/>
      <c r="D119" s="284"/>
      <c r="E119" s="284"/>
      <c r="F119" s="273"/>
      <c r="G119" s="273"/>
      <c r="H119" s="273"/>
      <c r="I119" s="273"/>
      <c r="J119" s="89"/>
      <c r="K119" s="34"/>
    </row>
    <row r="120" spans="1:11" ht="15" customHeight="1" x14ac:dyDescent="0.2">
      <c r="A120" s="276"/>
      <c r="B120" s="285"/>
      <c r="C120" s="285"/>
      <c r="D120" s="285"/>
      <c r="E120" s="285"/>
      <c r="F120" s="288" t="s">
        <v>3682</v>
      </c>
      <c r="G120" s="272"/>
      <c r="H120" s="272"/>
      <c r="I120" s="272"/>
      <c r="J120" s="26"/>
      <c r="K120" s="34"/>
    </row>
    <row r="121" spans="1:1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34"/>
    </row>
    <row r="123" spans="1:11" ht="16.350000000000001" customHeight="1" x14ac:dyDescent="0.2">
      <c r="A123" s="276"/>
      <c r="B123" s="285"/>
      <c r="C123" s="285"/>
      <c r="D123" s="285"/>
      <c r="E123" s="285"/>
      <c r="F123" s="288" t="s">
        <v>3683</v>
      </c>
      <c r="G123" s="272"/>
      <c r="H123" s="272"/>
      <c r="I123" s="272"/>
      <c r="J123" s="26"/>
      <c r="K123" s="34"/>
    </row>
    <row r="124" spans="1:11" ht="16.350000000000001" customHeight="1" x14ac:dyDescent="0.2">
      <c r="A124" s="276"/>
      <c r="B124" s="285"/>
      <c r="C124" s="285"/>
      <c r="D124" s="285"/>
      <c r="E124" s="285"/>
      <c r="F124" s="288"/>
      <c r="G124" s="272"/>
      <c r="H124" s="272"/>
      <c r="I124" s="272"/>
      <c r="J124" s="26"/>
      <c r="K124" s="34"/>
    </row>
    <row r="125" spans="1:11" x14ac:dyDescent="0.2">
      <c r="A125" s="276"/>
      <c r="B125" s="285"/>
      <c r="C125" s="285"/>
      <c r="D125" s="285"/>
      <c r="E125" s="285"/>
      <c r="F125" s="273"/>
      <c r="G125" s="273"/>
      <c r="H125" s="273"/>
      <c r="I125" s="273"/>
      <c r="J125" s="89"/>
      <c r="K125" s="34"/>
    </row>
    <row r="126" spans="1:11" ht="16.350000000000001" customHeight="1" x14ac:dyDescent="0.2">
      <c r="A126" s="276"/>
      <c r="B126" s="285"/>
      <c r="C126" s="285"/>
      <c r="D126" s="285"/>
      <c r="E126" s="285"/>
      <c r="F126" s="288" t="s">
        <v>3684</v>
      </c>
      <c r="G126" s="272"/>
      <c r="H126" s="272"/>
      <c r="I126" s="272"/>
      <c r="J126" s="26"/>
      <c r="K126" s="34"/>
    </row>
    <row r="127" spans="1:11" ht="16.350000000000001" customHeight="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ht="16.350000000000001" customHeight="1" x14ac:dyDescent="0.2">
      <c r="A129" s="276"/>
      <c r="B129" s="285"/>
      <c r="C129" s="285"/>
      <c r="D129" s="285"/>
      <c r="E129" s="285"/>
      <c r="F129" s="288" t="s">
        <v>3685</v>
      </c>
      <c r="G129" s="272"/>
      <c r="H129" s="272"/>
      <c r="I129" s="272"/>
      <c r="J129" s="26"/>
      <c r="K129" s="100"/>
    </row>
    <row r="130" spans="1:11" ht="16.350000000000001" customHeight="1" x14ac:dyDescent="0.2">
      <c r="A130" s="276"/>
      <c r="B130" s="285"/>
      <c r="C130" s="285"/>
      <c r="D130" s="285"/>
      <c r="E130" s="285"/>
      <c r="F130" s="288"/>
      <c r="G130" s="272"/>
      <c r="H130" s="272"/>
      <c r="I130" s="272"/>
      <c r="J130" s="26"/>
      <c r="K130" s="100"/>
    </row>
    <row r="131" spans="1:11" x14ac:dyDescent="0.2">
      <c r="A131" s="276"/>
      <c r="B131" s="285"/>
      <c r="C131" s="285"/>
      <c r="D131" s="285"/>
      <c r="E131" s="285"/>
      <c r="F131" s="273"/>
      <c r="G131" s="273"/>
      <c r="H131" s="273"/>
      <c r="I131" s="273"/>
      <c r="J131" s="89"/>
      <c r="K131" s="37"/>
    </row>
    <row r="132" spans="1:11" ht="16.350000000000001" customHeight="1" x14ac:dyDescent="0.2">
      <c r="A132" s="276"/>
      <c r="B132" s="285"/>
      <c r="C132" s="285"/>
      <c r="D132" s="285"/>
      <c r="E132" s="285"/>
      <c r="F132" s="288" t="s">
        <v>3686</v>
      </c>
      <c r="G132" s="272"/>
      <c r="H132" s="272"/>
      <c r="I132" s="272"/>
      <c r="J132" s="26"/>
      <c r="K132" s="34"/>
    </row>
    <row r="133" spans="1:11" ht="16.350000000000001" customHeight="1" x14ac:dyDescent="0.2">
      <c r="A133" s="276"/>
      <c r="B133" s="285"/>
      <c r="C133" s="285"/>
      <c r="D133" s="285"/>
      <c r="E133" s="285"/>
      <c r="F133" s="288"/>
      <c r="G133" s="272"/>
      <c r="H133" s="272"/>
      <c r="I133" s="272"/>
      <c r="J133" s="26"/>
      <c r="K133" s="34"/>
    </row>
    <row r="134" spans="1:11" x14ac:dyDescent="0.2">
      <c r="A134" s="276"/>
      <c r="B134" s="285"/>
      <c r="C134" s="285"/>
      <c r="D134" s="285"/>
      <c r="E134" s="285"/>
      <c r="F134" s="273"/>
      <c r="G134" s="273"/>
      <c r="H134" s="273"/>
      <c r="I134" s="273"/>
      <c r="J134" s="89"/>
      <c r="K134" s="100"/>
    </row>
    <row r="135" spans="1:11" x14ac:dyDescent="0.2">
      <c r="A135" s="276"/>
      <c r="B135" s="275" t="s">
        <v>3687</v>
      </c>
      <c r="C135" s="286"/>
      <c r="D135" s="286"/>
      <c r="E135" s="286"/>
      <c r="F135" s="288" t="s">
        <v>3688</v>
      </c>
      <c r="G135" s="272"/>
      <c r="H135" s="272"/>
      <c r="I135" s="272"/>
      <c r="J135" s="26"/>
      <c r="K135" s="37"/>
    </row>
    <row r="136" spans="1:11" x14ac:dyDescent="0.2">
      <c r="A136" s="276"/>
      <c r="B136" s="287"/>
      <c r="C136" s="287"/>
      <c r="D136" s="287"/>
      <c r="E136" s="287"/>
      <c r="F136" s="274"/>
      <c r="G136" s="274"/>
      <c r="H136" s="272"/>
      <c r="I136" s="274"/>
      <c r="J136" s="91"/>
      <c r="K136" s="37"/>
    </row>
    <row r="137" spans="1:11" x14ac:dyDescent="0.2">
      <c r="A137" s="276"/>
      <c r="B137" s="276"/>
      <c r="C137" s="276"/>
      <c r="D137" s="276"/>
      <c r="E137" s="276"/>
      <c r="F137" s="273"/>
      <c r="G137" s="273"/>
      <c r="H137" s="273"/>
      <c r="I137" s="273"/>
      <c r="J137" s="89"/>
      <c r="K137" s="37"/>
    </row>
    <row r="138" spans="1:11" ht="15" customHeight="1" x14ac:dyDescent="0.2">
      <c r="A138" s="276"/>
      <c r="B138" s="276"/>
      <c r="C138" s="276"/>
      <c r="D138" s="276"/>
      <c r="E138" s="276"/>
      <c r="F138" s="288" t="s">
        <v>3689</v>
      </c>
      <c r="G138" s="272"/>
      <c r="H138" s="272"/>
      <c r="I138" s="272"/>
      <c r="J138" s="26"/>
      <c r="K138" s="7"/>
    </row>
    <row r="139" spans="1:11" x14ac:dyDescent="0.2">
      <c r="A139" s="276"/>
      <c r="B139" s="276"/>
      <c r="C139" s="276"/>
      <c r="D139" s="276"/>
      <c r="E139" s="276"/>
      <c r="F139" s="274"/>
      <c r="G139" s="274"/>
      <c r="H139" s="272"/>
      <c r="I139" s="274"/>
      <c r="J139" s="91"/>
      <c r="K139" s="7"/>
    </row>
    <row r="140" spans="1:11" x14ac:dyDescent="0.2">
      <c r="A140" s="276"/>
      <c r="B140" s="276"/>
      <c r="C140" s="276"/>
      <c r="D140" s="276"/>
      <c r="E140" s="276"/>
      <c r="F140" s="273"/>
      <c r="G140" s="273"/>
      <c r="H140" s="273"/>
      <c r="I140" s="273"/>
      <c r="J140" s="89"/>
      <c r="K140" s="7"/>
    </row>
    <row r="141" spans="1:11" ht="16.350000000000001" customHeight="1" x14ac:dyDescent="0.2">
      <c r="A141" s="276"/>
      <c r="B141" s="276"/>
      <c r="C141" s="276"/>
      <c r="D141" s="276"/>
      <c r="E141" s="276"/>
      <c r="F141" s="288" t="s">
        <v>3690</v>
      </c>
      <c r="G141" s="272"/>
      <c r="H141" s="272"/>
      <c r="I141" s="272"/>
      <c r="J141" s="26"/>
      <c r="K141" s="7"/>
    </row>
    <row r="142" spans="1:11" x14ac:dyDescent="0.2">
      <c r="A142" s="276"/>
      <c r="B142" s="276"/>
      <c r="C142" s="276"/>
      <c r="D142" s="276"/>
      <c r="E142" s="276"/>
      <c r="F142" s="274"/>
      <c r="G142" s="274"/>
      <c r="H142" s="272"/>
      <c r="I142" s="274"/>
      <c r="J142" s="91"/>
      <c r="K142" s="7"/>
    </row>
    <row r="143" spans="1:11" x14ac:dyDescent="0.2">
      <c r="A143" s="276"/>
      <c r="B143" s="276"/>
      <c r="C143" s="276"/>
      <c r="D143" s="276"/>
      <c r="E143" s="276"/>
      <c r="F143" s="273"/>
      <c r="G143" s="273"/>
      <c r="H143" s="273"/>
      <c r="I143" s="273"/>
      <c r="J143" s="89"/>
      <c r="K143" s="7"/>
    </row>
    <row r="144" spans="1:11" ht="16.350000000000001" customHeight="1" x14ac:dyDescent="0.2">
      <c r="A144" s="276"/>
      <c r="B144" s="276"/>
      <c r="C144" s="276"/>
      <c r="D144" s="276"/>
      <c r="E144" s="276"/>
      <c r="F144" s="288" t="s">
        <v>3691</v>
      </c>
      <c r="G144" s="272"/>
      <c r="H144" s="272"/>
      <c r="I144" s="272"/>
      <c r="J144" s="26"/>
      <c r="K144" s="6"/>
    </row>
    <row r="145" spans="1:11" x14ac:dyDescent="0.2">
      <c r="A145" s="276"/>
      <c r="B145" s="276"/>
      <c r="C145" s="276"/>
      <c r="D145" s="276"/>
      <c r="E145" s="276"/>
      <c r="F145" s="274"/>
      <c r="G145" s="274"/>
      <c r="H145" s="272"/>
      <c r="I145" s="274"/>
      <c r="J145" s="91"/>
      <c r="K145" s="7"/>
    </row>
    <row r="146" spans="1:11" x14ac:dyDescent="0.2">
      <c r="A146" s="276"/>
      <c r="B146" s="276"/>
      <c r="C146" s="276"/>
      <c r="D146" s="276"/>
      <c r="E146" s="276"/>
      <c r="F146" s="273"/>
      <c r="G146" s="273"/>
      <c r="H146" s="273"/>
      <c r="I146" s="273"/>
      <c r="J146" s="89"/>
      <c r="K146" s="7"/>
    </row>
    <row r="147" spans="1:11" ht="16.350000000000001" customHeight="1" x14ac:dyDescent="0.2">
      <c r="A147" s="276"/>
      <c r="B147" s="276"/>
      <c r="C147" s="276"/>
      <c r="D147" s="276"/>
      <c r="E147" s="276"/>
      <c r="F147" s="288" t="s">
        <v>3692</v>
      </c>
      <c r="G147" s="272"/>
      <c r="H147" s="272"/>
      <c r="I147" s="272"/>
      <c r="J147" s="26"/>
      <c r="K147" s="6"/>
    </row>
    <row r="148" spans="1:11" x14ac:dyDescent="0.2">
      <c r="A148" s="276"/>
      <c r="B148" s="276"/>
      <c r="C148" s="276"/>
      <c r="D148" s="276"/>
      <c r="E148" s="276"/>
      <c r="F148" s="274"/>
      <c r="G148" s="274"/>
      <c r="H148" s="272"/>
      <c r="I148" s="274"/>
      <c r="J148" s="91"/>
      <c r="K148" s="7"/>
    </row>
    <row r="149" spans="1:11" x14ac:dyDescent="0.2">
      <c r="A149" s="276"/>
      <c r="B149" s="276"/>
      <c r="C149" s="276"/>
      <c r="D149" s="276"/>
      <c r="E149" s="276"/>
      <c r="F149" s="273"/>
      <c r="G149" s="273"/>
      <c r="H149" s="273"/>
      <c r="I149" s="273"/>
      <c r="J149" s="89"/>
      <c r="K149" s="7"/>
    </row>
    <row r="150" spans="1:11" ht="16.350000000000001" customHeight="1" x14ac:dyDescent="0.2">
      <c r="A150" s="276"/>
      <c r="B150" s="276"/>
      <c r="C150" s="276"/>
      <c r="D150" s="276"/>
      <c r="E150" s="276"/>
      <c r="F150" s="288" t="s">
        <v>3693</v>
      </c>
      <c r="G150" s="272"/>
      <c r="H150" s="272"/>
      <c r="I150" s="272"/>
      <c r="J150" s="26"/>
      <c r="K150" s="6"/>
    </row>
    <row r="151" spans="1:11" x14ac:dyDescent="0.2">
      <c r="A151" s="276"/>
      <c r="B151" s="276"/>
      <c r="C151" s="276"/>
      <c r="D151" s="276"/>
      <c r="E151" s="276"/>
      <c r="F151" s="274"/>
      <c r="G151" s="274"/>
      <c r="H151" s="272"/>
      <c r="I151" s="274"/>
      <c r="J151" s="91"/>
      <c r="K151" s="7"/>
    </row>
    <row r="152" spans="1:11" x14ac:dyDescent="0.2">
      <c r="A152" s="276"/>
      <c r="B152" s="276"/>
      <c r="C152" s="276"/>
      <c r="D152" s="276"/>
      <c r="E152" s="276"/>
      <c r="F152" s="273"/>
      <c r="G152" s="273"/>
      <c r="H152" s="273"/>
      <c r="I152" s="273"/>
      <c r="J152" s="89"/>
      <c r="K152" s="7"/>
    </row>
    <row r="160" spans="1:11" x14ac:dyDescent="0.2">
      <c r="E160" s="92" t="s">
        <v>528</v>
      </c>
    </row>
    <row r="161" spans="5:5" x14ac:dyDescent="0.2">
      <c r="E161" s="92" t="s">
        <v>511</v>
      </c>
    </row>
    <row r="162" spans="5:5" x14ac:dyDescent="0.2">
      <c r="E162" s="92" t="s">
        <v>515</v>
      </c>
    </row>
    <row r="163" spans="5:5" x14ac:dyDescent="0.2">
      <c r="E163" s="92" t="s">
        <v>505</v>
      </c>
    </row>
    <row r="164" spans="5:5" x14ac:dyDescent="0.2">
      <c r="E164" s="92" t="s">
        <v>507</v>
      </c>
    </row>
  </sheetData>
  <mergeCells count="232">
    <mergeCell ref="H123:H125"/>
    <mergeCell ref="I123:I125"/>
    <mergeCell ref="H150:H152"/>
    <mergeCell ref="I150:I152"/>
    <mergeCell ref="H141:H143"/>
    <mergeCell ref="I141:I143"/>
    <mergeCell ref="F144:F146"/>
    <mergeCell ref="G144:G146"/>
    <mergeCell ref="H144:H146"/>
    <mergeCell ref="I144:I146"/>
    <mergeCell ref="G126:G128"/>
    <mergeCell ref="H126:H128"/>
    <mergeCell ref="I126:I128"/>
    <mergeCell ref="H135:H137"/>
    <mergeCell ref="I135:I137"/>
    <mergeCell ref="H138:H140"/>
    <mergeCell ref="I138:I140"/>
    <mergeCell ref="H147:H149"/>
    <mergeCell ref="I147:I149"/>
    <mergeCell ref="H132:H134"/>
    <mergeCell ref="I132:I134"/>
    <mergeCell ref="B135:B152"/>
    <mergeCell ref="C135:C152"/>
    <mergeCell ref="D135:D152"/>
    <mergeCell ref="E135:E152"/>
    <mergeCell ref="F135:F137"/>
    <mergeCell ref="G135:G137"/>
    <mergeCell ref="F141:F143"/>
    <mergeCell ref="G141:G143"/>
    <mergeCell ref="F147:F149"/>
    <mergeCell ref="G147:G149"/>
    <mergeCell ref="F138:F140"/>
    <mergeCell ref="G138:G140"/>
    <mergeCell ref="F150:F152"/>
    <mergeCell ref="G150:G152"/>
    <mergeCell ref="I105:I107"/>
    <mergeCell ref="F108:F110"/>
    <mergeCell ref="G108:G110"/>
    <mergeCell ref="H108:H110"/>
    <mergeCell ref="I108:I110"/>
    <mergeCell ref="I117:I119"/>
    <mergeCell ref="B117:B134"/>
    <mergeCell ref="C117:C134"/>
    <mergeCell ref="D117:D134"/>
    <mergeCell ref="E117:E134"/>
    <mergeCell ref="F117:F119"/>
    <mergeCell ref="G117:G119"/>
    <mergeCell ref="F123:F125"/>
    <mergeCell ref="G123:G125"/>
    <mergeCell ref="F129:F131"/>
    <mergeCell ref="G129:G131"/>
    <mergeCell ref="F132:F134"/>
    <mergeCell ref="G132:G134"/>
    <mergeCell ref="F120:F122"/>
    <mergeCell ref="G120:G122"/>
    <mergeCell ref="F126:F128"/>
    <mergeCell ref="I120:I122"/>
    <mergeCell ref="H129:H131"/>
    <mergeCell ref="I129:I131"/>
    <mergeCell ref="H120:H122"/>
    <mergeCell ref="G90:G92"/>
    <mergeCell ref="H90:H92"/>
    <mergeCell ref="I90:I92"/>
    <mergeCell ref="H99:H101"/>
    <mergeCell ref="I99:I101"/>
    <mergeCell ref="F102:F104"/>
    <mergeCell ref="G102:G104"/>
    <mergeCell ref="H102:H104"/>
    <mergeCell ref="I102:I104"/>
    <mergeCell ref="F99:F101"/>
    <mergeCell ref="G99:G101"/>
    <mergeCell ref="H117:H119"/>
    <mergeCell ref="F105:F107"/>
    <mergeCell ref="G105:G107"/>
    <mergeCell ref="F111:F113"/>
    <mergeCell ref="G111:G113"/>
    <mergeCell ref="H111:H113"/>
    <mergeCell ref="I111:I113"/>
    <mergeCell ref="F114:F116"/>
    <mergeCell ref="G114:G116"/>
    <mergeCell ref="H114:H116"/>
    <mergeCell ref="I114:I116"/>
    <mergeCell ref="H105:H107"/>
    <mergeCell ref="H81:H83"/>
    <mergeCell ref="I81:I83"/>
    <mergeCell ref="F84:F86"/>
    <mergeCell ref="G84:G86"/>
    <mergeCell ref="H84:H86"/>
    <mergeCell ref="I84:I86"/>
    <mergeCell ref="B81:B98"/>
    <mergeCell ref="C81:C98"/>
    <mergeCell ref="D81:D98"/>
    <mergeCell ref="E81:E98"/>
    <mergeCell ref="F81:F83"/>
    <mergeCell ref="G81:G83"/>
    <mergeCell ref="F87:F89"/>
    <mergeCell ref="G87:G89"/>
    <mergeCell ref="F93:F95"/>
    <mergeCell ref="G93:G95"/>
    <mergeCell ref="H93:H95"/>
    <mergeCell ref="I93:I95"/>
    <mergeCell ref="F96:F98"/>
    <mergeCell ref="G96:G98"/>
    <mergeCell ref="H96:H98"/>
    <mergeCell ref="I96:I98"/>
    <mergeCell ref="H87:H89"/>
    <mergeCell ref="I87:I89"/>
    <mergeCell ref="G69:G71"/>
    <mergeCell ref="F75:F77"/>
    <mergeCell ref="G75:G77"/>
    <mergeCell ref="H75:H77"/>
    <mergeCell ref="I75:I77"/>
    <mergeCell ref="F78:F80"/>
    <mergeCell ref="G78:G80"/>
    <mergeCell ref="H78:H80"/>
    <mergeCell ref="I78:I80"/>
    <mergeCell ref="H69:H71"/>
    <mergeCell ref="I69:I71"/>
    <mergeCell ref="F72:F74"/>
    <mergeCell ref="G72:G74"/>
    <mergeCell ref="H72:H74"/>
    <mergeCell ref="G54:G56"/>
    <mergeCell ref="H54:H56"/>
    <mergeCell ref="I54:I56"/>
    <mergeCell ref="H63:H65"/>
    <mergeCell ref="I63:I65"/>
    <mergeCell ref="F66:F68"/>
    <mergeCell ref="G66:G68"/>
    <mergeCell ref="H66:H68"/>
    <mergeCell ref="I66:I68"/>
    <mergeCell ref="F63:F65"/>
    <mergeCell ref="G63:G65"/>
    <mergeCell ref="H45:H47"/>
    <mergeCell ref="I45:I47"/>
    <mergeCell ref="F48:F50"/>
    <mergeCell ref="G48:G50"/>
    <mergeCell ref="H48:H50"/>
    <mergeCell ref="I48:I50"/>
    <mergeCell ref="B45:B62"/>
    <mergeCell ref="C45:C62"/>
    <mergeCell ref="D45:D62"/>
    <mergeCell ref="E45:E62"/>
    <mergeCell ref="F45:F47"/>
    <mergeCell ref="G45:G47"/>
    <mergeCell ref="F51:F53"/>
    <mergeCell ref="G51:G53"/>
    <mergeCell ref="F57:F59"/>
    <mergeCell ref="G57:G59"/>
    <mergeCell ref="H57:H59"/>
    <mergeCell ref="I57:I59"/>
    <mergeCell ref="F60:F62"/>
    <mergeCell ref="G60:G62"/>
    <mergeCell ref="H60:H62"/>
    <mergeCell ref="I60:I62"/>
    <mergeCell ref="H51:H53"/>
    <mergeCell ref="I51:I53"/>
    <mergeCell ref="G27:G29"/>
    <mergeCell ref="H27:H29"/>
    <mergeCell ref="I27:I29"/>
    <mergeCell ref="F30:F32"/>
    <mergeCell ref="G30:G32"/>
    <mergeCell ref="H30:H32"/>
    <mergeCell ref="I30:I32"/>
    <mergeCell ref="F42:F44"/>
    <mergeCell ref="G42:G44"/>
    <mergeCell ref="H42:H44"/>
    <mergeCell ref="I42:I44"/>
    <mergeCell ref="F33:F35"/>
    <mergeCell ref="G33:G35"/>
    <mergeCell ref="H33:H35"/>
    <mergeCell ref="I33:I35"/>
    <mergeCell ref="F36:F38"/>
    <mergeCell ref="G36:G38"/>
    <mergeCell ref="H36:H38"/>
    <mergeCell ref="I36:I38"/>
    <mergeCell ref="F39:F41"/>
    <mergeCell ref="G39:G41"/>
    <mergeCell ref="H39:H41"/>
    <mergeCell ref="I39:I41"/>
    <mergeCell ref="G15:G17"/>
    <mergeCell ref="H15:H17"/>
    <mergeCell ref="I15:I17"/>
    <mergeCell ref="F24:F26"/>
    <mergeCell ref="G24:G26"/>
    <mergeCell ref="H24:H26"/>
    <mergeCell ref="I24:I26"/>
    <mergeCell ref="F21:F23"/>
    <mergeCell ref="G21:G23"/>
    <mergeCell ref="H21:H23"/>
    <mergeCell ref="I21:I23"/>
    <mergeCell ref="F18:F20"/>
    <mergeCell ref="G18:G20"/>
    <mergeCell ref="H18:H20"/>
    <mergeCell ref="I18:I20"/>
    <mergeCell ref="G9:G11"/>
    <mergeCell ref="H9:H11"/>
    <mergeCell ref="I9:I11"/>
    <mergeCell ref="F12:F14"/>
    <mergeCell ref="G12:G14"/>
    <mergeCell ref="H12:H14"/>
    <mergeCell ref="I12:I14"/>
    <mergeCell ref="G3:G5"/>
    <mergeCell ref="H3:H5"/>
    <mergeCell ref="I3:I5"/>
    <mergeCell ref="F6:F8"/>
    <mergeCell ref="G6:G8"/>
    <mergeCell ref="H6:H8"/>
    <mergeCell ref="I6:I8"/>
    <mergeCell ref="A3:A152"/>
    <mergeCell ref="B3:B26"/>
    <mergeCell ref="C3:C26"/>
    <mergeCell ref="D3:D26"/>
    <mergeCell ref="E3:E26"/>
    <mergeCell ref="F3:F5"/>
    <mergeCell ref="F9:F11"/>
    <mergeCell ref="F15:F17"/>
    <mergeCell ref="B27:B44"/>
    <mergeCell ref="C27:C44"/>
    <mergeCell ref="D27:D44"/>
    <mergeCell ref="E27:E44"/>
    <mergeCell ref="F27:F29"/>
    <mergeCell ref="F54:F56"/>
    <mergeCell ref="B63:B80"/>
    <mergeCell ref="C63:C80"/>
    <mergeCell ref="D63:D80"/>
    <mergeCell ref="E63:E80"/>
    <mergeCell ref="F69:F71"/>
    <mergeCell ref="F90:F92"/>
    <mergeCell ref="B99:B116"/>
    <mergeCell ref="C99:C116"/>
    <mergeCell ref="D99:D116"/>
    <mergeCell ref="E99:E116"/>
  </mergeCells>
  <phoneticPr fontId="14" type="noConversion"/>
  <dataValidations count="1">
    <dataValidation type="list" allowBlank="1" showInputMessage="1" showErrorMessage="1" sqref="E3:E152 H3:H152" xr:uid="{FE8A29B7-242D-7C40-8018-29FA123DEFED}">
      <formula1>$E$160:$E$164</formula1>
    </dataValidation>
  </dataValidation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25174-2352-C343-8C25-1D77BA11A123}">
  <sheetPr>
    <tabColor theme="4"/>
  </sheetPr>
  <dimension ref="A1:K158"/>
  <sheetViews>
    <sheetView showGridLines="0" zoomScaleNormal="100" workbookViewId="0">
      <pane xSplit="5" ySplit="2" topLeftCell="F3" activePane="bottomRight" state="frozen"/>
      <selection activeCell="D3" sqref="D3:D20"/>
      <selection pane="topRight" activeCell="D3" sqref="D3:D20"/>
      <selection pane="bottomLeft" activeCell="D3" sqref="D3:D20"/>
      <selection pane="bottomRight" activeCell="D3" sqref="D3:D20"/>
    </sheetView>
  </sheetViews>
  <sheetFormatPr defaultColWidth="13.28515625" defaultRowHeight="15" x14ac:dyDescent="0.2"/>
  <cols>
    <col min="1" max="1" width="16.85546875" style="14" customWidth="1"/>
    <col min="2" max="2" width="7" style="14" customWidth="1"/>
    <col min="3" max="3" width="17.28515625" style="15" customWidth="1"/>
    <col min="4" max="4" width="20.7109375" style="15" hidden="1" customWidth="1"/>
    <col min="5" max="5" width="17.7109375" style="15" hidden="1" customWidth="1"/>
    <col min="6" max="6" width="7" style="15" customWidth="1"/>
    <col min="7" max="7" width="36.7109375" style="15" customWidth="1"/>
    <col min="8" max="8" width="13" style="15" customWidth="1"/>
    <col min="9" max="9" width="43.7109375" style="15" customWidth="1"/>
    <col min="10" max="10" width="9.7109375" style="15" customWidth="1"/>
    <col min="11" max="11" width="45.140625" style="3" customWidth="1"/>
    <col min="12" max="13" width="12" style="14" customWidth="1"/>
    <col min="14" max="14" width="56" style="14" customWidth="1"/>
    <col min="15" max="48" width="12" style="14" customWidth="1"/>
    <col min="49" max="256" width="13.28515625" style="14"/>
    <col min="257" max="257" width="40.28515625" style="14" customWidth="1"/>
    <col min="258" max="258" width="48.85546875" style="14" customWidth="1"/>
    <col min="259" max="259" width="53.28515625" style="14" customWidth="1"/>
    <col min="260" max="260" width="56.28515625" style="14" customWidth="1"/>
    <col min="261" max="304" width="12" style="14" customWidth="1"/>
    <col min="305" max="512" width="13.28515625" style="14"/>
    <col min="513" max="513" width="40.28515625" style="14" customWidth="1"/>
    <col min="514" max="514" width="48.85546875" style="14" customWidth="1"/>
    <col min="515" max="515" width="53.28515625" style="14" customWidth="1"/>
    <col min="516" max="516" width="56.28515625" style="14" customWidth="1"/>
    <col min="517" max="560" width="12" style="14" customWidth="1"/>
    <col min="561" max="768" width="13.28515625" style="14"/>
    <col min="769" max="769" width="40.28515625" style="14" customWidth="1"/>
    <col min="770" max="770" width="48.85546875" style="14" customWidth="1"/>
    <col min="771" max="771" width="53.28515625" style="14" customWidth="1"/>
    <col min="772" max="772" width="56.28515625" style="14" customWidth="1"/>
    <col min="773" max="816" width="12" style="14" customWidth="1"/>
    <col min="817" max="1024" width="13.28515625" style="14"/>
    <col min="1025" max="1025" width="40.28515625" style="14" customWidth="1"/>
    <col min="1026" max="1026" width="48.85546875" style="14" customWidth="1"/>
    <col min="1027" max="1027" width="53.28515625" style="14" customWidth="1"/>
    <col min="1028" max="1028" width="56.28515625" style="14" customWidth="1"/>
    <col min="1029" max="1072" width="12" style="14" customWidth="1"/>
    <col min="1073" max="1280" width="13.28515625" style="14"/>
    <col min="1281" max="1281" width="40.28515625" style="14" customWidth="1"/>
    <col min="1282" max="1282" width="48.85546875" style="14" customWidth="1"/>
    <col min="1283" max="1283" width="53.28515625" style="14" customWidth="1"/>
    <col min="1284" max="1284" width="56.28515625" style="14" customWidth="1"/>
    <col min="1285" max="1328" width="12" style="14" customWidth="1"/>
    <col min="1329" max="1536" width="13.28515625" style="14"/>
    <col min="1537" max="1537" width="40.28515625" style="14" customWidth="1"/>
    <col min="1538" max="1538" width="48.85546875" style="14" customWidth="1"/>
    <col min="1539" max="1539" width="53.28515625" style="14" customWidth="1"/>
    <col min="1540" max="1540" width="56.28515625" style="14" customWidth="1"/>
    <col min="1541" max="1584" width="12" style="14" customWidth="1"/>
    <col min="1585" max="1792" width="13.28515625" style="14"/>
    <col min="1793" max="1793" width="40.28515625" style="14" customWidth="1"/>
    <col min="1794" max="1794" width="48.85546875" style="14" customWidth="1"/>
    <col min="1795" max="1795" width="53.28515625" style="14" customWidth="1"/>
    <col min="1796" max="1796" width="56.28515625" style="14" customWidth="1"/>
    <col min="1797" max="1840" width="12" style="14" customWidth="1"/>
    <col min="1841" max="2048" width="13.28515625" style="14"/>
    <col min="2049" max="2049" width="40.28515625" style="14" customWidth="1"/>
    <col min="2050" max="2050" width="48.85546875" style="14" customWidth="1"/>
    <col min="2051" max="2051" width="53.28515625" style="14" customWidth="1"/>
    <col min="2052" max="2052" width="56.28515625" style="14" customWidth="1"/>
    <col min="2053" max="2096" width="12" style="14" customWidth="1"/>
    <col min="2097" max="2304" width="13.28515625" style="14"/>
    <col min="2305" max="2305" width="40.28515625" style="14" customWidth="1"/>
    <col min="2306" max="2306" width="48.85546875" style="14" customWidth="1"/>
    <col min="2307" max="2307" width="53.28515625" style="14" customWidth="1"/>
    <col min="2308" max="2308" width="56.28515625" style="14" customWidth="1"/>
    <col min="2309" max="2352" width="12" style="14" customWidth="1"/>
    <col min="2353" max="2560" width="13.28515625" style="14"/>
    <col min="2561" max="2561" width="40.28515625" style="14" customWidth="1"/>
    <col min="2562" max="2562" width="48.85546875" style="14" customWidth="1"/>
    <col min="2563" max="2563" width="53.28515625" style="14" customWidth="1"/>
    <col min="2564" max="2564" width="56.28515625" style="14" customWidth="1"/>
    <col min="2565" max="2608" width="12" style="14" customWidth="1"/>
    <col min="2609" max="2816" width="13.28515625" style="14"/>
    <col min="2817" max="2817" width="40.28515625" style="14" customWidth="1"/>
    <col min="2818" max="2818" width="48.85546875" style="14" customWidth="1"/>
    <col min="2819" max="2819" width="53.28515625" style="14" customWidth="1"/>
    <col min="2820" max="2820" width="56.28515625" style="14" customWidth="1"/>
    <col min="2821" max="2864" width="12" style="14" customWidth="1"/>
    <col min="2865" max="3072" width="13.28515625" style="14"/>
    <col min="3073" max="3073" width="40.28515625" style="14" customWidth="1"/>
    <col min="3074" max="3074" width="48.85546875" style="14" customWidth="1"/>
    <col min="3075" max="3075" width="53.28515625" style="14" customWidth="1"/>
    <col min="3076" max="3076" width="56.28515625" style="14" customWidth="1"/>
    <col min="3077" max="3120" width="12" style="14" customWidth="1"/>
    <col min="3121" max="3328" width="13.28515625" style="14"/>
    <col min="3329" max="3329" width="40.28515625" style="14" customWidth="1"/>
    <col min="3330" max="3330" width="48.85546875" style="14" customWidth="1"/>
    <col min="3331" max="3331" width="53.28515625" style="14" customWidth="1"/>
    <col min="3332" max="3332" width="56.28515625" style="14" customWidth="1"/>
    <col min="3333" max="3376" width="12" style="14" customWidth="1"/>
    <col min="3377" max="3584" width="13.28515625" style="14"/>
    <col min="3585" max="3585" width="40.28515625" style="14" customWidth="1"/>
    <col min="3586" max="3586" width="48.85546875" style="14" customWidth="1"/>
    <col min="3587" max="3587" width="53.28515625" style="14" customWidth="1"/>
    <col min="3588" max="3588" width="56.28515625" style="14" customWidth="1"/>
    <col min="3589" max="3632" width="12" style="14" customWidth="1"/>
    <col min="3633" max="3840" width="13.28515625" style="14"/>
    <col min="3841" max="3841" width="40.28515625" style="14" customWidth="1"/>
    <col min="3842" max="3842" width="48.85546875" style="14" customWidth="1"/>
    <col min="3843" max="3843" width="53.28515625" style="14" customWidth="1"/>
    <col min="3844" max="3844" width="56.28515625" style="14" customWidth="1"/>
    <col min="3845" max="3888" width="12" style="14" customWidth="1"/>
    <col min="3889" max="4096" width="13.28515625" style="14"/>
    <col min="4097" max="4097" width="40.28515625" style="14" customWidth="1"/>
    <col min="4098" max="4098" width="48.85546875" style="14" customWidth="1"/>
    <col min="4099" max="4099" width="53.28515625" style="14" customWidth="1"/>
    <col min="4100" max="4100" width="56.28515625" style="14" customWidth="1"/>
    <col min="4101" max="4144" width="12" style="14" customWidth="1"/>
    <col min="4145" max="4352" width="13.28515625" style="14"/>
    <col min="4353" max="4353" width="40.28515625" style="14" customWidth="1"/>
    <col min="4354" max="4354" width="48.85546875" style="14" customWidth="1"/>
    <col min="4355" max="4355" width="53.28515625" style="14" customWidth="1"/>
    <col min="4356" max="4356" width="56.28515625" style="14" customWidth="1"/>
    <col min="4357" max="4400" width="12" style="14" customWidth="1"/>
    <col min="4401" max="4608" width="13.28515625" style="14"/>
    <col min="4609" max="4609" width="40.28515625" style="14" customWidth="1"/>
    <col min="4610" max="4610" width="48.85546875" style="14" customWidth="1"/>
    <col min="4611" max="4611" width="53.28515625" style="14" customWidth="1"/>
    <col min="4612" max="4612" width="56.28515625" style="14" customWidth="1"/>
    <col min="4613" max="4656" width="12" style="14" customWidth="1"/>
    <col min="4657" max="4864" width="13.28515625" style="14"/>
    <col min="4865" max="4865" width="40.28515625" style="14" customWidth="1"/>
    <col min="4866" max="4866" width="48.85546875" style="14" customWidth="1"/>
    <col min="4867" max="4867" width="53.28515625" style="14" customWidth="1"/>
    <col min="4868" max="4868" width="56.28515625" style="14" customWidth="1"/>
    <col min="4869" max="4912" width="12" style="14" customWidth="1"/>
    <col min="4913" max="5120" width="13.28515625" style="14"/>
    <col min="5121" max="5121" width="40.28515625" style="14" customWidth="1"/>
    <col min="5122" max="5122" width="48.85546875" style="14" customWidth="1"/>
    <col min="5123" max="5123" width="53.28515625" style="14" customWidth="1"/>
    <col min="5124" max="5124" width="56.28515625" style="14" customWidth="1"/>
    <col min="5125" max="5168" width="12" style="14" customWidth="1"/>
    <col min="5169" max="5376" width="13.28515625" style="14"/>
    <col min="5377" max="5377" width="40.28515625" style="14" customWidth="1"/>
    <col min="5378" max="5378" width="48.85546875" style="14" customWidth="1"/>
    <col min="5379" max="5379" width="53.28515625" style="14" customWidth="1"/>
    <col min="5380" max="5380" width="56.28515625" style="14" customWidth="1"/>
    <col min="5381" max="5424" width="12" style="14" customWidth="1"/>
    <col min="5425" max="5632" width="13.28515625" style="14"/>
    <col min="5633" max="5633" width="40.28515625" style="14" customWidth="1"/>
    <col min="5634" max="5634" width="48.85546875" style="14" customWidth="1"/>
    <col min="5635" max="5635" width="53.28515625" style="14" customWidth="1"/>
    <col min="5636" max="5636" width="56.28515625" style="14" customWidth="1"/>
    <col min="5637" max="5680" width="12" style="14" customWidth="1"/>
    <col min="5681" max="5888" width="13.28515625" style="14"/>
    <col min="5889" max="5889" width="40.28515625" style="14" customWidth="1"/>
    <col min="5890" max="5890" width="48.85546875" style="14" customWidth="1"/>
    <col min="5891" max="5891" width="53.28515625" style="14" customWidth="1"/>
    <col min="5892" max="5892" width="56.28515625" style="14" customWidth="1"/>
    <col min="5893" max="5936" width="12" style="14" customWidth="1"/>
    <col min="5937" max="6144" width="13.28515625" style="14"/>
    <col min="6145" max="6145" width="40.28515625" style="14" customWidth="1"/>
    <col min="6146" max="6146" width="48.85546875" style="14" customWidth="1"/>
    <col min="6147" max="6147" width="53.28515625" style="14" customWidth="1"/>
    <col min="6148" max="6148" width="56.28515625" style="14" customWidth="1"/>
    <col min="6149" max="6192" width="12" style="14" customWidth="1"/>
    <col min="6193" max="6400" width="13.28515625" style="14"/>
    <col min="6401" max="6401" width="40.28515625" style="14" customWidth="1"/>
    <col min="6402" max="6402" width="48.85546875" style="14" customWidth="1"/>
    <col min="6403" max="6403" width="53.28515625" style="14" customWidth="1"/>
    <col min="6404" max="6404" width="56.28515625" style="14" customWidth="1"/>
    <col min="6405" max="6448" width="12" style="14" customWidth="1"/>
    <col min="6449" max="6656" width="13.28515625" style="14"/>
    <col min="6657" max="6657" width="40.28515625" style="14" customWidth="1"/>
    <col min="6658" max="6658" width="48.85546875" style="14" customWidth="1"/>
    <col min="6659" max="6659" width="53.28515625" style="14" customWidth="1"/>
    <col min="6660" max="6660" width="56.28515625" style="14" customWidth="1"/>
    <col min="6661" max="6704" width="12" style="14" customWidth="1"/>
    <col min="6705" max="6912" width="13.28515625" style="14"/>
    <col min="6913" max="6913" width="40.28515625" style="14" customWidth="1"/>
    <col min="6914" max="6914" width="48.85546875" style="14" customWidth="1"/>
    <col min="6915" max="6915" width="53.28515625" style="14" customWidth="1"/>
    <col min="6916" max="6916" width="56.28515625" style="14" customWidth="1"/>
    <col min="6917" max="6960" width="12" style="14" customWidth="1"/>
    <col min="6961" max="7168" width="13.28515625" style="14"/>
    <col min="7169" max="7169" width="40.28515625" style="14" customWidth="1"/>
    <col min="7170" max="7170" width="48.85546875" style="14" customWidth="1"/>
    <col min="7171" max="7171" width="53.28515625" style="14" customWidth="1"/>
    <col min="7172" max="7172" width="56.28515625" style="14" customWidth="1"/>
    <col min="7173" max="7216" width="12" style="14" customWidth="1"/>
    <col min="7217" max="7424" width="13.28515625" style="14"/>
    <col min="7425" max="7425" width="40.28515625" style="14" customWidth="1"/>
    <col min="7426" max="7426" width="48.85546875" style="14" customWidth="1"/>
    <col min="7427" max="7427" width="53.28515625" style="14" customWidth="1"/>
    <col min="7428" max="7428" width="56.28515625" style="14" customWidth="1"/>
    <col min="7429" max="7472" width="12" style="14" customWidth="1"/>
    <col min="7473" max="7680" width="13.28515625" style="14"/>
    <col min="7681" max="7681" width="40.28515625" style="14" customWidth="1"/>
    <col min="7682" max="7682" width="48.85546875" style="14" customWidth="1"/>
    <col min="7683" max="7683" width="53.28515625" style="14" customWidth="1"/>
    <col min="7684" max="7684" width="56.28515625" style="14" customWidth="1"/>
    <col min="7685" max="7728" width="12" style="14" customWidth="1"/>
    <col min="7729" max="7936" width="13.28515625" style="14"/>
    <col min="7937" max="7937" width="40.28515625" style="14" customWidth="1"/>
    <col min="7938" max="7938" width="48.85546875" style="14" customWidth="1"/>
    <col min="7939" max="7939" width="53.28515625" style="14" customWidth="1"/>
    <col min="7940" max="7940" width="56.28515625" style="14" customWidth="1"/>
    <col min="7941" max="7984" width="12" style="14" customWidth="1"/>
    <col min="7985" max="8192" width="13.28515625" style="14"/>
    <col min="8193" max="8193" width="40.28515625" style="14" customWidth="1"/>
    <col min="8194" max="8194" width="48.85546875" style="14" customWidth="1"/>
    <col min="8195" max="8195" width="53.28515625" style="14" customWidth="1"/>
    <col min="8196" max="8196" width="56.28515625" style="14" customWidth="1"/>
    <col min="8197" max="8240" width="12" style="14" customWidth="1"/>
    <col min="8241" max="8448" width="13.28515625" style="14"/>
    <col min="8449" max="8449" width="40.28515625" style="14" customWidth="1"/>
    <col min="8450" max="8450" width="48.85546875" style="14" customWidth="1"/>
    <col min="8451" max="8451" width="53.28515625" style="14" customWidth="1"/>
    <col min="8452" max="8452" width="56.28515625" style="14" customWidth="1"/>
    <col min="8453" max="8496" width="12" style="14" customWidth="1"/>
    <col min="8497" max="8704" width="13.28515625" style="14"/>
    <col min="8705" max="8705" width="40.28515625" style="14" customWidth="1"/>
    <col min="8706" max="8706" width="48.85546875" style="14" customWidth="1"/>
    <col min="8707" max="8707" width="53.28515625" style="14" customWidth="1"/>
    <col min="8708" max="8708" width="56.28515625" style="14" customWidth="1"/>
    <col min="8709" max="8752" width="12" style="14" customWidth="1"/>
    <col min="8753" max="8960" width="13.28515625" style="14"/>
    <col min="8961" max="8961" width="40.28515625" style="14" customWidth="1"/>
    <col min="8962" max="8962" width="48.85546875" style="14" customWidth="1"/>
    <col min="8963" max="8963" width="53.28515625" style="14" customWidth="1"/>
    <col min="8964" max="8964" width="56.28515625" style="14" customWidth="1"/>
    <col min="8965" max="9008" width="12" style="14" customWidth="1"/>
    <col min="9009" max="9216" width="13.28515625" style="14"/>
    <col min="9217" max="9217" width="40.28515625" style="14" customWidth="1"/>
    <col min="9218" max="9218" width="48.85546875" style="14" customWidth="1"/>
    <col min="9219" max="9219" width="53.28515625" style="14" customWidth="1"/>
    <col min="9220" max="9220" width="56.28515625" style="14" customWidth="1"/>
    <col min="9221" max="9264" width="12" style="14" customWidth="1"/>
    <col min="9265" max="9472" width="13.28515625" style="14"/>
    <col min="9473" max="9473" width="40.28515625" style="14" customWidth="1"/>
    <col min="9474" max="9474" width="48.85546875" style="14" customWidth="1"/>
    <col min="9475" max="9475" width="53.28515625" style="14" customWidth="1"/>
    <col min="9476" max="9476" width="56.28515625" style="14" customWidth="1"/>
    <col min="9477" max="9520" width="12" style="14" customWidth="1"/>
    <col min="9521" max="9728" width="13.28515625" style="14"/>
    <col min="9729" max="9729" width="40.28515625" style="14" customWidth="1"/>
    <col min="9730" max="9730" width="48.85546875" style="14" customWidth="1"/>
    <col min="9731" max="9731" width="53.28515625" style="14" customWidth="1"/>
    <col min="9732" max="9732" width="56.28515625" style="14" customWidth="1"/>
    <col min="9733" max="9776" width="12" style="14" customWidth="1"/>
    <col min="9777" max="9984" width="13.28515625" style="14"/>
    <col min="9985" max="9985" width="40.28515625" style="14" customWidth="1"/>
    <col min="9986" max="9986" width="48.85546875" style="14" customWidth="1"/>
    <col min="9987" max="9987" width="53.28515625" style="14" customWidth="1"/>
    <col min="9988" max="9988" width="56.28515625" style="14" customWidth="1"/>
    <col min="9989" max="10032" width="12" style="14" customWidth="1"/>
    <col min="10033" max="10240" width="13.28515625" style="14"/>
    <col min="10241" max="10241" width="40.28515625" style="14" customWidth="1"/>
    <col min="10242" max="10242" width="48.85546875" style="14" customWidth="1"/>
    <col min="10243" max="10243" width="53.28515625" style="14" customWidth="1"/>
    <col min="10244" max="10244" width="56.28515625" style="14" customWidth="1"/>
    <col min="10245" max="10288" width="12" style="14" customWidth="1"/>
    <col min="10289" max="10496" width="13.28515625" style="14"/>
    <col min="10497" max="10497" width="40.28515625" style="14" customWidth="1"/>
    <col min="10498" max="10498" width="48.85546875" style="14" customWidth="1"/>
    <col min="10499" max="10499" width="53.28515625" style="14" customWidth="1"/>
    <col min="10500" max="10500" width="56.28515625" style="14" customWidth="1"/>
    <col min="10501" max="10544" width="12" style="14" customWidth="1"/>
    <col min="10545" max="10752" width="13.28515625" style="14"/>
    <col min="10753" max="10753" width="40.28515625" style="14" customWidth="1"/>
    <col min="10754" max="10754" width="48.85546875" style="14" customWidth="1"/>
    <col min="10755" max="10755" width="53.28515625" style="14" customWidth="1"/>
    <col min="10756" max="10756" width="56.28515625" style="14" customWidth="1"/>
    <col min="10757" max="10800" width="12" style="14" customWidth="1"/>
    <col min="10801" max="11008" width="13.28515625" style="14"/>
    <col min="11009" max="11009" width="40.28515625" style="14" customWidth="1"/>
    <col min="11010" max="11010" width="48.85546875" style="14" customWidth="1"/>
    <col min="11011" max="11011" width="53.28515625" style="14" customWidth="1"/>
    <col min="11012" max="11012" width="56.28515625" style="14" customWidth="1"/>
    <col min="11013" max="11056" width="12" style="14" customWidth="1"/>
    <col min="11057" max="11264" width="13.28515625" style="14"/>
    <col min="11265" max="11265" width="40.28515625" style="14" customWidth="1"/>
    <col min="11266" max="11266" width="48.85546875" style="14" customWidth="1"/>
    <col min="11267" max="11267" width="53.28515625" style="14" customWidth="1"/>
    <col min="11268" max="11268" width="56.28515625" style="14" customWidth="1"/>
    <col min="11269" max="11312" width="12" style="14" customWidth="1"/>
    <col min="11313" max="11520" width="13.28515625" style="14"/>
    <col min="11521" max="11521" width="40.28515625" style="14" customWidth="1"/>
    <col min="11522" max="11522" width="48.85546875" style="14" customWidth="1"/>
    <col min="11523" max="11523" width="53.28515625" style="14" customWidth="1"/>
    <col min="11524" max="11524" width="56.28515625" style="14" customWidth="1"/>
    <col min="11525" max="11568" width="12" style="14" customWidth="1"/>
    <col min="11569" max="11776" width="13.28515625" style="14"/>
    <col min="11777" max="11777" width="40.28515625" style="14" customWidth="1"/>
    <col min="11778" max="11778" width="48.85546875" style="14" customWidth="1"/>
    <col min="11779" max="11779" width="53.28515625" style="14" customWidth="1"/>
    <col min="11780" max="11780" width="56.28515625" style="14" customWidth="1"/>
    <col min="11781" max="11824" width="12" style="14" customWidth="1"/>
    <col min="11825" max="12032" width="13.28515625" style="14"/>
    <col min="12033" max="12033" width="40.28515625" style="14" customWidth="1"/>
    <col min="12034" max="12034" width="48.85546875" style="14" customWidth="1"/>
    <col min="12035" max="12035" width="53.28515625" style="14" customWidth="1"/>
    <col min="12036" max="12036" width="56.28515625" style="14" customWidth="1"/>
    <col min="12037" max="12080" width="12" style="14" customWidth="1"/>
    <col min="12081" max="12288" width="13.28515625" style="14"/>
    <col min="12289" max="12289" width="40.28515625" style="14" customWidth="1"/>
    <col min="12290" max="12290" width="48.85546875" style="14" customWidth="1"/>
    <col min="12291" max="12291" width="53.28515625" style="14" customWidth="1"/>
    <col min="12292" max="12292" width="56.28515625" style="14" customWidth="1"/>
    <col min="12293" max="12336" width="12" style="14" customWidth="1"/>
    <col min="12337" max="12544" width="13.28515625" style="14"/>
    <col min="12545" max="12545" width="40.28515625" style="14" customWidth="1"/>
    <col min="12546" max="12546" width="48.85546875" style="14" customWidth="1"/>
    <col min="12547" max="12547" width="53.28515625" style="14" customWidth="1"/>
    <col min="12548" max="12548" width="56.28515625" style="14" customWidth="1"/>
    <col min="12549" max="12592" width="12" style="14" customWidth="1"/>
    <col min="12593" max="12800" width="13.28515625" style="14"/>
    <col min="12801" max="12801" width="40.28515625" style="14" customWidth="1"/>
    <col min="12802" max="12802" width="48.85546875" style="14" customWidth="1"/>
    <col min="12803" max="12803" width="53.28515625" style="14" customWidth="1"/>
    <col min="12804" max="12804" width="56.28515625" style="14" customWidth="1"/>
    <col min="12805" max="12848" width="12" style="14" customWidth="1"/>
    <col min="12849" max="13056" width="13.28515625" style="14"/>
    <col min="13057" max="13057" width="40.28515625" style="14" customWidth="1"/>
    <col min="13058" max="13058" width="48.85546875" style="14" customWidth="1"/>
    <col min="13059" max="13059" width="53.28515625" style="14" customWidth="1"/>
    <col min="13060" max="13060" width="56.28515625" style="14" customWidth="1"/>
    <col min="13061" max="13104" width="12" style="14" customWidth="1"/>
    <col min="13105" max="13312" width="13.28515625" style="14"/>
    <col min="13313" max="13313" width="40.28515625" style="14" customWidth="1"/>
    <col min="13314" max="13314" width="48.85546875" style="14" customWidth="1"/>
    <col min="13315" max="13315" width="53.28515625" style="14" customWidth="1"/>
    <col min="13316" max="13316" width="56.28515625" style="14" customWidth="1"/>
    <col min="13317" max="13360" width="12" style="14" customWidth="1"/>
    <col min="13361" max="13568" width="13.28515625" style="14"/>
    <col min="13569" max="13569" width="40.28515625" style="14" customWidth="1"/>
    <col min="13570" max="13570" width="48.85546875" style="14" customWidth="1"/>
    <col min="13571" max="13571" width="53.28515625" style="14" customWidth="1"/>
    <col min="13572" max="13572" width="56.28515625" style="14" customWidth="1"/>
    <col min="13573" max="13616" width="12" style="14" customWidth="1"/>
    <col min="13617" max="13824" width="13.28515625" style="14"/>
    <col min="13825" max="13825" width="40.28515625" style="14" customWidth="1"/>
    <col min="13826" max="13826" width="48.85546875" style="14" customWidth="1"/>
    <col min="13827" max="13827" width="53.28515625" style="14" customWidth="1"/>
    <col min="13828" max="13828" width="56.28515625" style="14" customWidth="1"/>
    <col min="13829" max="13872" width="12" style="14" customWidth="1"/>
    <col min="13873" max="14080" width="13.28515625" style="14"/>
    <col min="14081" max="14081" width="40.28515625" style="14" customWidth="1"/>
    <col min="14082" max="14082" width="48.85546875" style="14" customWidth="1"/>
    <col min="14083" max="14083" width="53.28515625" style="14" customWidth="1"/>
    <col min="14084" max="14084" width="56.28515625" style="14" customWidth="1"/>
    <col min="14085" max="14128" width="12" style="14" customWidth="1"/>
    <col min="14129" max="14336" width="13.28515625" style="14"/>
    <col min="14337" max="14337" width="40.28515625" style="14" customWidth="1"/>
    <col min="14338" max="14338" width="48.85546875" style="14" customWidth="1"/>
    <col min="14339" max="14339" width="53.28515625" style="14" customWidth="1"/>
    <col min="14340" max="14340" width="56.28515625" style="14" customWidth="1"/>
    <col min="14341" max="14384" width="12" style="14" customWidth="1"/>
    <col min="14385" max="14592" width="13.28515625" style="14"/>
    <col min="14593" max="14593" width="40.28515625" style="14" customWidth="1"/>
    <col min="14594" max="14594" width="48.85546875" style="14" customWidth="1"/>
    <col min="14595" max="14595" width="53.28515625" style="14" customWidth="1"/>
    <col min="14596" max="14596" width="56.28515625" style="14" customWidth="1"/>
    <col min="14597" max="14640" width="12" style="14" customWidth="1"/>
    <col min="14641" max="14848" width="13.28515625" style="14"/>
    <col min="14849" max="14849" width="40.28515625" style="14" customWidth="1"/>
    <col min="14850" max="14850" width="48.85546875" style="14" customWidth="1"/>
    <col min="14851" max="14851" width="53.28515625" style="14" customWidth="1"/>
    <col min="14852" max="14852" width="56.28515625" style="14" customWidth="1"/>
    <col min="14853" max="14896" width="12" style="14" customWidth="1"/>
    <col min="14897" max="15104" width="13.28515625" style="14"/>
    <col min="15105" max="15105" width="40.28515625" style="14" customWidth="1"/>
    <col min="15106" max="15106" width="48.85546875" style="14" customWidth="1"/>
    <col min="15107" max="15107" width="53.28515625" style="14" customWidth="1"/>
    <col min="15108" max="15108" width="56.28515625" style="14" customWidth="1"/>
    <col min="15109" max="15152" width="12" style="14" customWidth="1"/>
    <col min="15153" max="15360" width="13.28515625" style="14"/>
    <col min="15361" max="15361" width="40.28515625" style="14" customWidth="1"/>
    <col min="15362" max="15362" width="48.85546875" style="14" customWidth="1"/>
    <col min="15363" max="15363" width="53.28515625" style="14" customWidth="1"/>
    <col min="15364" max="15364" width="56.28515625" style="14" customWidth="1"/>
    <col min="15365" max="15408" width="12" style="14" customWidth="1"/>
    <col min="15409" max="15616" width="13.28515625" style="14"/>
    <col min="15617" max="15617" width="40.28515625" style="14" customWidth="1"/>
    <col min="15618" max="15618" width="48.85546875" style="14" customWidth="1"/>
    <col min="15619" max="15619" width="53.28515625" style="14" customWidth="1"/>
    <col min="15620" max="15620" width="56.28515625" style="14" customWidth="1"/>
    <col min="15621" max="15664" width="12" style="14" customWidth="1"/>
    <col min="15665" max="15872" width="13.28515625" style="14"/>
    <col min="15873" max="15873" width="40.28515625" style="14" customWidth="1"/>
    <col min="15874" max="15874" width="48.85546875" style="14" customWidth="1"/>
    <col min="15875" max="15875" width="53.28515625" style="14" customWidth="1"/>
    <col min="15876" max="15876" width="56.28515625" style="14" customWidth="1"/>
    <col min="15877" max="15920" width="12" style="14" customWidth="1"/>
    <col min="15921" max="16128" width="13.28515625" style="14"/>
    <col min="16129" max="16129" width="40.28515625" style="14" customWidth="1"/>
    <col min="16130" max="16130" width="48.85546875" style="14" customWidth="1"/>
    <col min="16131" max="16131" width="53.28515625" style="14" customWidth="1"/>
    <col min="16132" max="16132" width="56.28515625" style="14" customWidth="1"/>
    <col min="16133" max="16176" width="12" style="14" customWidth="1"/>
    <col min="16177" max="16384" width="13.28515625" style="14"/>
  </cols>
  <sheetData>
    <row r="1" spans="1:11" ht="27.4" customHeight="1" x14ac:dyDescent="0.2">
      <c r="A1" s="18"/>
      <c r="B1" s="18"/>
      <c r="C1" s="19"/>
      <c r="D1" s="19"/>
      <c r="E1" s="19"/>
      <c r="F1" s="19"/>
      <c r="G1" s="19"/>
      <c r="H1" s="19"/>
      <c r="I1" s="19"/>
      <c r="J1" s="19"/>
    </row>
    <row r="2" spans="1:11" s="13" customFormat="1" ht="30" x14ac:dyDescent="0.2">
      <c r="A2" s="11" t="s">
        <v>1042</v>
      </c>
      <c r="B2" s="11" t="s">
        <v>1050</v>
      </c>
      <c r="C2" s="11" t="s">
        <v>1041</v>
      </c>
      <c r="D2" s="11" t="s">
        <v>185</v>
      </c>
      <c r="E2" s="11" t="s">
        <v>1038</v>
      </c>
      <c r="F2" s="11" t="s">
        <v>1049</v>
      </c>
      <c r="G2" s="11" t="s">
        <v>1040</v>
      </c>
      <c r="H2" s="11" t="s">
        <v>1038</v>
      </c>
      <c r="I2" s="11" t="s">
        <v>1039</v>
      </c>
      <c r="J2" s="11" t="s">
        <v>1051</v>
      </c>
      <c r="K2" s="4" t="s">
        <v>7</v>
      </c>
    </row>
    <row r="3" spans="1:11" x14ac:dyDescent="0.2">
      <c r="A3" s="579" t="s">
        <v>3461</v>
      </c>
      <c r="B3" s="275" t="s">
        <v>3462</v>
      </c>
      <c r="C3" s="582" t="s">
        <v>3409</v>
      </c>
      <c r="D3" s="275"/>
      <c r="E3" s="275"/>
      <c r="F3" s="288" t="s">
        <v>3463</v>
      </c>
      <c r="G3" s="579" t="s">
        <v>3436</v>
      </c>
      <c r="H3" s="272" t="s">
        <v>511</v>
      </c>
      <c r="I3" s="579" t="s">
        <v>3445</v>
      </c>
      <c r="J3" s="109" t="s">
        <v>3464</v>
      </c>
      <c r="K3" s="7"/>
    </row>
    <row r="4" spans="1:11" x14ac:dyDescent="0.2">
      <c r="A4" s="288"/>
      <c r="B4" s="275"/>
      <c r="C4" s="275"/>
      <c r="D4" s="275"/>
      <c r="E4" s="275"/>
      <c r="F4" s="288"/>
      <c r="G4" s="272"/>
      <c r="H4" s="272"/>
      <c r="I4" s="272"/>
      <c r="J4" s="109" t="s">
        <v>3465</v>
      </c>
      <c r="K4" s="7"/>
    </row>
    <row r="5" spans="1:11" x14ac:dyDescent="0.2">
      <c r="A5" s="273"/>
      <c r="B5" s="276"/>
      <c r="C5" s="276"/>
      <c r="D5" s="276"/>
      <c r="E5" s="276"/>
      <c r="F5" s="273"/>
      <c r="G5" s="273"/>
      <c r="H5" s="273"/>
      <c r="I5" s="273"/>
      <c r="J5" s="109" t="s">
        <v>3466</v>
      </c>
      <c r="K5" s="7"/>
    </row>
    <row r="6" spans="1:11" ht="15" customHeight="1" x14ac:dyDescent="0.2">
      <c r="A6" s="273"/>
      <c r="B6" s="276"/>
      <c r="C6" s="276"/>
      <c r="D6" s="276"/>
      <c r="E6" s="276"/>
      <c r="F6" s="288" t="s">
        <v>3467</v>
      </c>
      <c r="G6" s="579" t="s">
        <v>3437</v>
      </c>
      <c r="H6" s="272" t="s">
        <v>511</v>
      </c>
      <c r="I6" s="579" t="s">
        <v>3446</v>
      </c>
      <c r="J6" s="109" t="s">
        <v>3468</v>
      </c>
      <c r="K6" s="7"/>
    </row>
    <row r="7" spans="1:11" ht="15" customHeight="1" x14ac:dyDescent="0.2">
      <c r="A7" s="273"/>
      <c r="B7" s="276"/>
      <c r="C7" s="276"/>
      <c r="D7" s="276"/>
      <c r="E7" s="276"/>
      <c r="F7" s="288"/>
      <c r="G7" s="289"/>
      <c r="H7" s="272"/>
      <c r="I7" s="289"/>
      <c r="J7" s="109" t="s">
        <v>3469</v>
      </c>
      <c r="K7" s="7"/>
    </row>
    <row r="8" spans="1:11" x14ac:dyDescent="0.2">
      <c r="A8" s="273"/>
      <c r="B8" s="276"/>
      <c r="C8" s="276"/>
      <c r="D8" s="276"/>
      <c r="E8" s="276"/>
      <c r="F8" s="273"/>
      <c r="G8" s="273"/>
      <c r="H8" s="273"/>
      <c r="I8" s="273"/>
      <c r="J8" s="109" t="s">
        <v>3470</v>
      </c>
      <c r="K8" s="7"/>
    </row>
    <row r="9" spans="1:11" ht="15" customHeight="1" x14ac:dyDescent="0.2">
      <c r="A9" s="273"/>
      <c r="B9" s="276"/>
      <c r="C9" s="276"/>
      <c r="D9" s="276"/>
      <c r="E9" s="276"/>
      <c r="F9" s="288" t="s">
        <v>3471</v>
      </c>
      <c r="G9" s="579" t="s">
        <v>3447</v>
      </c>
      <c r="H9" s="272" t="s">
        <v>528</v>
      </c>
      <c r="I9" s="579" t="s">
        <v>3448</v>
      </c>
      <c r="J9" s="26"/>
      <c r="K9" s="7"/>
    </row>
    <row r="10" spans="1:11" ht="15" customHeight="1" x14ac:dyDescent="0.2">
      <c r="A10" s="273"/>
      <c r="B10" s="276"/>
      <c r="C10" s="276"/>
      <c r="D10" s="276"/>
      <c r="E10" s="276"/>
      <c r="F10" s="288"/>
      <c r="G10" s="272"/>
      <c r="H10" s="272"/>
      <c r="I10" s="272"/>
      <c r="J10" s="26"/>
      <c r="K10" s="7"/>
    </row>
    <row r="11" spans="1:11" x14ac:dyDescent="0.2">
      <c r="A11" s="273"/>
      <c r="B11" s="276"/>
      <c r="C11" s="276"/>
      <c r="D11" s="276"/>
      <c r="E11" s="276"/>
      <c r="F11" s="273"/>
      <c r="G11" s="273"/>
      <c r="H11" s="273"/>
      <c r="I11" s="273"/>
      <c r="J11" s="89"/>
      <c r="K11" s="7"/>
    </row>
    <row r="12" spans="1:11" ht="15" customHeight="1" x14ac:dyDescent="0.2">
      <c r="A12" s="273"/>
      <c r="B12" s="276"/>
      <c r="C12" s="276"/>
      <c r="D12" s="276"/>
      <c r="E12" s="276"/>
      <c r="F12" s="288" t="s">
        <v>3472</v>
      </c>
      <c r="G12" s="579" t="s">
        <v>3450</v>
      </c>
      <c r="H12" s="272" t="s">
        <v>515</v>
      </c>
      <c r="I12" s="579" t="s">
        <v>3449</v>
      </c>
      <c r="J12" s="26"/>
      <c r="K12" s="7"/>
    </row>
    <row r="13" spans="1:11" ht="15" customHeight="1" x14ac:dyDescent="0.2">
      <c r="A13" s="273"/>
      <c r="B13" s="276"/>
      <c r="C13" s="276"/>
      <c r="D13" s="276"/>
      <c r="E13" s="276"/>
      <c r="F13" s="288"/>
      <c r="G13" s="272"/>
      <c r="H13" s="272"/>
      <c r="I13" s="272"/>
      <c r="J13" s="26"/>
      <c r="K13" s="7"/>
    </row>
    <row r="14" spans="1:11" x14ac:dyDescent="0.2">
      <c r="A14" s="273"/>
      <c r="B14" s="276"/>
      <c r="C14" s="276"/>
      <c r="D14" s="276"/>
      <c r="E14" s="276"/>
      <c r="F14" s="273"/>
      <c r="G14" s="273"/>
      <c r="H14" s="273"/>
      <c r="I14" s="273"/>
      <c r="J14" s="89"/>
      <c r="K14" s="7"/>
    </row>
    <row r="15" spans="1:11" ht="15" customHeight="1" x14ac:dyDescent="0.2">
      <c r="A15" s="273"/>
      <c r="B15" s="276"/>
      <c r="C15" s="276"/>
      <c r="D15" s="276"/>
      <c r="E15" s="276"/>
      <c r="F15" s="288" t="s">
        <v>3473</v>
      </c>
      <c r="G15" s="579"/>
      <c r="H15" s="272"/>
      <c r="I15" s="272"/>
      <c r="J15" s="26"/>
      <c r="K15" s="7"/>
    </row>
    <row r="16" spans="1:11" ht="15" customHeight="1" x14ac:dyDescent="0.2">
      <c r="A16" s="273"/>
      <c r="B16" s="276"/>
      <c r="C16" s="276"/>
      <c r="D16" s="276"/>
      <c r="E16" s="276"/>
      <c r="F16" s="288"/>
      <c r="G16" s="272"/>
      <c r="H16" s="272"/>
      <c r="I16" s="272"/>
      <c r="J16" s="26"/>
      <c r="K16" s="7"/>
    </row>
    <row r="17" spans="1:11" x14ac:dyDescent="0.2">
      <c r="A17" s="273"/>
      <c r="B17" s="276"/>
      <c r="C17" s="276"/>
      <c r="D17" s="276"/>
      <c r="E17" s="276"/>
      <c r="F17" s="273"/>
      <c r="G17" s="273"/>
      <c r="H17" s="273"/>
      <c r="I17" s="273"/>
      <c r="J17" s="89"/>
      <c r="K17" s="7"/>
    </row>
    <row r="18" spans="1:11" ht="15" customHeight="1" x14ac:dyDescent="0.2">
      <c r="A18" s="273"/>
      <c r="B18" s="276"/>
      <c r="C18" s="276"/>
      <c r="D18" s="276"/>
      <c r="E18" s="276"/>
      <c r="F18" s="288" t="s">
        <v>3474</v>
      </c>
      <c r="G18" s="272"/>
      <c r="H18" s="272"/>
      <c r="I18" s="272"/>
      <c r="J18" s="26"/>
      <c r="K18" s="7"/>
    </row>
    <row r="19" spans="1:11" ht="15" customHeight="1" x14ac:dyDescent="0.2">
      <c r="A19" s="273"/>
      <c r="B19" s="276"/>
      <c r="C19" s="276"/>
      <c r="D19" s="276"/>
      <c r="E19" s="276"/>
      <c r="F19" s="288"/>
      <c r="G19" s="272"/>
      <c r="H19" s="272"/>
      <c r="I19" s="272"/>
      <c r="J19" s="26"/>
      <c r="K19" s="7"/>
    </row>
    <row r="20" spans="1:11" x14ac:dyDescent="0.2">
      <c r="A20" s="273"/>
      <c r="B20" s="276"/>
      <c r="C20" s="276"/>
      <c r="D20" s="276"/>
      <c r="E20" s="276"/>
      <c r="F20" s="273"/>
      <c r="G20" s="273"/>
      <c r="H20" s="273"/>
      <c r="I20" s="273"/>
      <c r="J20" s="89"/>
      <c r="K20" s="7"/>
    </row>
    <row r="21" spans="1:11" x14ac:dyDescent="0.2">
      <c r="A21" s="273"/>
      <c r="B21" s="277" t="s">
        <v>3475</v>
      </c>
      <c r="C21" s="583" t="s">
        <v>3433</v>
      </c>
      <c r="D21" s="277"/>
      <c r="E21" s="277"/>
      <c r="F21" s="288" t="s">
        <v>3476</v>
      </c>
      <c r="G21" s="579" t="s">
        <v>3431</v>
      </c>
      <c r="H21" s="272" t="s">
        <v>511</v>
      </c>
      <c r="I21" s="579"/>
      <c r="J21" s="39"/>
      <c r="K21" s="7"/>
    </row>
    <row r="22" spans="1:11" x14ac:dyDescent="0.2">
      <c r="A22" s="273"/>
      <c r="B22" s="278"/>
      <c r="C22" s="278"/>
      <c r="D22" s="278"/>
      <c r="E22" s="278"/>
      <c r="F22" s="288"/>
      <c r="G22" s="289"/>
      <c r="H22" s="272"/>
      <c r="I22" s="289"/>
      <c r="J22" s="39"/>
      <c r="K22" s="7"/>
    </row>
    <row r="23" spans="1:11" x14ac:dyDescent="0.2">
      <c r="A23" s="273"/>
      <c r="B23" s="279"/>
      <c r="C23" s="279"/>
      <c r="D23" s="279"/>
      <c r="E23" s="279"/>
      <c r="F23" s="273"/>
      <c r="G23" s="273"/>
      <c r="H23" s="273"/>
      <c r="I23" s="273"/>
      <c r="J23" s="89"/>
      <c r="K23" s="7"/>
    </row>
    <row r="24" spans="1:11" ht="15" customHeight="1" x14ac:dyDescent="0.2">
      <c r="A24" s="273"/>
      <c r="B24" s="279"/>
      <c r="C24" s="279"/>
      <c r="D24" s="279"/>
      <c r="E24" s="279"/>
      <c r="F24" s="288" t="s">
        <v>3477</v>
      </c>
      <c r="G24" s="579" t="s">
        <v>3432</v>
      </c>
      <c r="H24" s="272" t="s">
        <v>511</v>
      </c>
      <c r="I24" s="579" t="s">
        <v>3451</v>
      </c>
      <c r="J24" s="26"/>
      <c r="K24" s="7"/>
    </row>
    <row r="25" spans="1:11" ht="15" customHeight="1" x14ac:dyDescent="0.2">
      <c r="A25" s="273"/>
      <c r="B25" s="279"/>
      <c r="C25" s="279"/>
      <c r="D25" s="279"/>
      <c r="E25" s="279"/>
      <c r="F25" s="288"/>
      <c r="G25" s="272"/>
      <c r="H25" s="272"/>
      <c r="I25" s="289"/>
      <c r="J25" s="26"/>
      <c r="K25" s="7"/>
    </row>
    <row r="26" spans="1:11" x14ac:dyDescent="0.2">
      <c r="A26" s="273"/>
      <c r="B26" s="279"/>
      <c r="C26" s="279"/>
      <c r="D26" s="279"/>
      <c r="E26" s="279"/>
      <c r="F26" s="273"/>
      <c r="G26" s="273"/>
      <c r="H26" s="273"/>
      <c r="I26" s="273"/>
      <c r="J26" s="89"/>
      <c r="K26" s="7"/>
    </row>
    <row r="27" spans="1:11" x14ac:dyDescent="0.2">
      <c r="A27" s="273"/>
      <c r="B27" s="279"/>
      <c r="C27" s="279"/>
      <c r="D27" s="279"/>
      <c r="E27" s="279"/>
      <c r="F27" s="288" t="s">
        <v>3478</v>
      </c>
      <c r="G27" s="579" t="s">
        <v>3435</v>
      </c>
      <c r="H27" s="272" t="s">
        <v>511</v>
      </c>
      <c r="I27" s="272"/>
      <c r="J27" s="26"/>
      <c r="K27" s="7"/>
    </row>
    <row r="28" spans="1:11" x14ac:dyDescent="0.2">
      <c r="A28" s="273"/>
      <c r="B28" s="279"/>
      <c r="C28" s="279"/>
      <c r="D28" s="279"/>
      <c r="E28" s="279"/>
      <c r="F28" s="288"/>
      <c r="G28" s="272"/>
      <c r="H28" s="272"/>
      <c r="I28" s="272"/>
      <c r="J28" s="26"/>
      <c r="K28" s="7"/>
    </row>
    <row r="29" spans="1:11" x14ac:dyDescent="0.2">
      <c r="A29" s="273"/>
      <c r="B29" s="279"/>
      <c r="C29" s="279"/>
      <c r="D29" s="279"/>
      <c r="E29" s="279"/>
      <c r="F29" s="273"/>
      <c r="G29" s="273"/>
      <c r="H29" s="273"/>
      <c r="I29" s="273"/>
      <c r="J29" s="89"/>
      <c r="K29" s="7"/>
    </row>
    <row r="30" spans="1:11" x14ac:dyDescent="0.2">
      <c r="A30" s="273"/>
      <c r="B30" s="279"/>
      <c r="C30" s="279"/>
      <c r="D30" s="279"/>
      <c r="E30" s="279"/>
      <c r="F30" s="288" t="s">
        <v>3479</v>
      </c>
      <c r="G30" s="579" t="s">
        <v>3434</v>
      </c>
      <c r="H30" s="272" t="s">
        <v>511</v>
      </c>
      <c r="I30" s="289"/>
      <c r="J30" s="39"/>
      <c r="K30" s="7"/>
    </row>
    <row r="31" spans="1:11" x14ac:dyDescent="0.2">
      <c r="A31" s="273"/>
      <c r="B31" s="279"/>
      <c r="C31" s="279"/>
      <c r="D31" s="279"/>
      <c r="E31" s="279"/>
      <c r="F31" s="288"/>
      <c r="G31" s="289"/>
      <c r="H31" s="272"/>
      <c r="I31" s="289"/>
      <c r="J31" s="39"/>
      <c r="K31" s="7"/>
    </row>
    <row r="32" spans="1:11" x14ac:dyDescent="0.2">
      <c r="A32" s="273"/>
      <c r="B32" s="279"/>
      <c r="C32" s="279"/>
      <c r="D32" s="279"/>
      <c r="E32" s="279"/>
      <c r="F32" s="273"/>
      <c r="G32" s="273"/>
      <c r="H32" s="273"/>
      <c r="I32" s="273"/>
      <c r="J32" s="89"/>
      <c r="K32" s="37"/>
    </row>
    <row r="33" spans="1:11" x14ac:dyDescent="0.2">
      <c r="A33" s="273"/>
      <c r="B33" s="279"/>
      <c r="C33" s="279"/>
      <c r="D33" s="279"/>
      <c r="E33" s="279"/>
      <c r="F33" s="288" t="s">
        <v>3480</v>
      </c>
      <c r="G33" s="579" t="s">
        <v>3452</v>
      </c>
      <c r="H33" s="272" t="s">
        <v>511</v>
      </c>
      <c r="I33" s="272"/>
      <c r="J33" s="26"/>
      <c r="K33" s="37"/>
    </row>
    <row r="34" spans="1:11" x14ac:dyDescent="0.2">
      <c r="A34" s="273"/>
      <c r="B34" s="279"/>
      <c r="C34" s="279"/>
      <c r="D34" s="279"/>
      <c r="E34" s="279"/>
      <c r="F34" s="288"/>
      <c r="G34" s="272"/>
      <c r="H34" s="272"/>
      <c r="I34" s="272"/>
      <c r="J34" s="26"/>
      <c r="K34" s="37"/>
    </row>
    <row r="35" spans="1:11" x14ac:dyDescent="0.2">
      <c r="A35" s="273"/>
      <c r="B35" s="279"/>
      <c r="C35" s="279"/>
      <c r="D35" s="279"/>
      <c r="E35" s="279"/>
      <c r="F35" s="273"/>
      <c r="G35" s="273"/>
      <c r="H35" s="273"/>
      <c r="I35" s="273"/>
      <c r="J35" s="89"/>
      <c r="K35" s="37"/>
    </row>
    <row r="36" spans="1:11" ht="15" customHeight="1" x14ac:dyDescent="0.25">
      <c r="A36" s="273"/>
      <c r="B36" s="279"/>
      <c r="C36" s="279"/>
      <c r="D36" s="279"/>
      <c r="E36" s="279"/>
      <c r="F36" s="288" t="s">
        <v>3481</v>
      </c>
      <c r="G36" s="272"/>
      <c r="H36" s="272"/>
      <c r="I36" s="272"/>
      <c r="J36" s="26"/>
      <c r="K36" s="104"/>
    </row>
    <row r="37" spans="1:11" ht="15" customHeight="1" x14ac:dyDescent="0.25">
      <c r="A37" s="273"/>
      <c r="B37" s="279"/>
      <c r="C37" s="279"/>
      <c r="D37" s="279"/>
      <c r="E37" s="279"/>
      <c r="F37" s="288"/>
      <c r="G37" s="272"/>
      <c r="H37" s="272"/>
      <c r="I37" s="272"/>
      <c r="J37" s="26"/>
      <c r="K37" s="104"/>
    </row>
    <row r="38" spans="1:11" x14ac:dyDescent="0.25">
      <c r="A38" s="273"/>
      <c r="B38" s="279"/>
      <c r="C38" s="279"/>
      <c r="D38" s="279"/>
      <c r="E38" s="279"/>
      <c r="F38" s="273"/>
      <c r="G38" s="273"/>
      <c r="H38" s="273"/>
      <c r="I38" s="273"/>
      <c r="J38" s="89"/>
      <c r="K38" s="33"/>
    </row>
    <row r="39" spans="1:11" x14ac:dyDescent="0.25">
      <c r="A39" s="276"/>
      <c r="B39" s="280" t="s">
        <v>3482</v>
      </c>
      <c r="C39" s="581" t="s">
        <v>3457</v>
      </c>
      <c r="D39" s="280"/>
      <c r="E39" s="280"/>
      <c r="F39" s="288" t="s">
        <v>3483</v>
      </c>
      <c r="G39" s="579" t="s">
        <v>3453</v>
      </c>
      <c r="H39" s="272" t="s">
        <v>528</v>
      </c>
      <c r="I39" s="579" t="s">
        <v>3455</v>
      </c>
      <c r="J39" s="26"/>
      <c r="K39" s="33"/>
    </row>
    <row r="40" spans="1:11" x14ac:dyDescent="0.25">
      <c r="A40" s="276"/>
      <c r="B40" s="280"/>
      <c r="C40" s="280"/>
      <c r="D40" s="280"/>
      <c r="E40" s="280"/>
      <c r="F40" s="288"/>
      <c r="G40" s="272"/>
      <c r="H40" s="272"/>
      <c r="I40" s="272"/>
      <c r="J40" s="26"/>
      <c r="K40" s="33"/>
    </row>
    <row r="41" spans="1:11" x14ac:dyDescent="0.25">
      <c r="A41" s="276"/>
      <c r="B41" s="281"/>
      <c r="C41" s="281"/>
      <c r="D41" s="281"/>
      <c r="E41" s="281"/>
      <c r="F41" s="273"/>
      <c r="G41" s="273"/>
      <c r="H41" s="273"/>
      <c r="I41" s="273"/>
      <c r="J41" s="89"/>
      <c r="K41" s="33"/>
    </row>
    <row r="42" spans="1:11" ht="15" customHeight="1" x14ac:dyDescent="0.25">
      <c r="A42" s="276"/>
      <c r="B42" s="281"/>
      <c r="C42" s="281"/>
      <c r="D42" s="281"/>
      <c r="E42" s="281"/>
      <c r="F42" s="288" t="s">
        <v>3484</v>
      </c>
      <c r="G42" s="579" t="s">
        <v>3413</v>
      </c>
      <c r="H42" s="272" t="s">
        <v>511</v>
      </c>
      <c r="I42" s="579" t="s">
        <v>3454</v>
      </c>
      <c r="J42" s="26"/>
      <c r="K42" s="33"/>
    </row>
    <row r="43" spans="1:11" ht="15" customHeight="1" x14ac:dyDescent="0.25">
      <c r="A43" s="276"/>
      <c r="B43" s="281"/>
      <c r="C43" s="281"/>
      <c r="D43" s="281"/>
      <c r="E43" s="281"/>
      <c r="F43" s="288"/>
      <c r="G43" s="272"/>
      <c r="H43" s="272"/>
      <c r="I43" s="272"/>
      <c r="J43" s="26"/>
      <c r="K43" s="33"/>
    </row>
    <row r="44" spans="1:11" x14ac:dyDescent="0.25">
      <c r="A44" s="276"/>
      <c r="B44" s="281"/>
      <c r="C44" s="281"/>
      <c r="D44" s="281"/>
      <c r="E44" s="281"/>
      <c r="F44" s="273"/>
      <c r="G44" s="273"/>
      <c r="H44" s="273"/>
      <c r="I44" s="273"/>
      <c r="J44" s="89"/>
      <c r="K44" s="33"/>
    </row>
    <row r="45" spans="1:11" ht="15" customHeight="1" x14ac:dyDescent="0.25">
      <c r="A45" s="276"/>
      <c r="B45" s="281"/>
      <c r="C45" s="281"/>
      <c r="D45" s="281"/>
      <c r="E45" s="281"/>
      <c r="F45" s="288" t="s">
        <v>3485</v>
      </c>
      <c r="G45" s="579" t="s">
        <v>3414</v>
      </c>
      <c r="H45" s="272" t="s">
        <v>528</v>
      </c>
      <c r="I45" s="272"/>
      <c r="J45" s="26"/>
      <c r="K45" s="33"/>
    </row>
    <row r="46" spans="1:11" ht="15" customHeight="1" x14ac:dyDescent="0.25">
      <c r="A46" s="276"/>
      <c r="B46" s="281"/>
      <c r="C46" s="281"/>
      <c r="D46" s="281"/>
      <c r="E46" s="281"/>
      <c r="F46" s="288"/>
      <c r="G46" s="272"/>
      <c r="H46" s="272"/>
      <c r="I46" s="272"/>
      <c r="J46" s="26"/>
      <c r="K46" s="33"/>
    </row>
    <row r="47" spans="1:11" x14ac:dyDescent="0.25">
      <c r="A47" s="276"/>
      <c r="B47" s="281"/>
      <c r="C47" s="281"/>
      <c r="D47" s="281"/>
      <c r="E47" s="281"/>
      <c r="F47" s="273"/>
      <c r="G47" s="273"/>
      <c r="H47" s="273"/>
      <c r="I47" s="273"/>
      <c r="J47" s="89"/>
      <c r="K47" s="33"/>
    </row>
    <row r="48" spans="1:11" x14ac:dyDescent="0.25">
      <c r="A48" s="276"/>
      <c r="B48" s="281"/>
      <c r="C48" s="281"/>
      <c r="D48" s="281"/>
      <c r="E48" s="281"/>
      <c r="F48" s="288" t="s">
        <v>3486</v>
      </c>
      <c r="G48" s="579" t="s">
        <v>3415</v>
      </c>
      <c r="H48" s="272" t="s">
        <v>528</v>
      </c>
      <c r="I48" s="579" t="s">
        <v>3456</v>
      </c>
      <c r="J48" s="26"/>
      <c r="K48" s="33"/>
    </row>
    <row r="49" spans="1:11" x14ac:dyDescent="0.25">
      <c r="A49" s="276"/>
      <c r="B49" s="281"/>
      <c r="C49" s="281"/>
      <c r="D49" s="281"/>
      <c r="E49" s="281"/>
      <c r="F49" s="288"/>
      <c r="G49" s="272"/>
      <c r="H49" s="272"/>
      <c r="I49" s="272"/>
      <c r="J49" s="26"/>
      <c r="K49" s="33"/>
    </row>
    <row r="50" spans="1:11" x14ac:dyDescent="0.25">
      <c r="A50" s="276"/>
      <c r="B50" s="281"/>
      <c r="C50" s="281"/>
      <c r="D50" s="281"/>
      <c r="E50" s="281"/>
      <c r="F50" s="273"/>
      <c r="G50" s="273"/>
      <c r="H50" s="273"/>
      <c r="I50" s="273"/>
      <c r="J50" s="89"/>
      <c r="K50" s="33"/>
    </row>
    <row r="51" spans="1:11" x14ac:dyDescent="0.25">
      <c r="A51" s="276"/>
      <c r="B51" s="281"/>
      <c r="C51" s="281"/>
      <c r="D51" s="281"/>
      <c r="E51" s="281"/>
      <c r="F51" s="288" t="s">
        <v>3487</v>
      </c>
      <c r="G51" s="579" t="s">
        <v>3458</v>
      </c>
      <c r="H51" s="272" t="s">
        <v>528</v>
      </c>
      <c r="I51" s="579" t="s">
        <v>3459</v>
      </c>
      <c r="J51" s="26"/>
      <c r="K51" s="33"/>
    </row>
    <row r="52" spans="1:11" x14ac:dyDescent="0.25">
      <c r="A52" s="276"/>
      <c r="B52" s="281"/>
      <c r="C52" s="281"/>
      <c r="D52" s="281"/>
      <c r="E52" s="281"/>
      <c r="F52" s="288"/>
      <c r="G52" s="272"/>
      <c r="H52" s="272"/>
      <c r="I52" s="272"/>
      <c r="J52" s="26"/>
      <c r="K52" s="33"/>
    </row>
    <row r="53" spans="1:11" x14ac:dyDescent="0.25">
      <c r="A53" s="276"/>
      <c r="B53" s="281"/>
      <c r="C53" s="281"/>
      <c r="D53" s="281"/>
      <c r="E53" s="281"/>
      <c r="F53" s="273"/>
      <c r="G53" s="273"/>
      <c r="H53" s="273"/>
      <c r="I53" s="273"/>
      <c r="J53" s="89"/>
      <c r="K53" s="33"/>
    </row>
    <row r="54" spans="1:11" ht="15" customHeight="1" x14ac:dyDescent="0.25">
      <c r="A54" s="276"/>
      <c r="B54" s="281"/>
      <c r="C54" s="281"/>
      <c r="D54" s="281"/>
      <c r="E54" s="281"/>
      <c r="F54" s="288" t="s">
        <v>3488</v>
      </c>
      <c r="G54" s="272"/>
      <c r="H54" s="272"/>
      <c r="I54" s="272"/>
      <c r="J54" s="26"/>
      <c r="K54" s="33"/>
    </row>
    <row r="55" spans="1:11" ht="15" customHeight="1" x14ac:dyDescent="0.25">
      <c r="A55" s="276"/>
      <c r="B55" s="281"/>
      <c r="C55" s="281"/>
      <c r="D55" s="281"/>
      <c r="E55" s="281"/>
      <c r="F55" s="288"/>
      <c r="G55" s="272"/>
      <c r="H55" s="272"/>
      <c r="I55" s="272"/>
      <c r="J55" s="26"/>
      <c r="K55" s="33"/>
    </row>
    <row r="56" spans="1:11" x14ac:dyDescent="0.25">
      <c r="A56" s="276"/>
      <c r="B56" s="281"/>
      <c r="C56" s="281"/>
      <c r="D56" s="281"/>
      <c r="E56" s="281"/>
      <c r="F56" s="273"/>
      <c r="G56" s="273"/>
      <c r="H56" s="273"/>
      <c r="I56" s="273"/>
      <c r="J56" s="89"/>
      <c r="K56" s="33"/>
    </row>
    <row r="57" spans="1:11" x14ac:dyDescent="0.25">
      <c r="A57" s="276"/>
      <c r="B57" s="282" t="s">
        <v>3489</v>
      </c>
      <c r="C57" s="580" t="s">
        <v>3410</v>
      </c>
      <c r="D57" s="282"/>
      <c r="E57" s="282"/>
      <c r="F57" s="288" t="s">
        <v>3490</v>
      </c>
      <c r="G57" s="267" t="s">
        <v>3425</v>
      </c>
      <c r="H57" s="272" t="s">
        <v>507</v>
      </c>
      <c r="I57" s="272"/>
      <c r="J57" s="26"/>
      <c r="K57" s="33"/>
    </row>
    <row r="58" spans="1:11" x14ac:dyDescent="0.25">
      <c r="A58" s="276"/>
      <c r="B58" s="283"/>
      <c r="C58" s="283"/>
      <c r="D58" s="283"/>
      <c r="E58" s="283"/>
      <c r="F58" s="288"/>
      <c r="G58" s="268"/>
      <c r="H58" s="272"/>
      <c r="I58" s="272"/>
      <c r="J58" s="26"/>
      <c r="K58" s="33"/>
    </row>
    <row r="59" spans="1:11" x14ac:dyDescent="0.2">
      <c r="A59" s="276"/>
      <c r="B59" s="284"/>
      <c r="C59" s="284"/>
      <c r="D59" s="284"/>
      <c r="E59" s="284"/>
      <c r="F59" s="273"/>
      <c r="G59" s="290"/>
      <c r="H59" s="273"/>
      <c r="I59" s="273"/>
      <c r="J59" s="89"/>
      <c r="K59" s="34"/>
    </row>
    <row r="60" spans="1:11" x14ac:dyDescent="0.2">
      <c r="A60" s="276"/>
      <c r="B60" s="285"/>
      <c r="C60" s="285"/>
      <c r="D60" s="285"/>
      <c r="E60" s="285"/>
      <c r="F60" s="288" t="s">
        <v>3491</v>
      </c>
      <c r="G60" s="267" t="s">
        <v>3426</v>
      </c>
      <c r="H60" s="272" t="s">
        <v>507</v>
      </c>
      <c r="I60" s="272"/>
      <c r="J60" s="26"/>
      <c r="K60" s="34"/>
    </row>
    <row r="61" spans="1:11" x14ac:dyDescent="0.2">
      <c r="A61" s="276"/>
      <c r="B61" s="285"/>
      <c r="C61" s="285"/>
      <c r="D61" s="285"/>
      <c r="E61" s="285"/>
      <c r="F61" s="288"/>
      <c r="G61" s="268"/>
      <c r="H61" s="272"/>
      <c r="I61" s="272"/>
      <c r="J61" s="26"/>
      <c r="K61" s="34"/>
    </row>
    <row r="62" spans="1:11" x14ac:dyDescent="0.2">
      <c r="A62" s="276"/>
      <c r="B62" s="285"/>
      <c r="C62" s="285"/>
      <c r="D62" s="285"/>
      <c r="E62" s="285"/>
      <c r="F62" s="273"/>
      <c r="G62" s="290"/>
      <c r="H62" s="273"/>
      <c r="I62" s="273"/>
      <c r="J62" s="89"/>
      <c r="K62" s="34"/>
    </row>
    <row r="63" spans="1:11" ht="16.350000000000001" customHeight="1" x14ac:dyDescent="0.2">
      <c r="A63" s="276"/>
      <c r="B63" s="285"/>
      <c r="C63" s="285"/>
      <c r="D63" s="285"/>
      <c r="E63" s="285"/>
      <c r="F63" s="288" t="s">
        <v>3492</v>
      </c>
      <c r="G63" s="267" t="s">
        <v>3427</v>
      </c>
      <c r="H63" s="272" t="s">
        <v>507</v>
      </c>
      <c r="I63" s="272"/>
      <c r="J63" s="26"/>
      <c r="K63" s="34"/>
    </row>
    <row r="64" spans="1:11" ht="16.350000000000001" customHeight="1" x14ac:dyDescent="0.2">
      <c r="A64" s="276"/>
      <c r="B64" s="285"/>
      <c r="C64" s="285"/>
      <c r="D64" s="285"/>
      <c r="E64" s="285"/>
      <c r="F64" s="288"/>
      <c r="G64" s="268"/>
      <c r="H64" s="272"/>
      <c r="I64" s="272"/>
      <c r="J64" s="26"/>
      <c r="K64" s="34"/>
    </row>
    <row r="65" spans="1:11" x14ac:dyDescent="0.2">
      <c r="A65" s="276"/>
      <c r="B65" s="285"/>
      <c r="C65" s="285"/>
      <c r="D65" s="285"/>
      <c r="E65" s="285"/>
      <c r="F65" s="273"/>
      <c r="G65" s="290"/>
      <c r="H65" s="273"/>
      <c r="I65" s="273"/>
      <c r="J65" s="89"/>
      <c r="K65" s="34"/>
    </row>
    <row r="66" spans="1:11" ht="16.350000000000001" customHeight="1" x14ac:dyDescent="0.2">
      <c r="A66" s="276"/>
      <c r="B66" s="285"/>
      <c r="C66" s="285"/>
      <c r="D66" s="285"/>
      <c r="E66" s="285"/>
      <c r="F66" s="288" t="s">
        <v>3493</v>
      </c>
      <c r="G66" s="267" t="s">
        <v>3428</v>
      </c>
      <c r="H66" s="272" t="s">
        <v>507</v>
      </c>
      <c r="I66" s="272"/>
      <c r="J66" s="26"/>
      <c r="K66" s="34"/>
    </row>
    <row r="67" spans="1:11" ht="16.350000000000001" customHeight="1" x14ac:dyDescent="0.2">
      <c r="A67" s="276"/>
      <c r="B67" s="285"/>
      <c r="C67" s="285"/>
      <c r="D67" s="285"/>
      <c r="E67" s="285"/>
      <c r="F67" s="288"/>
      <c r="G67" s="268"/>
      <c r="H67" s="272"/>
      <c r="I67" s="272"/>
      <c r="J67" s="26"/>
      <c r="K67" s="34"/>
    </row>
    <row r="68" spans="1:11" x14ac:dyDescent="0.2">
      <c r="A68" s="276"/>
      <c r="B68" s="285"/>
      <c r="C68" s="285"/>
      <c r="D68" s="285"/>
      <c r="E68" s="285"/>
      <c r="F68" s="273"/>
      <c r="G68" s="290"/>
      <c r="H68" s="273"/>
      <c r="I68" s="273"/>
      <c r="J68" s="89"/>
      <c r="K68" s="100"/>
    </row>
    <row r="69" spans="1:11" ht="16.350000000000001" customHeight="1" x14ac:dyDescent="0.2">
      <c r="A69" s="276"/>
      <c r="B69" s="285"/>
      <c r="C69" s="285"/>
      <c r="D69" s="285"/>
      <c r="E69" s="285"/>
      <c r="F69" s="288" t="s">
        <v>3494</v>
      </c>
      <c r="G69" s="267" t="s">
        <v>3429</v>
      </c>
      <c r="H69" s="272" t="s">
        <v>507</v>
      </c>
      <c r="I69" s="272"/>
      <c r="J69" s="26"/>
      <c r="K69" s="100"/>
    </row>
    <row r="70" spans="1:11" ht="16.350000000000001" customHeight="1" x14ac:dyDescent="0.2">
      <c r="A70" s="276"/>
      <c r="B70" s="285"/>
      <c r="C70" s="285"/>
      <c r="D70" s="285"/>
      <c r="E70" s="285"/>
      <c r="F70" s="288"/>
      <c r="G70" s="268"/>
      <c r="H70" s="272"/>
      <c r="I70" s="272"/>
      <c r="J70" s="26"/>
      <c r="K70" s="100"/>
    </row>
    <row r="71" spans="1:11" x14ac:dyDescent="0.2">
      <c r="A71" s="276"/>
      <c r="B71" s="285"/>
      <c r="C71" s="285"/>
      <c r="D71" s="285"/>
      <c r="E71" s="285"/>
      <c r="F71" s="273"/>
      <c r="G71" s="290"/>
      <c r="H71" s="273"/>
      <c r="I71" s="273"/>
      <c r="J71" s="89"/>
      <c r="K71" s="37"/>
    </row>
    <row r="72" spans="1:11" ht="16.350000000000001" customHeight="1" x14ac:dyDescent="0.2">
      <c r="A72" s="276"/>
      <c r="B72" s="285"/>
      <c r="C72" s="285"/>
      <c r="D72" s="285"/>
      <c r="E72" s="285"/>
      <c r="F72" s="288" t="s">
        <v>3495</v>
      </c>
      <c r="G72" s="267" t="s">
        <v>3430</v>
      </c>
      <c r="H72" s="272" t="s">
        <v>507</v>
      </c>
      <c r="I72" s="272"/>
      <c r="J72" s="26"/>
      <c r="K72" s="34"/>
    </row>
    <row r="73" spans="1:11" ht="16.350000000000001" customHeight="1" x14ac:dyDescent="0.2">
      <c r="A73" s="276"/>
      <c r="B73" s="285"/>
      <c r="C73" s="285"/>
      <c r="D73" s="285"/>
      <c r="E73" s="285"/>
      <c r="F73" s="288"/>
      <c r="G73" s="268"/>
      <c r="H73" s="272"/>
      <c r="I73" s="272"/>
      <c r="J73" s="26"/>
      <c r="K73" s="34"/>
    </row>
    <row r="74" spans="1:11" x14ac:dyDescent="0.2">
      <c r="A74" s="276"/>
      <c r="B74" s="285"/>
      <c r="C74" s="285"/>
      <c r="D74" s="285"/>
      <c r="E74" s="285"/>
      <c r="F74" s="273"/>
      <c r="G74" s="290"/>
      <c r="H74" s="273"/>
      <c r="I74" s="273"/>
      <c r="J74" s="89"/>
      <c r="K74" s="100"/>
    </row>
    <row r="75" spans="1:11" x14ac:dyDescent="0.25">
      <c r="A75" s="276"/>
      <c r="B75" s="282" t="s">
        <v>3496</v>
      </c>
      <c r="C75" s="580" t="s">
        <v>3419</v>
      </c>
      <c r="D75" s="282"/>
      <c r="E75" s="282"/>
      <c r="F75" s="288" t="s">
        <v>3497</v>
      </c>
      <c r="G75" s="579" t="s">
        <v>3416</v>
      </c>
      <c r="H75" s="272"/>
      <c r="I75" s="272"/>
      <c r="J75" s="26"/>
      <c r="K75" s="33"/>
    </row>
    <row r="76" spans="1:11" x14ac:dyDescent="0.25">
      <c r="A76" s="276"/>
      <c r="B76" s="283"/>
      <c r="C76" s="283"/>
      <c r="D76" s="283"/>
      <c r="E76" s="283"/>
      <c r="F76" s="288"/>
      <c r="G76" s="272"/>
      <c r="H76" s="272"/>
      <c r="I76" s="272"/>
      <c r="J76" s="26"/>
      <c r="K76" s="33"/>
    </row>
    <row r="77" spans="1:11" x14ac:dyDescent="0.2">
      <c r="A77" s="276"/>
      <c r="B77" s="284"/>
      <c r="C77" s="284"/>
      <c r="D77" s="284"/>
      <c r="E77" s="284"/>
      <c r="F77" s="273"/>
      <c r="G77" s="273"/>
      <c r="H77" s="273"/>
      <c r="I77" s="273"/>
      <c r="J77" s="89"/>
      <c r="K77" s="34"/>
    </row>
    <row r="78" spans="1:11" ht="15" customHeight="1" x14ac:dyDescent="0.2">
      <c r="A78" s="276"/>
      <c r="B78" s="285"/>
      <c r="C78" s="285"/>
      <c r="D78" s="285"/>
      <c r="E78" s="285"/>
      <c r="F78" s="288" t="s">
        <v>3498</v>
      </c>
      <c r="G78" s="579" t="s">
        <v>3417</v>
      </c>
      <c r="H78" s="272"/>
      <c r="I78" s="272"/>
      <c r="J78" s="26"/>
      <c r="K78" s="34"/>
    </row>
    <row r="79" spans="1:11" x14ac:dyDescent="0.2">
      <c r="A79" s="276"/>
      <c r="B79" s="285"/>
      <c r="C79" s="285"/>
      <c r="D79" s="285"/>
      <c r="E79" s="285"/>
      <c r="F79" s="288"/>
      <c r="G79" s="272"/>
      <c r="H79" s="272"/>
      <c r="I79" s="272"/>
      <c r="J79" s="26"/>
      <c r="K79" s="34"/>
    </row>
    <row r="80" spans="1:11" x14ac:dyDescent="0.2">
      <c r="A80" s="276"/>
      <c r="B80" s="285"/>
      <c r="C80" s="285"/>
      <c r="D80" s="285"/>
      <c r="E80" s="285"/>
      <c r="F80" s="273"/>
      <c r="G80" s="273"/>
      <c r="H80" s="273"/>
      <c r="I80" s="273"/>
      <c r="J80" s="89"/>
      <c r="K80" s="34"/>
    </row>
    <row r="81" spans="1:11" ht="16.350000000000001" customHeight="1" x14ac:dyDescent="0.2">
      <c r="A81" s="276"/>
      <c r="B81" s="285"/>
      <c r="C81" s="285"/>
      <c r="D81" s="285"/>
      <c r="E81" s="285"/>
      <c r="F81" s="288" t="s">
        <v>3499</v>
      </c>
      <c r="G81" s="579" t="s">
        <v>3418</v>
      </c>
      <c r="H81" s="272"/>
      <c r="I81" s="272"/>
      <c r="J81" s="26"/>
      <c r="K81" s="34"/>
    </row>
    <row r="82" spans="1:11" ht="16.350000000000001" customHeight="1" x14ac:dyDescent="0.2">
      <c r="A82" s="276"/>
      <c r="B82" s="285"/>
      <c r="C82" s="285"/>
      <c r="D82" s="285"/>
      <c r="E82" s="285"/>
      <c r="F82" s="288"/>
      <c r="G82" s="272"/>
      <c r="H82" s="272"/>
      <c r="I82" s="272"/>
      <c r="J82" s="26"/>
      <c r="K82" s="34"/>
    </row>
    <row r="83" spans="1:11" x14ac:dyDescent="0.2">
      <c r="A83" s="276"/>
      <c r="B83" s="285"/>
      <c r="C83" s="285"/>
      <c r="D83" s="285"/>
      <c r="E83" s="285"/>
      <c r="F83" s="273"/>
      <c r="G83" s="273"/>
      <c r="H83" s="273"/>
      <c r="I83" s="273"/>
      <c r="J83" s="89"/>
      <c r="K83" s="34"/>
    </row>
    <row r="84" spans="1:11" ht="16.350000000000001" customHeight="1" x14ac:dyDescent="0.2">
      <c r="A84" s="276"/>
      <c r="B84" s="285"/>
      <c r="C84" s="285"/>
      <c r="D84" s="285"/>
      <c r="E84" s="285"/>
      <c r="F84" s="288" t="s">
        <v>3500</v>
      </c>
      <c r="G84" s="579" t="s">
        <v>3420</v>
      </c>
      <c r="H84" s="272"/>
      <c r="I84" s="272"/>
      <c r="J84" s="26"/>
      <c r="K84" s="34"/>
    </row>
    <row r="85" spans="1:11" ht="16.350000000000001" customHeight="1" x14ac:dyDescent="0.2">
      <c r="A85" s="276"/>
      <c r="B85" s="285"/>
      <c r="C85" s="285"/>
      <c r="D85" s="285"/>
      <c r="E85" s="285"/>
      <c r="F85" s="288"/>
      <c r="G85" s="272"/>
      <c r="H85" s="272"/>
      <c r="I85" s="272"/>
      <c r="J85" s="26"/>
      <c r="K85" s="34"/>
    </row>
    <row r="86" spans="1:11" x14ac:dyDescent="0.2">
      <c r="A86" s="276"/>
      <c r="B86" s="285"/>
      <c r="C86" s="285"/>
      <c r="D86" s="285"/>
      <c r="E86" s="285"/>
      <c r="F86" s="273"/>
      <c r="G86" s="273"/>
      <c r="H86" s="273"/>
      <c r="I86" s="273"/>
      <c r="J86" s="89"/>
      <c r="K86" s="100"/>
    </row>
    <row r="87" spans="1:11" ht="16.350000000000001" customHeight="1" x14ac:dyDescent="0.2">
      <c r="A87" s="276"/>
      <c r="B87" s="285"/>
      <c r="C87" s="285"/>
      <c r="D87" s="285"/>
      <c r="E87" s="285"/>
      <c r="F87" s="288" t="s">
        <v>3501</v>
      </c>
      <c r="G87" s="272"/>
      <c r="H87" s="272"/>
      <c r="I87" s="272"/>
      <c r="J87" s="26"/>
      <c r="K87" s="100"/>
    </row>
    <row r="88" spans="1:11" ht="16.350000000000001" customHeight="1" x14ac:dyDescent="0.2">
      <c r="A88" s="276"/>
      <c r="B88" s="285"/>
      <c r="C88" s="285"/>
      <c r="D88" s="285"/>
      <c r="E88" s="285"/>
      <c r="F88" s="288"/>
      <c r="G88" s="272"/>
      <c r="H88" s="272"/>
      <c r="I88" s="272"/>
      <c r="J88" s="26"/>
      <c r="K88" s="100"/>
    </row>
    <row r="89" spans="1:11" x14ac:dyDescent="0.2">
      <c r="A89" s="276"/>
      <c r="B89" s="285"/>
      <c r="C89" s="285"/>
      <c r="D89" s="285"/>
      <c r="E89" s="285"/>
      <c r="F89" s="273"/>
      <c r="G89" s="273"/>
      <c r="H89" s="273"/>
      <c r="I89" s="273"/>
      <c r="J89" s="89"/>
      <c r="K89" s="37"/>
    </row>
    <row r="90" spans="1:11" ht="16.350000000000001" customHeight="1" x14ac:dyDescent="0.2">
      <c r="A90" s="276"/>
      <c r="B90" s="285"/>
      <c r="C90" s="285"/>
      <c r="D90" s="285"/>
      <c r="E90" s="285"/>
      <c r="F90" s="288" t="s">
        <v>3502</v>
      </c>
      <c r="G90" s="272"/>
      <c r="H90" s="272"/>
      <c r="I90" s="272"/>
      <c r="J90" s="26"/>
      <c r="K90" s="34"/>
    </row>
    <row r="91" spans="1:11" ht="16.350000000000001" customHeight="1" x14ac:dyDescent="0.2">
      <c r="A91" s="276"/>
      <c r="B91" s="285"/>
      <c r="C91" s="285"/>
      <c r="D91" s="285"/>
      <c r="E91" s="285"/>
      <c r="F91" s="288"/>
      <c r="G91" s="272"/>
      <c r="H91" s="272"/>
      <c r="I91" s="272"/>
      <c r="J91" s="26"/>
      <c r="K91" s="34"/>
    </row>
    <row r="92" spans="1:11" x14ac:dyDescent="0.2">
      <c r="A92" s="276"/>
      <c r="B92" s="285"/>
      <c r="C92" s="285"/>
      <c r="D92" s="285"/>
      <c r="E92" s="285"/>
      <c r="F92" s="273"/>
      <c r="G92" s="273"/>
      <c r="H92" s="273"/>
      <c r="I92" s="273"/>
      <c r="J92" s="89"/>
      <c r="K92" s="100"/>
    </row>
    <row r="93" spans="1:11" x14ac:dyDescent="0.25">
      <c r="A93" s="276"/>
      <c r="B93" s="282" t="s">
        <v>874</v>
      </c>
      <c r="C93" s="580" t="s">
        <v>3411</v>
      </c>
      <c r="D93" s="282"/>
      <c r="E93" s="282"/>
      <c r="F93" s="288" t="s">
        <v>3503</v>
      </c>
      <c r="G93" s="579" t="s">
        <v>3421</v>
      </c>
      <c r="H93" s="272" t="s">
        <v>528</v>
      </c>
      <c r="I93" s="272"/>
      <c r="J93" s="26"/>
      <c r="K93" s="33"/>
    </row>
    <row r="94" spans="1:11" x14ac:dyDescent="0.25">
      <c r="A94" s="276"/>
      <c r="B94" s="283"/>
      <c r="C94" s="283"/>
      <c r="D94" s="283"/>
      <c r="E94" s="283"/>
      <c r="F94" s="288"/>
      <c r="G94" s="272"/>
      <c r="H94" s="272"/>
      <c r="I94" s="272"/>
      <c r="J94" s="26"/>
      <c r="K94" s="33"/>
    </row>
    <row r="95" spans="1:11" x14ac:dyDescent="0.2">
      <c r="A95" s="276"/>
      <c r="B95" s="284"/>
      <c r="C95" s="284"/>
      <c r="D95" s="284"/>
      <c r="E95" s="284"/>
      <c r="F95" s="273"/>
      <c r="G95" s="273"/>
      <c r="H95" s="273"/>
      <c r="I95" s="273"/>
      <c r="J95" s="89"/>
      <c r="K95" s="34"/>
    </row>
    <row r="96" spans="1:11" ht="15" customHeight="1" x14ac:dyDescent="0.2">
      <c r="A96" s="276"/>
      <c r="B96" s="285"/>
      <c r="C96" s="285"/>
      <c r="D96" s="285"/>
      <c r="E96" s="285"/>
      <c r="F96" s="288" t="s">
        <v>3504</v>
      </c>
      <c r="G96" s="579" t="s">
        <v>3422</v>
      </c>
      <c r="H96" s="272" t="s">
        <v>528</v>
      </c>
      <c r="I96" s="272"/>
      <c r="J96" s="26"/>
      <c r="K96" s="34"/>
    </row>
    <row r="97" spans="1:11" x14ac:dyDescent="0.2">
      <c r="A97" s="276"/>
      <c r="B97" s="285"/>
      <c r="C97" s="285"/>
      <c r="D97" s="285"/>
      <c r="E97" s="285"/>
      <c r="F97" s="288"/>
      <c r="G97" s="272"/>
      <c r="H97" s="272"/>
      <c r="I97" s="272"/>
      <c r="J97" s="26"/>
      <c r="K97" s="34"/>
    </row>
    <row r="98" spans="1:11" x14ac:dyDescent="0.2">
      <c r="A98" s="276"/>
      <c r="B98" s="285"/>
      <c r="C98" s="285"/>
      <c r="D98" s="285"/>
      <c r="E98" s="285"/>
      <c r="F98" s="273"/>
      <c r="G98" s="273"/>
      <c r="H98" s="273"/>
      <c r="I98" s="273"/>
      <c r="J98" s="89"/>
      <c r="K98" s="34"/>
    </row>
    <row r="99" spans="1:11" ht="16.350000000000001" customHeight="1" x14ac:dyDescent="0.2">
      <c r="A99" s="276"/>
      <c r="B99" s="285"/>
      <c r="C99" s="285"/>
      <c r="D99" s="285"/>
      <c r="E99" s="285"/>
      <c r="F99" s="288" t="s">
        <v>3505</v>
      </c>
      <c r="G99" s="579" t="s">
        <v>3423</v>
      </c>
      <c r="H99" s="272" t="s">
        <v>528</v>
      </c>
      <c r="I99" s="272"/>
      <c r="J99" s="26"/>
      <c r="K99" s="34"/>
    </row>
    <row r="100" spans="1:11" ht="16.350000000000001" customHeight="1" x14ac:dyDescent="0.2">
      <c r="A100" s="276"/>
      <c r="B100" s="285"/>
      <c r="C100" s="285"/>
      <c r="D100" s="285"/>
      <c r="E100" s="285"/>
      <c r="F100" s="288"/>
      <c r="G100" s="272"/>
      <c r="H100" s="272"/>
      <c r="I100" s="272"/>
      <c r="J100" s="26"/>
      <c r="K100" s="34"/>
    </row>
    <row r="101" spans="1:11" x14ac:dyDescent="0.2">
      <c r="A101" s="276"/>
      <c r="B101" s="285"/>
      <c r="C101" s="285"/>
      <c r="D101" s="285"/>
      <c r="E101" s="285"/>
      <c r="F101" s="273"/>
      <c r="G101" s="273"/>
      <c r="H101" s="273"/>
      <c r="I101" s="273"/>
      <c r="J101" s="89"/>
      <c r="K101" s="34"/>
    </row>
    <row r="102" spans="1:11" ht="16.350000000000001" customHeight="1" x14ac:dyDescent="0.2">
      <c r="A102" s="276"/>
      <c r="B102" s="285"/>
      <c r="C102" s="285"/>
      <c r="D102" s="285"/>
      <c r="E102" s="285"/>
      <c r="F102" s="288" t="s">
        <v>3506</v>
      </c>
      <c r="G102" s="579" t="s">
        <v>3424</v>
      </c>
      <c r="H102" s="272" t="s">
        <v>528</v>
      </c>
      <c r="I102" s="272"/>
      <c r="J102" s="26"/>
      <c r="K102" s="34"/>
    </row>
    <row r="103" spans="1:11" ht="16.350000000000001" customHeight="1" x14ac:dyDescent="0.2">
      <c r="A103" s="276"/>
      <c r="B103" s="285"/>
      <c r="C103" s="285"/>
      <c r="D103" s="285"/>
      <c r="E103" s="285"/>
      <c r="F103" s="288"/>
      <c r="G103" s="272"/>
      <c r="H103" s="272"/>
      <c r="I103" s="272"/>
      <c r="J103" s="26"/>
      <c r="K103" s="34"/>
    </row>
    <row r="104" spans="1:11" x14ac:dyDescent="0.2">
      <c r="A104" s="276"/>
      <c r="B104" s="285"/>
      <c r="C104" s="285"/>
      <c r="D104" s="285"/>
      <c r="E104" s="285"/>
      <c r="F104" s="273"/>
      <c r="G104" s="273"/>
      <c r="H104" s="273"/>
      <c r="I104" s="273"/>
      <c r="J104" s="89"/>
      <c r="K104" s="100"/>
    </row>
    <row r="105" spans="1:11" ht="16.350000000000001" customHeight="1" x14ac:dyDescent="0.2">
      <c r="A105" s="276"/>
      <c r="B105" s="285"/>
      <c r="C105" s="285"/>
      <c r="D105" s="285"/>
      <c r="E105" s="285"/>
      <c r="F105" s="288" t="s">
        <v>3507</v>
      </c>
      <c r="G105" s="272"/>
      <c r="H105" s="272"/>
      <c r="I105" s="272"/>
      <c r="J105" s="26"/>
      <c r="K105" s="100"/>
    </row>
    <row r="106" spans="1:11" ht="16.350000000000001" customHeight="1" x14ac:dyDescent="0.2">
      <c r="A106" s="276"/>
      <c r="B106" s="285"/>
      <c r="C106" s="285"/>
      <c r="D106" s="285"/>
      <c r="E106" s="285"/>
      <c r="F106" s="288"/>
      <c r="G106" s="272"/>
      <c r="H106" s="272"/>
      <c r="I106" s="272"/>
      <c r="J106" s="26"/>
      <c r="K106" s="100"/>
    </row>
    <row r="107" spans="1:11" x14ac:dyDescent="0.2">
      <c r="A107" s="276"/>
      <c r="B107" s="285"/>
      <c r="C107" s="285"/>
      <c r="D107" s="285"/>
      <c r="E107" s="285"/>
      <c r="F107" s="273"/>
      <c r="G107" s="273"/>
      <c r="H107" s="273"/>
      <c r="I107" s="273"/>
      <c r="J107" s="89"/>
      <c r="K107" s="37"/>
    </row>
    <row r="108" spans="1:11" ht="16.350000000000001" customHeight="1" x14ac:dyDescent="0.2">
      <c r="A108" s="276"/>
      <c r="B108" s="285"/>
      <c r="C108" s="285"/>
      <c r="D108" s="285"/>
      <c r="E108" s="285"/>
      <c r="F108" s="288" t="s">
        <v>3508</v>
      </c>
      <c r="G108" s="272"/>
      <c r="H108" s="272"/>
      <c r="I108" s="272"/>
      <c r="J108" s="26"/>
      <c r="K108" s="34"/>
    </row>
    <row r="109" spans="1:11" ht="16.350000000000001" customHeight="1" x14ac:dyDescent="0.2">
      <c r="A109" s="276"/>
      <c r="B109" s="285"/>
      <c r="C109" s="285"/>
      <c r="D109" s="285"/>
      <c r="E109" s="285"/>
      <c r="F109" s="288"/>
      <c r="G109" s="272"/>
      <c r="H109" s="272"/>
      <c r="I109" s="272"/>
      <c r="J109" s="26"/>
      <c r="K109" s="34"/>
    </row>
    <row r="110" spans="1:11" x14ac:dyDescent="0.2">
      <c r="A110" s="276"/>
      <c r="B110" s="285"/>
      <c r="C110" s="285"/>
      <c r="D110" s="285"/>
      <c r="E110" s="285"/>
      <c r="F110" s="273"/>
      <c r="G110" s="273"/>
      <c r="H110" s="273"/>
      <c r="I110" s="273"/>
      <c r="J110" s="89"/>
      <c r="K110" s="100"/>
    </row>
    <row r="111" spans="1:11" x14ac:dyDescent="0.25">
      <c r="A111" s="276"/>
      <c r="B111" s="282" t="s">
        <v>1406</v>
      </c>
      <c r="C111" s="580" t="s">
        <v>3412</v>
      </c>
      <c r="D111" s="282"/>
      <c r="E111" s="282"/>
      <c r="F111" s="288" t="s">
        <v>3509</v>
      </c>
      <c r="G111" s="272"/>
      <c r="H111" s="272"/>
      <c r="I111" s="579" t="s">
        <v>3460</v>
      </c>
      <c r="J111" s="26"/>
      <c r="K111" s="33"/>
    </row>
    <row r="112" spans="1:11" x14ac:dyDescent="0.25">
      <c r="A112" s="276"/>
      <c r="B112" s="283"/>
      <c r="C112" s="283"/>
      <c r="D112" s="283"/>
      <c r="E112" s="283"/>
      <c r="F112" s="288"/>
      <c r="G112" s="272"/>
      <c r="H112" s="272"/>
      <c r="I112" s="272"/>
      <c r="J112" s="26"/>
      <c r="K112" s="33"/>
    </row>
    <row r="113" spans="1:11" x14ac:dyDescent="0.2">
      <c r="A113" s="276"/>
      <c r="B113" s="284"/>
      <c r="C113" s="284"/>
      <c r="D113" s="284"/>
      <c r="E113" s="284"/>
      <c r="F113" s="273"/>
      <c r="G113" s="273"/>
      <c r="H113" s="273"/>
      <c r="I113" s="273"/>
      <c r="J113" s="89"/>
      <c r="K113" s="34"/>
    </row>
    <row r="114" spans="1:11" ht="15" customHeight="1" x14ac:dyDescent="0.2">
      <c r="A114" s="276"/>
      <c r="B114" s="285"/>
      <c r="C114" s="285"/>
      <c r="D114" s="285"/>
      <c r="E114" s="285"/>
      <c r="F114" s="288" t="s">
        <v>3510</v>
      </c>
      <c r="G114" s="272"/>
      <c r="H114" s="272"/>
      <c r="I114" s="272"/>
      <c r="J114" s="26"/>
      <c r="K114" s="34"/>
    </row>
    <row r="115" spans="1:11" x14ac:dyDescent="0.2">
      <c r="A115" s="276"/>
      <c r="B115" s="285"/>
      <c r="C115" s="285"/>
      <c r="D115" s="285"/>
      <c r="E115" s="285"/>
      <c r="F115" s="288"/>
      <c r="G115" s="272"/>
      <c r="H115" s="272"/>
      <c r="I115" s="272"/>
      <c r="J115" s="26"/>
      <c r="K115" s="34"/>
    </row>
    <row r="116" spans="1:11" x14ac:dyDescent="0.2">
      <c r="A116" s="276"/>
      <c r="B116" s="285"/>
      <c r="C116" s="285"/>
      <c r="D116" s="285"/>
      <c r="E116" s="285"/>
      <c r="F116" s="273"/>
      <c r="G116" s="273"/>
      <c r="H116" s="273"/>
      <c r="I116" s="273"/>
      <c r="J116" s="89"/>
      <c r="K116" s="34"/>
    </row>
    <row r="117" spans="1:11" ht="16.350000000000001" customHeight="1" x14ac:dyDescent="0.2">
      <c r="A117" s="276"/>
      <c r="B117" s="285"/>
      <c r="C117" s="285"/>
      <c r="D117" s="285"/>
      <c r="E117" s="285"/>
      <c r="F117" s="288" t="s">
        <v>3511</v>
      </c>
      <c r="G117" s="272"/>
      <c r="H117" s="272"/>
      <c r="I117" s="272"/>
      <c r="J117" s="26"/>
      <c r="K117" s="34"/>
    </row>
    <row r="118" spans="1:11" ht="16.350000000000001" customHeight="1" x14ac:dyDescent="0.2">
      <c r="A118" s="276"/>
      <c r="B118" s="285"/>
      <c r="C118" s="285"/>
      <c r="D118" s="285"/>
      <c r="E118" s="285"/>
      <c r="F118" s="288"/>
      <c r="G118" s="272"/>
      <c r="H118" s="272"/>
      <c r="I118" s="272"/>
      <c r="J118" s="26"/>
      <c r="K118" s="34"/>
    </row>
    <row r="119" spans="1:11" x14ac:dyDescent="0.2">
      <c r="A119" s="276"/>
      <c r="B119" s="285"/>
      <c r="C119" s="285"/>
      <c r="D119" s="285"/>
      <c r="E119" s="285"/>
      <c r="F119" s="273"/>
      <c r="G119" s="273"/>
      <c r="H119" s="273"/>
      <c r="I119" s="273"/>
      <c r="J119" s="89"/>
      <c r="K119" s="34"/>
    </row>
    <row r="120" spans="1:11" ht="16.350000000000001" customHeight="1" x14ac:dyDescent="0.2">
      <c r="A120" s="276"/>
      <c r="B120" s="285"/>
      <c r="C120" s="285"/>
      <c r="D120" s="285"/>
      <c r="E120" s="285"/>
      <c r="F120" s="288" t="s">
        <v>3512</v>
      </c>
      <c r="G120" s="272"/>
      <c r="H120" s="272"/>
      <c r="I120" s="272"/>
      <c r="J120" s="26"/>
      <c r="K120" s="34"/>
    </row>
    <row r="121" spans="1:11" ht="16.350000000000001" customHeight="1" x14ac:dyDescent="0.2">
      <c r="A121" s="276"/>
      <c r="B121" s="285"/>
      <c r="C121" s="285"/>
      <c r="D121" s="285"/>
      <c r="E121" s="285"/>
      <c r="F121" s="288"/>
      <c r="G121" s="272"/>
      <c r="H121" s="272"/>
      <c r="I121" s="272"/>
      <c r="J121" s="26"/>
      <c r="K121" s="34"/>
    </row>
    <row r="122" spans="1:11" x14ac:dyDescent="0.2">
      <c r="A122" s="276"/>
      <c r="B122" s="285"/>
      <c r="C122" s="285"/>
      <c r="D122" s="285"/>
      <c r="E122" s="285"/>
      <c r="F122" s="273"/>
      <c r="G122" s="273"/>
      <c r="H122" s="273"/>
      <c r="I122" s="273"/>
      <c r="J122" s="89"/>
      <c r="K122" s="100"/>
    </row>
    <row r="123" spans="1:11" ht="16.350000000000001" customHeight="1" x14ac:dyDescent="0.2">
      <c r="A123" s="276"/>
      <c r="B123" s="285"/>
      <c r="C123" s="285"/>
      <c r="D123" s="285"/>
      <c r="E123" s="285"/>
      <c r="F123" s="288" t="s">
        <v>3513</v>
      </c>
      <c r="G123" s="272"/>
      <c r="H123" s="272"/>
      <c r="I123" s="272"/>
      <c r="J123" s="26"/>
      <c r="K123" s="100"/>
    </row>
    <row r="124" spans="1:11" ht="16.350000000000001" customHeight="1" x14ac:dyDescent="0.2">
      <c r="A124" s="276"/>
      <c r="B124" s="285"/>
      <c r="C124" s="285"/>
      <c r="D124" s="285"/>
      <c r="E124" s="285"/>
      <c r="F124" s="288"/>
      <c r="G124" s="272"/>
      <c r="H124" s="272"/>
      <c r="I124" s="272"/>
      <c r="J124" s="26"/>
      <c r="K124" s="100"/>
    </row>
    <row r="125" spans="1:11" x14ac:dyDescent="0.2">
      <c r="A125" s="276"/>
      <c r="B125" s="285"/>
      <c r="C125" s="285"/>
      <c r="D125" s="285"/>
      <c r="E125" s="285"/>
      <c r="F125" s="273"/>
      <c r="G125" s="273"/>
      <c r="H125" s="273"/>
      <c r="I125" s="273"/>
      <c r="J125" s="89"/>
      <c r="K125" s="37"/>
    </row>
    <row r="126" spans="1:11" ht="16.350000000000001" customHeight="1" x14ac:dyDescent="0.2">
      <c r="A126" s="276"/>
      <c r="B126" s="285"/>
      <c r="C126" s="285"/>
      <c r="D126" s="285"/>
      <c r="E126" s="285"/>
      <c r="F126" s="288" t="s">
        <v>3514</v>
      </c>
      <c r="G126" s="272"/>
      <c r="H126" s="272"/>
      <c r="I126" s="272"/>
      <c r="J126" s="26"/>
      <c r="K126" s="34"/>
    </row>
    <row r="127" spans="1:11" ht="16.350000000000001" customHeight="1" x14ac:dyDescent="0.2">
      <c r="A127" s="276"/>
      <c r="B127" s="285"/>
      <c r="C127" s="285"/>
      <c r="D127" s="285"/>
      <c r="E127" s="285"/>
      <c r="F127" s="288"/>
      <c r="G127" s="272"/>
      <c r="H127" s="272"/>
      <c r="I127" s="272"/>
      <c r="J127" s="26"/>
      <c r="K127" s="34"/>
    </row>
    <row r="128" spans="1:11" x14ac:dyDescent="0.2">
      <c r="A128" s="276"/>
      <c r="B128" s="285"/>
      <c r="C128" s="285"/>
      <c r="D128" s="285"/>
      <c r="E128" s="285"/>
      <c r="F128" s="273"/>
      <c r="G128" s="273"/>
      <c r="H128" s="273"/>
      <c r="I128" s="273"/>
      <c r="J128" s="89"/>
      <c r="K128" s="100"/>
    </row>
    <row r="129" spans="1:11" x14ac:dyDescent="0.2">
      <c r="A129" s="276"/>
      <c r="B129" s="275" t="s">
        <v>1407</v>
      </c>
      <c r="C129" s="286"/>
      <c r="D129" s="286"/>
      <c r="E129" s="286"/>
      <c r="F129" s="288" t="s">
        <v>3515</v>
      </c>
      <c r="G129" s="272"/>
      <c r="H129" s="272"/>
      <c r="I129" s="272"/>
      <c r="J129" s="26"/>
      <c r="K129" s="37"/>
    </row>
    <row r="130" spans="1:11" x14ac:dyDescent="0.2">
      <c r="A130" s="276"/>
      <c r="B130" s="287"/>
      <c r="C130" s="287"/>
      <c r="D130" s="287"/>
      <c r="E130" s="287"/>
      <c r="F130" s="274"/>
      <c r="G130" s="274"/>
      <c r="H130" s="272"/>
      <c r="I130" s="274"/>
      <c r="J130" s="91"/>
      <c r="K130" s="37"/>
    </row>
    <row r="131" spans="1:11" x14ac:dyDescent="0.2">
      <c r="A131" s="276"/>
      <c r="B131" s="276"/>
      <c r="C131" s="276"/>
      <c r="D131" s="276"/>
      <c r="E131" s="276"/>
      <c r="F131" s="273"/>
      <c r="G131" s="273"/>
      <c r="H131" s="273"/>
      <c r="I131" s="273"/>
      <c r="J131" s="89"/>
      <c r="K131" s="37"/>
    </row>
    <row r="132" spans="1:11" ht="15" customHeight="1" x14ac:dyDescent="0.2">
      <c r="A132" s="276"/>
      <c r="B132" s="276"/>
      <c r="C132" s="276"/>
      <c r="D132" s="276"/>
      <c r="E132" s="276"/>
      <c r="F132" s="288" t="s">
        <v>3516</v>
      </c>
      <c r="G132" s="272"/>
      <c r="H132" s="272"/>
      <c r="I132" s="272"/>
      <c r="J132" s="26"/>
      <c r="K132" s="7"/>
    </row>
    <row r="133" spans="1:11" x14ac:dyDescent="0.2">
      <c r="A133" s="276"/>
      <c r="B133" s="276"/>
      <c r="C133" s="276"/>
      <c r="D133" s="276"/>
      <c r="E133" s="276"/>
      <c r="F133" s="274"/>
      <c r="G133" s="274"/>
      <c r="H133" s="272"/>
      <c r="I133" s="274"/>
      <c r="J133" s="91"/>
      <c r="K133" s="7"/>
    </row>
    <row r="134" spans="1:11" x14ac:dyDescent="0.2">
      <c r="A134" s="276"/>
      <c r="B134" s="276"/>
      <c r="C134" s="276"/>
      <c r="D134" s="276"/>
      <c r="E134" s="276"/>
      <c r="F134" s="273"/>
      <c r="G134" s="273"/>
      <c r="H134" s="273"/>
      <c r="I134" s="273"/>
      <c r="J134" s="89"/>
      <c r="K134" s="7"/>
    </row>
    <row r="135" spans="1:11" ht="16.350000000000001" customHeight="1" x14ac:dyDescent="0.2">
      <c r="A135" s="276"/>
      <c r="B135" s="276"/>
      <c r="C135" s="276"/>
      <c r="D135" s="276"/>
      <c r="E135" s="276"/>
      <c r="F135" s="288" t="s">
        <v>3517</v>
      </c>
      <c r="G135" s="272"/>
      <c r="H135" s="272"/>
      <c r="I135" s="272"/>
      <c r="J135" s="26"/>
      <c r="K135" s="7"/>
    </row>
    <row r="136" spans="1:11" x14ac:dyDescent="0.2">
      <c r="A136" s="276"/>
      <c r="B136" s="276"/>
      <c r="C136" s="276"/>
      <c r="D136" s="276"/>
      <c r="E136" s="276"/>
      <c r="F136" s="274"/>
      <c r="G136" s="274"/>
      <c r="H136" s="272"/>
      <c r="I136" s="274"/>
      <c r="J136" s="91"/>
      <c r="K136" s="7"/>
    </row>
    <row r="137" spans="1:11" x14ac:dyDescent="0.2">
      <c r="A137" s="276"/>
      <c r="B137" s="276"/>
      <c r="C137" s="276"/>
      <c r="D137" s="276"/>
      <c r="E137" s="276"/>
      <c r="F137" s="273"/>
      <c r="G137" s="273"/>
      <c r="H137" s="273"/>
      <c r="I137" s="273"/>
      <c r="J137" s="89"/>
      <c r="K137" s="7"/>
    </row>
    <row r="138" spans="1:11" ht="16.350000000000001" customHeight="1" x14ac:dyDescent="0.2">
      <c r="A138" s="276"/>
      <c r="B138" s="276"/>
      <c r="C138" s="276"/>
      <c r="D138" s="276"/>
      <c r="E138" s="276"/>
      <c r="F138" s="288" t="s">
        <v>3518</v>
      </c>
      <c r="G138" s="272"/>
      <c r="H138" s="272"/>
      <c r="I138" s="272"/>
      <c r="J138" s="26"/>
      <c r="K138" s="6"/>
    </row>
    <row r="139" spans="1:11" x14ac:dyDescent="0.2">
      <c r="A139" s="276"/>
      <c r="B139" s="276"/>
      <c r="C139" s="276"/>
      <c r="D139" s="276"/>
      <c r="E139" s="276"/>
      <c r="F139" s="274"/>
      <c r="G139" s="274"/>
      <c r="H139" s="272"/>
      <c r="I139" s="274"/>
      <c r="J139" s="91"/>
      <c r="K139" s="7"/>
    </row>
    <row r="140" spans="1:11" x14ac:dyDescent="0.2">
      <c r="A140" s="276"/>
      <c r="B140" s="276"/>
      <c r="C140" s="276"/>
      <c r="D140" s="276"/>
      <c r="E140" s="276"/>
      <c r="F140" s="273"/>
      <c r="G140" s="273"/>
      <c r="H140" s="273"/>
      <c r="I140" s="273"/>
      <c r="J140" s="89"/>
      <c r="K140" s="7"/>
    </row>
    <row r="141" spans="1:11" ht="16.350000000000001" customHeight="1" x14ac:dyDescent="0.2">
      <c r="A141" s="276"/>
      <c r="B141" s="276"/>
      <c r="C141" s="276"/>
      <c r="D141" s="276"/>
      <c r="E141" s="276"/>
      <c r="F141" s="288" t="s">
        <v>3519</v>
      </c>
      <c r="G141" s="272"/>
      <c r="H141" s="272"/>
      <c r="I141" s="272"/>
      <c r="J141" s="26"/>
      <c r="K141" s="6"/>
    </row>
    <row r="142" spans="1:11" x14ac:dyDescent="0.2">
      <c r="A142" s="276"/>
      <c r="B142" s="276"/>
      <c r="C142" s="276"/>
      <c r="D142" s="276"/>
      <c r="E142" s="276"/>
      <c r="F142" s="274"/>
      <c r="G142" s="274"/>
      <c r="H142" s="272"/>
      <c r="I142" s="274"/>
      <c r="J142" s="91"/>
      <c r="K142" s="7"/>
    </row>
    <row r="143" spans="1:11" x14ac:dyDescent="0.2">
      <c r="A143" s="276"/>
      <c r="B143" s="276"/>
      <c r="C143" s="276"/>
      <c r="D143" s="276"/>
      <c r="E143" s="276"/>
      <c r="F143" s="273"/>
      <c r="G143" s="273"/>
      <c r="H143" s="273"/>
      <c r="I143" s="273"/>
      <c r="J143" s="89"/>
      <c r="K143" s="7"/>
    </row>
    <row r="144" spans="1:11" ht="16.350000000000001" customHeight="1" x14ac:dyDescent="0.2">
      <c r="A144" s="276"/>
      <c r="B144" s="276"/>
      <c r="C144" s="276"/>
      <c r="D144" s="276"/>
      <c r="E144" s="276"/>
      <c r="F144" s="288" t="s">
        <v>3520</v>
      </c>
      <c r="G144" s="272"/>
      <c r="H144" s="272"/>
      <c r="I144" s="272"/>
      <c r="J144" s="26"/>
      <c r="K144" s="6"/>
    </row>
    <row r="145" spans="1:11" x14ac:dyDescent="0.2">
      <c r="A145" s="276"/>
      <c r="B145" s="276"/>
      <c r="C145" s="276"/>
      <c r="D145" s="276"/>
      <c r="E145" s="276"/>
      <c r="F145" s="274"/>
      <c r="G145" s="274"/>
      <c r="H145" s="272"/>
      <c r="I145" s="274"/>
      <c r="J145" s="91"/>
      <c r="K145" s="7"/>
    </row>
    <row r="146" spans="1:11" x14ac:dyDescent="0.2">
      <c r="A146" s="276"/>
      <c r="B146" s="276"/>
      <c r="C146" s="276"/>
      <c r="D146" s="276"/>
      <c r="E146" s="276"/>
      <c r="F146" s="273"/>
      <c r="G146" s="273"/>
      <c r="H146" s="273"/>
      <c r="I146" s="273"/>
      <c r="J146" s="89"/>
      <c r="K146" s="7"/>
    </row>
    <row r="154" spans="1:11" x14ac:dyDescent="0.2">
      <c r="E154" s="92" t="s">
        <v>528</v>
      </c>
    </row>
    <row r="155" spans="1:11" x14ac:dyDescent="0.2">
      <c r="E155" s="92" t="s">
        <v>511</v>
      </c>
    </row>
    <row r="156" spans="1:11" x14ac:dyDescent="0.2">
      <c r="E156" s="92" t="s">
        <v>515</v>
      </c>
    </row>
    <row r="157" spans="1:11" x14ac:dyDescent="0.2">
      <c r="E157" s="92" t="s">
        <v>505</v>
      </c>
    </row>
    <row r="158" spans="1:11" x14ac:dyDescent="0.2">
      <c r="E158" s="92" t="s">
        <v>507</v>
      </c>
    </row>
  </sheetData>
  <mergeCells count="225">
    <mergeCell ref="G3:G5"/>
    <mergeCell ref="H3:H5"/>
    <mergeCell ref="I3:I5"/>
    <mergeCell ref="F6:F8"/>
    <mergeCell ref="G6:G8"/>
    <mergeCell ref="H6:H8"/>
    <mergeCell ref="I6:I8"/>
    <mergeCell ref="A3:A146"/>
    <mergeCell ref="B3:B20"/>
    <mergeCell ref="C3:C20"/>
    <mergeCell ref="D3:D20"/>
    <mergeCell ref="E3:E20"/>
    <mergeCell ref="F3:F5"/>
    <mergeCell ref="F9:F11"/>
    <mergeCell ref="F15:F17"/>
    <mergeCell ref="B21:B38"/>
    <mergeCell ref="C21:C38"/>
    <mergeCell ref="G15:G17"/>
    <mergeCell ref="H15:H17"/>
    <mergeCell ref="I15:I17"/>
    <mergeCell ref="F18:F20"/>
    <mergeCell ref="G18:G20"/>
    <mergeCell ref="H18:H20"/>
    <mergeCell ref="I18:I20"/>
    <mergeCell ref="G9:G11"/>
    <mergeCell ref="H9:H11"/>
    <mergeCell ref="I9:I11"/>
    <mergeCell ref="F12:F14"/>
    <mergeCell ref="G12:G14"/>
    <mergeCell ref="H12:H14"/>
    <mergeCell ref="I12:I14"/>
    <mergeCell ref="D21:D38"/>
    <mergeCell ref="E21:E38"/>
    <mergeCell ref="F21:F23"/>
    <mergeCell ref="G21:G23"/>
    <mergeCell ref="H21:H23"/>
    <mergeCell ref="I21:I23"/>
    <mergeCell ref="F24:F26"/>
    <mergeCell ref="G24:G26"/>
    <mergeCell ref="H24:H26"/>
    <mergeCell ref="I24:I26"/>
    <mergeCell ref="F33:F35"/>
    <mergeCell ref="G33:G35"/>
    <mergeCell ref="H33:H35"/>
    <mergeCell ref="I33:I35"/>
    <mergeCell ref="F36:F38"/>
    <mergeCell ref="G36:G38"/>
    <mergeCell ref="H36:H38"/>
    <mergeCell ref="I36:I38"/>
    <mergeCell ref="F27:F29"/>
    <mergeCell ref="G27:G29"/>
    <mergeCell ref="H27:H29"/>
    <mergeCell ref="I27:I29"/>
    <mergeCell ref="F30:F32"/>
    <mergeCell ref="G30:G32"/>
    <mergeCell ref="H30:H32"/>
    <mergeCell ref="I30:I32"/>
    <mergeCell ref="H39:H41"/>
    <mergeCell ref="I39:I41"/>
    <mergeCell ref="F42:F44"/>
    <mergeCell ref="G42:G44"/>
    <mergeCell ref="H42:H44"/>
    <mergeCell ref="I42:I44"/>
    <mergeCell ref="B39:B56"/>
    <mergeCell ref="C39:C56"/>
    <mergeCell ref="D39:D56"/>
    <mergeCell ref="E39:E56"/>
    <mergeCell ref="F39:F41"/>
    <mergeCell ref="G39:G41"/>
    <mergeCell ref="F45:F47"/>
    <mergeCell ref="G45:G47"/>
    <mergeCell ref="F51:F53"/>
    <mergeCell ref="G51:G53"/>
    <mergeCell ref="H51:H53"/>
    <mergeCell ref="I51:I53"/>
    <mergeCell ref="F54:F56"/>
    <mergeCell ref="G54:G56"/>
    <mergeCell ref="H54:H56"/>
    <mergeCell ref="I54:I56"/>
    <mergeCell ref="H45:H47"/>
    <mergeCell ref="I45:I47"/>
    <mergeCell ref="F48:F50"/>
    <mergeCell ref="G48:G50"/>
    <mergeCell ref="H48:H50"/>
    <mergeCell ref="I48:I50"/>
    <mergeCell ref="H57:H59"/>
    <mergeCell ref="I57:I59"/>
    <mergeCell ref="F60:F62"/>
    <mergeCell ref="G60:G62"/>
    <mergeCell ref="H60:H62"/>
    <mergeCell ref="I60:I62"/>
    <mergeCell ref="B57:B74"/>
    <mergeCell ref="C57:C74"/>
    <mergeCell ref="D57:D74"/>
    <mergeCell ref="E57:E74"/>
    <mergeCell ref="F57:F59"/>
    <mergeCell ref="G57:G59"/>
    <mergeCell ref="F63:F65"/>
    <mergeCell ref="G63:G65"/>
    <mergeCell ref="F69:F71"/>
    <mergeCell ref="G69:G71"/>
    <mergeCell ref="H69:H71"/>
    <mergeCell ref="I69:I71"/>
    <mergeCell ref="F72:F74"/>
    <mergeCell ref="G72:G74"/>
    <mergeCell ref="H72:H74"/>
    <mergeCell ref="I72:I74"/>
    <mergeCell ref="H63:H65"/>
    <mergeCell ref="I63:I65"/>
    <mergeCell ref="F66:F68"/>
    <mergeCell ref="G66:G68"/>
    <mergeCell ref="H66:H68"/>
    <mergeCell ref="I66:I68"/>
    <mergeCell ref="H75:H77"/>
    <mergeCell ref="I75:I77"/>
    <mergeCell ref="F78:F80"/>
    <mergeCell ref="G78:G80"/>
    <mergeCell ref="H78:H80"/>
    <mergeCell ref="I78:I80"/>
    <mergeCell ref="B75:B92"/>
    <mergeCell ref="C75:C92"/>
    <mergeCell ref="D75:D92"/>
    <mergeCell ref="E75:E92"/>
    <mergeCell ref="F75:F77"/>
    <mergeCell ref="G75:G77"/>
    <mergeCell ref="F81:F83"/>
    <mergeCell ref="G81:G83"/>
    <mergeCell ref="F87:F89"/>
    <mergeCell ref="G87:G89"/>
    <mergeCell ref="H87:H89"/>
    <mergeCell ref="I87:I89"/>
    <mergeCell ref="F90:F92"/>
    <mergeCell ref="G90:G92"/>
    <mergeCell ref="H90:H92"/>
    <mergeCell ref="I90:I92"/>
    <mergeCell ref="H81:H83"/>
    <mergeCell ref="I81:I83"/>
    <mergeCell ref="F84:F86"/>
    <mergeCell ref="G84:G86"/>
    <mergeCell ref="H84:H86"/>
    <mergeCell ref="I84:I86"/>
    <mergeCell ref="H93:H95"/>
    <mergeCell ref="I93:I95"/>
    <mergeCell ref="F96:F98"/>
    <mergeCell ref="G96:G98"/>
    <mergeCell ref="H96:H98"/>
    <mergeCell ref="I96:I98"/>
    <mergeCell ref="B93:B110"/>
    <mergeCell ref="C93:C110"/>
    <mergeCell ref="D93:D110"/>
    <mergeCell ref="E93:E110"/>
    <mergeCell ref="F93:F95"/>
    <mergeCell ref="G93:G95"/>
    <mergeCell ref="F99:F101"/>
    <mergeCell ref="G99:G101"/>
    <mergeCell ref="F105:F107"/>
    <mergeCell ref="G105:G107"/>
    <mergeCell ref="H105:H107"/>
    <mergeCell ref="I105:I107"/>
    <mergeCell ref="F108:F110"/>
    <mergeCell ref="G108:G110"/>
    <mergeCell ref="H108:H110"/>
    <mergeCell ref="I108:I110"/>
    <mergeCell ref="H99:H101"/>
    <mergeCell ref="I99:I101"/>
    <mergeCell ref="F102:F104"/>
    <mergeCell ref="G102:G104"/>
    <mergeCell ref="H102:H104"/>
    <mergeCell ref="I102:I104"/>
    <mergeCell ref="H111:H113"/>
    <mergeCell ref="I111:I113"/>
    <mergeCell ref="F114:F116"/>
    <mergeCell ref="G114:G116"/>
    <mergeCell ref="H114:H116"/>
    <mergeCell ref="I114:I116"/>
    <mergeCell ref="B111:B128"/>
    <mergeCell ref="C111:C128"/>
    <mergeCell ref="D111:D128"/>
    <mergeCell ref="E111:E128"/>
    <mergeCell ref="F111:F113"/>
    <mergeCell ref="G111:G113"/>
    <mergeCell ref="F117:F119"/>
    <mergeCell ref="G117:G119"/>
    <mergeCell ref="F123:F125"/>
    <mergeCell ref="G123:G125"/>
    <mergeCell ref="H123:H125"/>
    <mergeCell ref="I123:I125"/>
    <mergeCell ref="F126:F128"/>
    <mergeCell ref="G126:G128"/>
    <mergeCell ref="H126:H128"/>
    <mergeCell ref="I126:I128"/>
    <mergeCell ref="H117:H119"/>
    <mergeCell ref="I117:I119"/>
    <mergeCell ref="F120:F122"/>
    <mergeCell ref="G120:G122"/>
    <mergeCell ref="H120:H122"/>
    <mergeCell ref="I120:I122"/>
    <mergeCell ref="H129:H131"/>
    <mergeCell ref="I129:I131"/>
    <mergeCell ref="F132:F134"/>
    <mergeCell ref="G132:G134"/>
    <mergeCell ref="H132:H134"/>
    <mergeCell ref="I132:I134"/>
    <mergeCell ref="B129:B146"/>
    <mergeCell ref="C129:C146"/>
    <mergeCell ref="D129:D146"/>
    <mergeCell ref="E129:E146"/>
    <mergeCell ref="F129:F131"/>
    <mergeCell ref="G129:G131"/>
    <mergeCell ref="F135:F137"/>
    <mergeCell ref="G135:G137"/>
    <mergeCell ref="F141:F143"/>
    <mergeCell ref="G141:G143"/>
    <mergeCell ref="H141:H143"/>
    <mergeCell ref="I141:I143"/>
    <mergeCell ref="F144:F146"/>
    <mergeCell ref="G144:G146"/>
    <mergeCell ref="H144:H146"/>
    <mergeCell ref="I144:I146"/>
    <mergeCell ref="H135:H137"/>
    <mergeCell ref="I135:I137"/>
    <mergeCell ref="F138:F140"/>
    <mergeCell ref="G138:G140"/>
    <mergeCell ref="H138:H140"/>
    <mergeCell ref="I138:I140"/>
  </mergeCells>
  <dataValidations count="1">
    <dataValidation type="list" allowBlank="1" showInputMessage="1" showErrorMessage="1" sqref="E3:E146 H3:H146" xr:uid="{AFAB701C-A035-A34A-AC71-241912BDCBD8}">
      <formula1>$E$154:$E$158</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E43D998F408242B311BA06A9EB9A4F" ma:contentTypeVersion="4" ma:contentTypeDescription="Create a new document." ma:contentTypeScope="" ma:versionID="25494479c13a78e2975144b01c5a2f9c">
  <xsd:schema xmlns:xsd="http://www.w3.org/2001/XMLSchema" xmlns:xs="http://www.w3.org/2001/XMLSchema" xmlns:p="http://schemas.microsoft.com/office/2006/metadata/properties" xmlns:ns2="3c607377-27af-4dd3-bd05-4bcf497b3b3c" xmlns:ns3="4df5a578-3965-472d-bd40-3a283f4dc4ad" targetNamespace="http://schemas.microsoft.com/office/2006/metadata/properties" ma:root="true" ma:fieldsID="5b7c199fe64b7a9940f3a41d376617e5" ns2:_="" ns3:_="">
    <xsd:import namespace="3c607377-27af-4dd3-bd05-4bcf497b3b3c"/>
    <xsd:import namespace="4df5a578-3965-472d-bd40-3a283f4dc4a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607377-27af-4dd3-bd05-4bcf497b3b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f5a578-3965-472d-bd40-3a283f4dc4a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0638D3-418B-4A8A-BEEC-8A10F3DD2F77}">
  <ds:schemaRefs>
    <ds:schemaRef ds:uri="http://schemas.microsoft.com/sharepoint/v3/contenttype/forms"/>
  </ds:schemaRefs>
</ds:datastoreItem>
</file>

<file path=customXml/itemProps2.xml><?xml version="1.0" encoding="utf-8"?>
<ds:datastoreItem xmlns:ds="http://schemas.openxmlformats.org/officeDocument/2006/customXml" ds:itemID="{E09D233B-F72E-40D5-B0EF-5ED9C4499E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607377-27af-4dd3-bd05-4bcf497b3b3c"/>
    <ds:schemaRef ds:uri="4df5a578-3965-472d-bd40-3a283f4dc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457271-21C3-44F8-9231-66EDE15A3E5A}">
  <ds:schemaRefs>
    <ds:schemaRef ds:uri="4df5a578-3965-472d-bd40-3a283f4dc4ad"/>
    <ds:schemaRef ds:uri="3c607377-27af-4dd3-bd05-4bcf497b3b3c"/>
    <ds:schemaRef ds:uri="http://www.w3.org/XML/1998/namespace"/>
    <ds:schemaRef ds:uri="http://purl.org/dc/dcmitype/"/>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purl.org/dc/term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Inventory</vt:lpstr>
      <vt:lpstr>Template (Standard)</vt:lpstr>
      <vt:lpstr>Sub-Process Status</vt:lpstr>
      <vt:lpstr>Process mapping status</vt:lpstr>
      <vt:lpstr>M1</vt:lpstr>
      <vt:lpstr>M2</vt:lpstr>
      <vt:lpstr>M3</vt:lpstr>
      <vt:lpstr>M4</vt:lpstr>
      <vt:lpstr>M5</vt:lpstr>
      <vt:lpstr>M6</vt:lpstr>
      <vt:lpstr>M7</vt:lpstr>
      <vt:lpstr>M8</vt:lpstr>
      <vt:lpstr>C10</vt:lpstr>
      <vt:lpstr>C9</vt:lpstr>
      <vt:lpstr>C8</vt:lpstr>
      <vt:lpstr>C7</vt:lpstr>
      <vt:lpstr>C6</vt:lpstr>
      <vt:lpstr>C5</vt:lpstr>
      <vt:lpstr>C4</vt:lpstr>
      <vt:lpstr>C3</vt:lpstr>
      <vt:lpstr>C2</vt:lpstr>
      <vt:lpstr>C1</vt:lpstr>
      <vt:lpstr>Template (Channels</vt:lpstr>
      <vt:lpstr>EM6</vt:lpstr>
      <vt:lpstr>E1</vt:lpstr>
      <vt:lpstr>S1 Fin</vt:lpstr>
      <vt:lpstr>S2_HCM</vt:lpstr>
      <vt:lpstr>S3 SCM</vt:lpstr>
      <vt:lpstr>S4_IIT&amp;EUC (OCIO)</vt:lpstr>
      <vt:lpstr>S5 Facilities</vt:lpstr>
      <vt:lpstr>S6 Security</vt:lpstr>
      <vt:lpstr>S7 MK</vt:lpstr>
      <vt:lpstr>S9 Legal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Nosipho Buthelezi</dc:creator>
  <cp:keywords/>
  <dc:description/>
  <cp:lastModifiedBy>Michael Botha</cp:lastModifiedBy>
  <cp:revision/>
  <dcterms:created xsi:type="dcterms:W3CDTF">2022-12-08T11:49:38Z</dcterms:created>
  <dcterms:modified xsi:type="dcterms:W3CDTF">2026-05-04T08:07:10Z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0x010100DFE43D998F408242B311BA06A9EB9A4F</vt:lpwstr>
  </property>
</Properties>
</file>